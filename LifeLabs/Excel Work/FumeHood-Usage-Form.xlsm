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740" yWindow="555" windowWidth="20730" windowHeight="11760"/>
  </bookViews>
  <sheets>
    <sheet name="User Form" sheetId="5" r:id="rId1"/>
    <sheet name="Fume Hood Responses 2016" sheetId="4" r:id="rId2"/>
    <sheet name="Fume Hood Responses Nov 2015" sheetId="1" state="hidden" r:id="rId3"/>
    <sheet name="Province" sheetId="2" state="hidden" r:id="rId4"/>
    <sheet name="Locations" sheetId="3" state="hidden" r:id="rId5"/>
  </sheets>
  <definedNames>
    <definedName name="_xlnm._FilterDatabase" localSheetId="2" hidden="1">'Fume Hood Responses Nov 2015'!$A$2:$I$361</definedName>
    <definedName name="list2">Province!$C$1:$C$2</definedName>
    <definedName name="LocationsList">Locations!$A$1:$A$69</definedName>
    <definedName name="Provinces">Province!$A$1:$A$3</definedName>
  </definedNames>
  <calcPr calcId="145621"/>
</workbook>
</file>

<file path=xl/calcChain.xml><?xml version="1.0" encoding="utf-8"?>
<calcChain xmlns="http://schemas.openxmlformats.org/spreadsheetml/2006/main">
  <c r="H20" i="5" l="1" a="1"/>
  <c r="H20" i="5" s="1"/>
  <c r="H21" i="5" a="1"/>
  <c r="H21" i="5" s="1"/>
  <c r="H22" i="5" a="1"/>
  <c r="H22" i="5" s="1"/>
  <c r="H23" i="5" a="1"/>
  <c r="H23" i="5" s="1"/>
  <c r="H24" i="5" a="1"/>
  <c r="H24" i="5" s="1"/>
  <c r="H25" i="5" a="1"/>
  <c r="H25" i="5" s="1"/>
  <c r="H26" i="5" a="1"/>
  <c r="H26" i="5" s="1"/>
  <c r="H27" i="5" a="1"/>
  <c r="H27" i="5" s="1"/>
  <c r="H28" i="5" a="1"/>
  <c r="H28" i="5" s="1"/>
  <c r="H29" i="5" a="1"/>
  <c r="H29" i="5" s="1"/>
  <c r="H30" i="5" a="1"/>
  <c r="H30" i="5" s="1"/>
  <c r="H31" i="5" a="1"/>
  <c r="H31" i="5" s="1"/>
  <c r="H32" i="5" a="1"/>
  <c r="H32" i="5" s="1"/>
  <c r="H33" i="5" a="1"/>
  <c r="H33" i="5" s="1"/>
  <c r="H34" i="5" a="1"/>
  <c r="H34" i="5" s="1"/>
  <c r="H35" i="5" a="1"/>
  <c r="H35" i="5" s="1"/>
  <c r="H36" i="5" a="1"/>
  <c r="H36" i="5" s="1"/>
  <c r="H37" i="5" a="1"/>
  <c r="H37" i="5" s="1"/>
  <c r="H38" i="5" a="1"/>
  <c r="H38" i="5" s="1"/>
  <c r="H39" i="5" a="1"/>
  <c r="H39" i="5" s="1"/>
  <c r="H40" i="5" a="1"/>
  <c r="H40" i="5" s="1"/>
  <c r="H41" i="5" a="1"/>
  <c r="H41" i="5" s="1"/>
  <c r="H42" i="5" a="1"/>
  <c r="H42" i="5" s="1"/>
  <c r="H43" i="5" a="1"/>
  <c r="H43" i="5" s="1"/>
  <c r="H44" i="5" a="1"/>
  <c r="H44" i="5" s="1"/>
  <c r="H45" i="5" a="1"/>
  <c r="H45" i="5" s="1"/>
  <c r="H46" i="5" a="1"/>
  <c r="H46" i="5" s="1"/>
  <c r="H47" i="5" a="1"/>
  <c r="H47" i="5" s="1"/>
  <c r="H48" i="5" a="1"/>
  <c r="H48" i="5" s="1"/>
  <c r="H49" i="5" a="1"/>
  <c r="H49" i="5" s="1"/>
  <c r="H50" i="5" a="1"/>
  <c r="H50" i="5" s="1"/>
  <c r="H51" i="5" a="1"/>
  <c r="H51" i="5" s="1"/>
  <c r="H52" i="5" a="1"/>
  <c r="H52" i="5" s="1"/>
  <c r="H53" i="5" a="1"/>
  <c r="H53" i="5" s="1"/>
  <c r="H54" i="5" a="1"/>
  <c r="H54" i="5" s="1"/>
  <c r="H55" i="5" a="1"/>
  <c r="H55" i="5" s="1"/>
  <c r="H56" i="5" a="1"/>
  <c r="H56" i="5" s="1"/>
  <c r="H57" i="5" a="1"/>
  <c r="H57" i="5" s="1"/>
  <c r="H58" i="5" a="1"/>
  <c r="H58" i="5" s="1"/>
  <c r="H59" i="5" a="1"/>
  <c r="H59" i="5" s="1"/>
  <c r="H60" i="5" a="1"/>
  <c r="H60" i="5" s="1"/>
  <c r="H61" i="5" a="1"/>
  <c r="H61" i="5" s="1"/>
  <c r="H62" i="5" a="1"/>
  <c r="H62" i="5" s="1"/>
  <c r="H63" i="5" a="1"/>
  <c r="H63" i="5" s="1"/>
  <c r="G20" i="5" a="1"/>
  <c r="G20" i="5" s="1"/>
  <c r="G21" i="5" a="1"/>
  <c r="G21" i="5" s="1"/>
  <c r="G22" i="5" a="1"/>
  <c r="G22" i="5" s="1"/>
  <c r="G23" i="5" a="1"/>
  <c r="G23" i="5" s="1"/>
  <c r="G24" i="5" a="1"/>
  <c r="G24" i="5" s="1"/>
  <c r="G25" i="5" a="1"/>
  <c r="G25" i="5" s="1"/>
  <c r="G26" i="5" a="1"/>
  <c r="G26" i="5" s="1"/>
  <c r="G27" i="5" a="1"/>
  <c r="G27" i="5" s="1"/>
  <c r="G28" i="5" a="1"/>
  <c r="G28" i="5" s="1"/>
  <c r="G29" i="5" a="1"/>
  <c r="G29" i="5" s="1"/>
  <c r="G30" i="5" a="1"/>
  <c r="G30" i="5" s="1"/>
  <c r="G31" i="5" a="1"/>
  <c r="G31" i="5" s="1"/>
  <c r="G32" i="5" a="1"/>
  <c r="G32" i="5" s="1"/>
  <c r="G33" i="5" a="1"/>
  <c r="G33" i="5" s="1"/>
  <c r="G34" i="5" a="1"/>
  <c r="G34" i="5" s="1"/>
  <c r="G35" i="5" a="1"/>
  <c r="G35" i="5" s="1"/>
  <c r="G36" i="5" a="1"/>
  <c r="G36" i="5" s="1"/>
  <c r="G37" i="5" a="1"/>
  <c r="G37" i="5" s="1"/>
  <c r="G38" i="5" a="1"/>
  <c r="G38" i="5" s="1"/>
  <c r="G39" i="5" a="1"/>
  <c r="G39" i="5" s="1"/>
  <c r="G40" i="5" a="1"/>
  <c r="G40" i="5" s="1"/>
  <c r="G41" i="5" a="1"/>
  <c r="G41" i="5" s="1"/>
  <c r="G42" i="5" a="1"/>
  <c r="G42" i="5" s="1"/>
  <c r="G43" i="5" a="1"/>
  <c r="G43" i="5" s="1"/>
  <c r="G44" i="5" a="1"/>
  <c r="G44" i="5" s="1"/>
  <c r="G45" i="5" a="1"/>
  <c r="G45" i="5" s="1"/>
  <c r="G46" i="5" a="1"/>
  <c r="G46" i="5" s="1"/>
  <c r="G47" i="5" a="1"/>
  <c r="G47" i="5" s="1"/>
  <c r="G48" i="5" a="1"/>
  <c r="G48" i="5" s="1"/>
  <c r="G49" i="5" a="1"/>
  <c r="G49" i="5" s="1"/>
  <c r="G50" i="5" a="1"/>
  <c r="G50" i="5" s="1"/>
  <c r="G51" i="5" a="1"/>
  <c r="G51" i="5" s="1"/>
  <c r="G52" i="5" a="1"/>
  <c r="G52" i="5" s="1"/>
  <c r="G53" i="5" a="1"/>
  <c r="G53" i="5" s="1"/>
  <c r="G54" i="5" a="1"/>
  <c r="G54" i="5" s="1"/>
  <c r="G55" i="5" a="1"/>
  <c r="G55" i="5" s="1"/>
  <c r="G56" i="5" a="1"/>
  <c r="G56" i="5" s="1"/>
  <c r="G57" i="5" a="1"/>
  <c r="G57" i="5" s="1"/>
  <c r="G58" i="5" a="1"/>
  <c r="G58" i="5" s="1"/>
  <c r="G59" i="5" a="1"/>
  <c r="G59" i="5" s="1"/>
  <c r="G60" i="5" a="1"/>
  <c r="G60" i="5" s="1"/>
  <c r="G61" i="5" a="1"/>
  <c r="G61" i="5" s="1"/>
  <c r="G62" i="5" a="1"/>
  <c r="G62" i="5" s="1"/>
  <c r="G63" i="5" a="1"/>
  <c r="G63" i="5" s="1"/>
  <c r="F20" i="5" a="1"/>
  <c r="F20" i="5" s="1"/>
  <c r="F21" i="5" a="1"/>
  <c r="F21" i="5" s="1"/>
  <c r="F22" i="5" a="1"/>
  <c r="F22" i="5" s="1"/>
  <c r="F23" i="5" a="1"/>
  <c r="F23" i="5" s="1"/>
  <c r="F24" i="5" a="1"/>
  <c r="F24" i="5" s="1"/>
  <c r="F25" i="5" a="1"/>
  <c r="F25" i="5" s="1"/>
  <c r="F26" i="5" a="1"/>
  <c r="F26" i="5" s="1"/>
  <c r="F27" i="5" a="1"/>
  <c r="F27" i="5" s="1"/>
  <c r="F28" i="5" a="1"/>
  <c r="F28" i="5" s="1"/>
  <c r="F29" i="5" a="1"/>
  <c r="F29" i="5" s="1"/>
  <c r="F30" i="5" a="1"/>
  <c r="F30" i="5" s="1"/>
  <c r="F31" i="5" a="1"/>
  <c r="F31" i="5" s="1"/>
  <c r="F32" i="5" a="1"/>
  <c r="F32" i="5" s="1"/>
  <c r="F33" i="5" a="1"/>
  <c r="F33" i="5" s="1"/>
  <c r="F34" i="5" a="1"/>
  <c r="F34" i="5" s="1"/>
  <c r="F35" i="5" a="1"/>
  <c r="F35" i="5" s="1"/>
  <c r="F36" i="5" a="1"/>
  <c r="F36" i="5" s="1"/>
  <c r="F37" i="5" a="1"/>
  <c r="F37" i="5" s="1"/>
  <c r="F38" i="5" a="1"/>
  <c r="F38" i="5" s="1"/>
  <c r="F39" i="5" a="1"/>
  <c r="F39" i="5" s="1"/>
  <c r="F40" i="5" a="1"/>
  <c r="F40" i="5" s="1"/>
  <c r="F41" i="5" a="1"/>
  <c r="F41" i="5" s="1"/>
  <c r="F42" i="5" a="1"/>
  <c r="F42" i="5" s="1"/>
  <c r="F43" i="5" a="1"/>
  <c r="F43" i="5" s="1"/>
  <c r="F44" i="5" a="1"/>
  <c r="F44" i="5" s="1"/>
  <c r="F45" i="5" a="1"/>
  <c r="F45" i="5" s="1"/>
  <c r="F46" i="5" a="1"/>
  <c r="F46" i="5" s="1"/>
  <c r="F47" i="5" a="1"/>
  <c r="F47" i="5" s="1"/>
  <c r="F48" i="5" a="1"/>
  <c r="F48" i="5" s="1"/>
  <c r="F49" i="5" a="1"/>
  <c r="F49" i="5" s="1"/>
  <c r="F50" i="5" a="1"/>
  <c r="F50" i="5" s="1"/>
  <c r="F51" i="5" a="1"/>
  <c r="F51" i="5" s="1"/>
  <c r="F52" i="5" a="1"/>
  <c r="F52" i="5" s="1"/>
  <c r="F53" i="5" a="1"/>
  <c r="F53" i="5" s="1"/>
  <c r="F54" i="5" a="1"/>
  <c r="F54" i="5" s="1"/>
  <c r="F55" i="5" a="1"/>
  <c r="F55" i="5" s="1"/>
  <c r="F56" i="5" a="1"/>
  <c r="F56" i="5" s="1"/>
  <c r="F57" i="5" a="1"/>
  <c r="F57" i="5" s="1"/>
  <c r="F58" i="5" a="1"/>
  <c r="F58" i="5" s="1"/>
  <c r="F59" i="5" a="1"/>
  <c r="F59" i="5" s="1"/>
  <c r="F60" i="5" a="1"/>
  <c r="F60" i="5" s="1"/>
  <c r="F61" i="5" a="1"/>
  <c r="F61" i="5" s="1"/>
  <c r="F62" i="5" a="1"/>
  <c r="F62" i="5" s="1"/>
  <c r="F63" i="5" a="1"/>
  <c r="F63" i="5" s="1"/>
  <c r="D20" i="5" a="1"/>
  <c r="D20" i="5" s="1"/>
  <c r="D21" i="5" a="1"/>
  <c r="D21" i="5" s="1"/>
  <c r="D22" i="5" a="1"/>
  <c r="D22" i="5" s="1"/>
  <c r="D23" i="5" a="1"/>
  <c r="D23" i="5" s="1"/>
  <c r="D24" i="5" a="1"/>
  <c r="D24" i="5" s="1"/>
  <c r="D25" i="5" a="1"/>
  <c r="D25" i="5" s="1"/>
  <c r="D26" i="5" a="1"/>
  <c r="D2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C20" i="5" a="1"/>
  <c r="C20" i="5" s="1"/>
  <c r="C21" i="5" a="1"/>
  <c r="C21" i="5" s="1"/>
  <c r="C22" i="5" a="1"/>
  <c r="C22" i="5" s="1"/>
  <c r="C23" i="5" a="1"/>
  <c r="C23" i="5" s="1"/>
  <c r="C24" i="5" a="1"/>
  <c r="C24" i="5" s="1"/>
  <c r="C25" i="5" a="1"/>
  <c r="C25" i="5" s="1"/>
  <c r="C26" i="5" a="1"/>
  <c r="C26" i="5" s="1"/>
  <c r="C27" i="5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B20" i="5" a="1"/>
  <c r="B20" i="5" s="1"/>
  <c r="B21" i="5" a="1"/>
  <c r="B21" i="5" s="1"/>
  <c r="B22" i="5" a="1"/>
  <c r="B22" i="5" s="1"/>
  <c r="B23" i="5" a="1"/>
  <c r="B23" i="5" s="1"/>
  <c r="B24" i="5" a="1"/>
  <c r="B24" i="5" s="1"/>
  <c r="B25" i="5" a="1"/>
  <c r="B25" i="5" s="1"/>
  <c r="B26" i="5" a="1"/>
  <c r="B26" i="5" s="1"/>
  <c r="B27" i="5" a="1"/>
  <c r="B27" i="5" s="1"/>
  <c r="B28" i="5" a="1"/>
  <c r="B28" i="5" s="1"/>
  <c r="B29" i="5" a="1"/>
  <c r="B29" i="5" s="1"/>
  <c r="B30" i="5" a="1"/>
  <c r="B30" i="5" s="1"/>
  <c r="B31" i="5" a="1"/>
  <c r="B31" i="5" s="1"/>
  <c r="B32" i="5" a="1"/>
  <c r="B32" i="5" s="1"/>
  <c r="B33" i="5" a="1"/>
  <c r="B33" i="5" s="1"/>
  <c r="B34" i="5" a="1"/>
  <c r="B34" i="5" s="1"/>
  <c r="B35" i="5" a="1"/>
  <c r="B35" i="5" s="1"/>
  <c r="B36" i="5" a="1"/>
  <c r="B36" i="5" s="1"/>
  <c r="B37" i="5" a="1"/>
  <c r="B37" i="5" s="1"/>
  <c r="B38" i="5" a="1"/>
  <c r="B38" i="5" s="1"/>
  <c r="B39" i="5" a="1"/>
  <c r="B39" i="5" s="1"/>
  <c r="B40" i="5" a="1"/>
  <c r="B40" i="5" s="1"/>
  <c r="B41" i="5" a="1"/>
  <c r="B41" i="5" s="1"/>
  <c r="B42" i="5" a="1"/>
  <c r="B42" i="5" s="1"/>
  <c r="B43" i="5" a="1"/>
  <c r="B43" i="5" s="1"/>
  <c r="B44" i="5" a="1"/>
  <c r="B44" i="5" s="1"/>
  <c r="B45" i="5" a="1"/>
  <c r="B45" i="5" s="1"/>
  <c r="B46" i="5" a="1"/>
  <c r="B46" i="5" s="1"/>
  <c r="B47" i="5" a="1"/>
  <c r="B47" i="5" s="1"/>
  <c r="B48" i="5" a="1"/>
  <c r="B48" i="5" s="1"/>
  <c r="B49" i="5" a="1"/>
  <c r="B49" i="5" s="1"/>
  <c r="B50" i="5" a="1"/>
  <c r="B50" i="5" s="1"/>
  <c r="B51" i="5" a="1"/>
  <c r="B51" i="5" s="1"/>
  <c r="B52" i="5" a="1"/>
  <c r="B52" i="5" s="1"/>
  <c r="B53" i="5" a="1"/>
  <c r="B53" i="5" s="1"/>
  <c r="B54" i="5" a="1"/>
  <c r="B54" i="5" s="1"/>
  <c r="B55" i="5" a="1"/>
  <c r="B55" i="5" s="1"/>
  <c r="B56" i="5" a="1"/>
  <c r="B56" i="5" s="1"/>
  <c r="B57" i="5" a="1"/>
  <c r="B57" i="5" s="1"/>
  <c r="B58" i="5" a="1"/>
  <c r="B58" i="5" s="1"/>
  <c r="B59" i="5" a="1"/>
  <c r="B59" i="5" s="1"/>
  <c r="B60" i="5" a="1"/>
  <c r="B60" i="5" s="1"/>
  <c r="B61" i="5" a="1"/>
  <c r="B61" i="5" s="1"/>
  <c r="B62" i="5" a="1"/>
  <c r="B62" i="5" s="1"/>
  <c r="B63" i="5" a="1"/>
  <c r="B63" i="5" s="1"/>
  <c r="A20" i="5" a="1"/>
  <c r="A20" i="5" s="1"/>
  <c r="A21" i="5" a="1"/>
  <c r="A21" i="5" s="1"/>
  <c r="A22" i="5" a="1"/>
  <c r="A22" i="5" s="1"/>
  <c r="A23" i="5" a="1"/>
  <c r="A23" i="5" s="1"/>
  <c r="A24" i="5" a="1"/>
  <c r="A24" i="5" s="1"/>
  <c r="A25" i="5" a="1"/>
  <c r="A25" i="5" s="1"/>
  <c r="A26" i="5" a="1"/>
  <c r="A26" i="5" s="1"/>
  <c r="A27" i="5" a="1"/>
  <c r="A27" i="5" s="1"/>
  <c r="A28" i="5" a="1"/>
  <c r="A28" i="5" s="1"/>
  <c r="A29" i="5" a="1"/>
  <c r="A29" i="5" s="1"/>
  <c r="A30" i="5" a="1"/>
  <c r="A30" i="5" s="1"/>
  <c r="A31" i="5" a="1"/>
  <c r="A31" i="5" s="1"/>
  <c r="A32" i="5" a="1"/>
  <c r="A32" i="5" s="1"/>
  <c r="A33" i="5" a="1"/>
  <c r="A33" i="5" s="1"/>
  <c r="A34" i="5" a="1"/>
  <c r="A34" i="5" s="1"/>
  <c r="A35" i="5" a="1"/>
  <c r="A35" i="5" s="1"/>
  <c r="A36" i="5" a="1"/>
  <c r="A36" i="5" s="1"/>
  <c r="A37" i="5" a="1"/>
  <c r="A37" i="5" s="1"/>
  <c r="A38" i="5" a="1"/>
  <c r="A38" i="5" s="1"/>
  <c r="A39" i="5" a="1"/>
  <c r="A39" i="5" s="1"/>
  <c r="A40" i="5" a="1"/>
  <c r="A40" i="5" s="1"/>
  <c r="A41" i="5" a="1"/>
  <c r="A41" i="5" s="1"/>
  <c r="A42" i="5" a="1"/>
  <c r="A42" i="5" s="1"/>
  <c r="A43" i="5" a="1"/>
  <c r="A43" i="5" s="1"/>
  <c r="A44" i="5" a="1"/>
  <c r="A44" i="5" s="1"/>
  <c r="A45" i="5" a="1"/>
  <c r="A45" i="5" s="1"/>
  <c r="A46" i="5" a="1"/>
  <c r="A46" i="5" s="1"/>
  <c r="A47" i="5" a="1"/>
  <c r="A47" i="5" s="1"/>
  <c r="A48" i="5" a="1"/>
  <c r="A48" i="5" s="1"/>
  <c r="A49" i="5" a="1"/>
  <c r="A49" i="5" s="1"/>
  <c r="A50" i="5" a="1"/>
  <c r="A50" i="5" s="1"/>
  <c r="A51" i="5" a="1"/>
  <c r="A51" i="5" s="1"/>
  <c r="A52" i="5" a="1"/>
  <c r="A52" i="5" s="1"/>
  <c r="A53" i="5" a="1"/>
  <c r="A53" i="5" s="1"/>
  <c r="A54" i="5" a="1"/>
  <c r="A54" i="5" s="1"/>
  <c r="A55" i="5" a="1"/>
  <c r="A55" i="5" s="1"/>
  <c r="A56" i="5" a="1"/>
  <c r="A56" i="5" s="1"/>
  <c r="A57" i="5" a="1"/>
  <c r="A57" i="5" s="1"/>
  <c r="A58" i="5" a="1"/>
  <c r="A58" i="5" s="1"/>
  <c r="A59" i="5" a="1"/>
  <c r="A59" i="5" s="1"/>
  <c r="A60" i="5" a="1"/>
  <c r="A60" i="5" s="1"/>
  <c r="A61" i="5" a="1"/>
  <c r="A61" i="5" s="1"/>
  <c r="A62" i="5" a="1"/>
  <c r="A62" i="5" s="1"/>
  <c r="A63" i="5" a="1"/>
  <c r="A63" i="5" s="1"/>
  <c r="H19" i="5" l="1" a="1"/>
  <c r="H19" i="5" s="1"/>
  <c r="G19" i="5" a="1"/>
  <c r="G19" i="5" s="1"/>
  <c r="F19" i="5" a="1"/>
  <c r="F19" i="5" s="1"/>
  <c r="D19" i="5" a="1"/>
  <c r="D19" i="5" s="1"/>
  <c r="C19" i="5" a="1"/>
  <c r="C19" i="5" s="1"/>
  <c r="B19" i="5" a="1"/>
  <c r="B19" i="5" s="1"/>
  <c r="A19" i="5" a="1"/>
  <c r="A19" i="5" s="1"/>
</calcChain>
</file>

<file path=xl/comments1.xml><?xml version="1.0" encoding="utf-8"?>
<comments xmlns="http://schemas.openxmlformats.org/spreadsheetml/2006/main">
  <authors>
    <author>Hun, Riley</author>
  </authors>
  <commentList>
    <comment ref="D30" authorId="0">
      <text>
        <r>
          <rPr>
            <b/>
            <sz val="9"/>
            <color indexed="81"/>
            <rFont val="Tahoma"/>
            <family val="2"/>
          </rPr>
          <t>Hun, Riley:</t>
        </r>
        <r>
          <rPr>
            <sz val="9"/>
            <color indexed="81"/>
            <rFont val="Tahoma"/>
            <family val="2"/>
          </rPr>
          <t xml:space="preserve">
Actually  BSC's that don't vent outside</t>
        </r>
      </text>
    </comment>
    <comment ref="D31" authorId="0">
      <text>
        <r>
          <rPr>
            <b/>
            <sz val="9"/>
            <color indexed="81"/>
            <rFont val="Tahoma"/>
            <family val="2"/>
          </rPr>
          <t>Hun, Riley:</t>
        </r>
        <r>
          <rPr>
            <sz val="9"/>
            <color indexed="81"/>
            <rFont val="Tahoma"/>
            <family val="2"/>
          </rPr>
          <t xml:space="preserve">
Actually  BSC's that don't vent outside</t>
        </r>
      </text>
    </comment>
    <comment ref="D32" authorId="0">
      <text>
        <r>
          <rPr>
            <b/>
            <sz val="9"/>
            <color indexed="81"/>
            <rFont val="Tahoma"/>
            <family val="2"/>
          </rPr>
          <t>Hun, Riley:</t>
        </r>
        <r>
          <rPr>
            <sz val="9"/>
            <color indexed="81"/>
            <rFont val="Tahoma"/>
            <family val="2"/>
          </rPr>
          <t xml:space="preserve">
Actually  BSC's that don't vent outside</t>
        </r>
      </text>
    </comment>
    <comment ref="D33" authorId="0">
      <text>
        <r>
          <rPr>
            <b/>
            <sz val="9"/>
            <color indexed="81"/>
            <rFont val="Tahoma"/>
            <family val="2"/>
          </rPr>
          <t>Hun, Riley:</t>
        </r>
        <r>
          <rPr>
            <sz val="9"/>
            <color indexed="81"/>
            <rFont val="Tahoma"/>
            <family val="2"/>
          </rPr>
          <t xml:space="preserve">
Actually  BSC's that don't vent outside</t>
        </r>
      </text>
    </comment>
    <comment ref="D34" authorId="0">
      <text>
        <r>
          <rPr>
            <b/>
            <sz val="9"/>
            <color indexed="81"/>
            <rFont val="Tahoma"/>
            <family val="2"/>
          </rPr>
          <t>Hun, Riley:</t>
        </r>
        <r>
          <rPr>
            <sz val="9"/>
            <color indexed="81"/>
            <rFont val="Tahoma"/>
            <family val="2"/>
          </rPr>
          <t xml:space="preserve">
Actually  BSC's that don't vent outside</t>
        </r>
      </text>
    </comment>
    <comment ref="D35" authorId="0">
      <text>
        <r>
          <rPr>
            <b/>
            <sz val="9"/>
            <color indexed="81"/>
            <rFont val="Tahoma"/>
            <family val="2"/>
          </rPr>
          <t>Hun, Riley:</t>
        </r>
        <r>
          <rPr>
            <sz val="9"/>
            <color indexed="81"/>
            <rFont val="Tahoma"/>
            <family val="2"/>
          </rPr>
          <t xml:space="preserve">
Actually  BSC's that don't vent outside</t>
        </r>
      </text>
    </comment>
    <comment ref="D36" authorId="0">
      <text>
        <r>
          <rPr>
            <b/>
            <sz val="9"/>
            <color indexed="81"/>
            <rFont val="Tahoma"/>
            <family val="2"/>
          </rPr>
          <t>Hun, Riley:</t>
        </r>
        <r>
          <rPr>
            <sz val="9"/>
            <color indexed="81"/>
            <rFont val="Tahoma"/>
            <family val="2"/>
          </rPr>
          <t xml:space="preserve">
Actually  BSC's that don't vent outside</t>
        </r>
      </text>
    </comment>
    <comment ref="D37" authorId="0">
      <text>
        <r>
          <rPr>
            <b/>
            <sz val="9"/>
            <color indexed="81"/>
            <rFont val="Tahoma"/>
            <family val="2"/>
          </rPr>
          <t>Hun, Riley:</t>
        </r>
        <r>
          <rPr>
            <sz val="9"/>
            <color indexed="81"/>
            <rFont val="Tahoma"/>
            <family val="2"/>
          </rPr>
          <t xml:space="preserve">
Actually  BSC's that don't vent outside</t>
        </r>
      </text>
    </comment>
    <comment ref="D38" authorId="0">
      <text>
        <r>
          <rPr>
            <b/>
            <sz val="9"/>
            <color indexed="81"/>
            <rFont val="Tahoma"/>
            <family val="2"/>
          </rPr>
          <t>Hun, Riley:</t>
        </r>
        <r>
          <rPr>
            <sz val="9"/>
            <color indexed="81"/>
            <rFont val="Tahoma"/>
            <family val="2"/>
          </rPr>
          <t xml:space="preserve">
Actually  BSC's that don't vent outside</t>
        </r>
      </text>
    </comment>
    <comment ref="D39" authorId="0">
      <text>
        <r>
          <rPr>
            <b/>
            <sz val="9"/>
            <color indexed="81"/>
            <rFont val="Tahoma"/>
            <family val="2"/>
          </rPr>
          <t>Hun, Riley:</t>
        </r>
        <r>
          <rPr>
            <sz val="9"/>
            <color indexed="81"/>
            <rFont val="Tahoma"/>
            <family val="2"/>
          </rPr>
          <t xml:space="preserve">
Actually  BSC's that don't vent outside</t>
        </r>
      </text>
    </comment>
    <comment ref="D40" authorId="0">
      <text>
        <r>
          <rPr>
            <b/>
            <sz val="9"/>
            <color indexed="81"/>
            <rFont val="Tahoma"/>
            <family val="2"/>
          </rPr>
          <t>Hun, Riley:</t>
        </r>
        <r>
          <rPr>
            <sz val="9"/>
            <color indexed="81"/>
            <rFont val="Tahoma"/>
            <family val="2"/>
          </rPr>
          <t xml:space="preserve">
Actually  BSC's that don't vent outside</t>
        </r>
      </text>
    </comment>
    <comment ref="D41" authorId="0">
      <text>
        <r>
          <rPr>
            <b/>
            <sz val="9"/>
            <color indexed="81"/>
            <rFont val="Tahoma"/>
            <family val="2"/>
          </rPr>
          <t>Hun, Riley:</t>
        </r>
        <r>
          <rPr>
            <sz val="9"/>
            <color indexed="81"/>
            <rFont val="Tahoma"/>
            <family val="2"/>
          </rPr>
          <t xml:space="preserve">
Actually  BSC's that don't vent outside</t>
        </r>
      </text>
    </comment>
    <comment ref="D42" authorId="0">
      <text>
        <r>
          <rPr>
            <b/>
            <sz val="9"/>
            <color indexed="81"/>
            <rFont val="Tahoma"/>
            <family val="2"/>
          </rPr>
          <t>Hun, Riley:</t>
        </r>
        <r>
          <rPr>
            <sz val="9"/>
            <color indexed="81"/>
            <rFont val="Tahoma"/>
            <family val="2"/>
          </rPr>
          <t xml:space="preserve">
Actually  BSC's that don't vent outside</t>
        </r>
      </text>
    </comment>
    <comment ref="D43" authorId="0">
      <text>
        <r>
          <rPr>
            <b/>
            <sz val="9"/>
            <color indexed="81"/>
            <rFont val="Tahoma"/>
            <family val="2"/>
          </rPr>
          <t>Hun, Riley:</t>
        </r>
        <r>
          <rPr>
            <sz val="9"/>
            <color indexed="81"/>
            <rFont val="Tahoma"/>
            <family val="2"/>
          </rPr>
          <t xml:space="preserve">
Actually  BSC's that don't vent outside</t>
        </r>
      </text>
    </comment>
    <comment ref="D44" authorId="0">
      <text>
        <r>
          <rPr>
            <b/>
            <sz val="9"/>
            <color indexed="81"/>
            <rFont val="Tahoma"/>
            <family val="2"/>
          </rPr>
          <t>Hun, Riley:</t>
        </r>
        <r>
          <rPr>
            <sz val="9"/>
            <color indexed="81"/>
            <rFont val="Tahoma"/>
            <family val="2"/>
          </rPr>
          <t xml:space="preserve">
Actually  BSC's that don't vent outside</t>
        </r>
      </text>
    </comment>
    <comment ref="D45" authorId="0">
      <text>
        <r>
          <rPr>
            <b/>
            <sz val="9"/>
            <color indexed="81"/>
            <rFont val="Tahoma"/>
            <family val="2"/>
          </rPr>
          <t>Hun, Riley:</t>
        </r>
        <r>
          <rPr>
            <sz val="9"/>
            <color indexed="81"/>
            <rFont val="Tahoma"/>
            <family val="2"/>
          </rPr>
          <t xml:space="preserve">
Actually  BSC's that don't vent outside</t>
        </r>
      </text>
    </comment>
  </commentList>
</comments>
</file>

<file path=xl/sharedStrings.xml><?xml version="1.0" encoding="utf-8"?>
<sst xmlns="http://schemas.openxmlformats.org/spreadsheetml/2006/main" count="3078" uniqueCount="591">
  <si>
    <t>FUME HOOD RESPONSE TRACKER</t>
  </si>
  <si>
    <t>Laboratory Location</t>
  </si>
  <si>
    <t>Province</t>
  </si>
  <si>
    <t>Has Fumehood? (Yes/No)</t>
  </si>
  <si>
    <t>Fume Hood Identification</t>
  </si>
  <si>
    <t>New Equipment?</t>
  </si>
  <si>
    <t>Last Certification Date</t>
  </si>
  <si>
    <t>List of all Chemicals Used</t>
  </si>
  <si>
    <t>Volume Used (mL) per day</t>
  </si>
  <si>
    <t>Processes Carried Out</t>
  </si>
  <si>
    <t xml:space="preserve">Calgary - Rocky Mountain </t>
  </si>
  <si>
    <t>AB</t>
  </si>
  <si>
    <t>Yes</t>
  </si>
  <si>
    <t>CA54L2597P</t>
  </si>
  <si>
    <t>No</t>
  </si>
  <si>
    <t>Sodium Azide Preparation</t>
  </si>
  <si>
    <t>5 g/year</t>
  </si>
  <si>
    <t>Sodium Azide</t>
  </si>
  <si>
    <t>70% Ethanol preparation</t>
  </si>
  <si>
    <t>28,000 mL/year</t>
  </si>
  <si>
    <t>95% Ethanol</t>
  </si>
  <si>
    <t>Hair cortisol</t>
  </si>
  <si>
    <t>0.5 mL/year</t>
  </si>
  <si>
    <t>Ethylene Glycol</t>
  </si>
  <si>
    <t>Ethyl Acetate</t>
  </si>
  <si>
    <t>35 mL/week</t>
  </si>
  <si>
    <t>Extraction of 25-OH D3 from</t>
  </si>
  <si>
    <t>Acetonitrile</t>
  </si>
  <si>
    <t>10 mL/week</t>
  </si>
  <si>
    <t/>
  </si>
  <si>
    <t>Methanol</t>
  </si>
  <si>
    <t>25 mL/week</t>
  </si>
  <si>
    <t>PTAD</t>
  </si>
  <si>
    <t>0.5 mL/week</t>
  </si>
  <si>
    <t>PBS</t>
  </si>
  <si>
    <t>12 pk/year</t>
  </si>
  <si>
    <t>PBS azide preparation</t>
  </si>
  <si>
    <t>10% Polysorbate 20</t>
  </si>
  <si>
    <t>1.6 mL/year</t>
  </si>
  <si>
    <t>Tween preparation</t>
  </si>
  <si>
    <t>Phenol Red</t>
  </si>
  <si>
    <t>60 mg/year</t>
  </si>
  <si>
    <t>Phenol red preparation</t>
  </si>
  <si>
    <t>Tergazyme</t>
  </si>
  <si>
    <t>120 g/year</t>
  </si>
  <si>
    <t>Plate washer maintenance</t>
  </si>
  <si>
    <t>Javex</t>
  </si>
  <si>
    <t>144,000 mL/year</t>
  </si>
  <si>
    <t>10% Bleach preparation</t>
  </si>
  <si>
    <t>Cavacide</t>
  </si>
  <si>
    <t>760 mL/year</t>
  </si>
  <si>
    <t>Centrifuge disinfection</t>
  </si>
  <si>
    <t>HNO3</t>
  </si>
  <si>
    <t>25 mL/hr</t>
  </si>
  <si>
    <t>Hair Multielement</t>
  </si>
  <si>
    <t>HCL</t>
  </si>
  <si>
    <t>0.5 mL/hr</t>
  </si>
  <si>
    <t>Urine Multielement</t>
  </si>
  <si>
    <t>TMAH</t>
  </si>
  <si>
    <t>0.1 mL/hr</t>
  </si>
  <si>
    <t>Iodine Plus</t>
  </si>
  <si>
    <t>Na2S2SO3</t>
  </si>
  <si>
    <t>0.2 mL/hr</t>
  </si>
  <si>
    <t>BRL Hematology</t>
  </si>
  <si>
    <t>BC</t>
  </si>
  <si>
    <t>-</t>
  </si>
  <si>
    <t>BRL Microbiology</t>
  </si>
  <si>
    <t>BSC/FH 17</t>
  </si>
  <si>
    <t xml:space="preserve">- </t>
  </si>
  <si>
    <t>Unit decontaminated and put into storage at BRL</t>
  </si>
  <si>
    <t>BRL Chemistry/Toxicology</t>
  </si>
  <si>
    <t>BSC/FH 5</t>
  </si>
  <si>
    <t>MTBE (004032)</t>
  </si>
  <si>
    <t>3750 mL/hr</t>
  </si>
  <si>
    <t>BSC/FH 6</t>
  </si>
  <si>
    <t>375 mL/hr</t>
  </si>
  <si>
    <t>Hexane (002120)</t>
  </si>
  <si>
    <t>ETPOPC (005206)</t>
  </si>
  <si>
    <t>Dichloromethane (002306)</t>
  </si>
  <si>
    <t>Isopropanol</t>
  </si>
  <si>
    <t>BRL Molecular Diagnostics</t>
  </si>
  <si>
    <t>BRL Reagent Room</t>
  </si>
  <si>
    <t>BSC/FH</t>
  </si>
  <si>
    <t>Reagent Alcohol ACS (007269)</t>
  </si>
  <si>
    <t>2000 mL/day</t>
  </si>
  <si>
    <t>Making Reagents for Reagent Room</t>
  </si>
  <si>
    <t>Acetone ACS (005106)</t>
  </si>
  <si>
    <t>Methanol ACS (002227)</t>
  </si>
  <si>
    <t>4000 mL/day</t>
  </si>
  <si>
    <t>Isopropyl Alcohol (006098)</t>
  </si>
  <si>
    <t>Dichloromethanol OmniSolv (002306)</t>
  </si>
  <si>
    <t>1000 mL/day</t>
  </si>
  <si>
    <t>Iso Amyl Alcohol (002583)</t>
  </si>
  <si>
    <t>100 mL/day</t>
  </si>
  <si>
    <t>Formic Acid (003865)</t>
  </si>
  <si>
    <t>4 mL/day</t>
  </si>
  <si>
    <t>Sulphuric Acid (007295)</t>
  </si>
  <si>
    <t>1 mL/day</t>
  </si>
  <si>
    <t>Acetonitrile Omnisolv (002384)</t>
  </si>
  <si>
    <t>Hexane Omnisolv (002121)</t>
  </si>
  <si>
    <t>Ammonium Formate (005196)</t>
  </si>
  <si>
    <t>8 mL/day</t>
  </si>
  <si>
    <t>Hydrochloric Acid (007285)</t>
  </si>
  <si>
    <t>Washing Slide Holder; Washing Vials for GC/MS/LC/MS</t>
  </si>
  <si>
    <t>500 mL/day</t>
  </si>
  <si>
    <t>Acetonitrile (002384)</t>
  </si>
  <si>
    <t>Triflurorocetic Acid (003864)</t>
  </si>
  <si>
    <t>Molecular Department making slides</t>
  </si>
  <si>
    <t>BRL Urinalysis</t>
  </si>
  <si>
    <t>CCB - Chem 2</t>
  </si>
  <si>
    <t>CCB - Chem 3</t>
  </si>
  <si>
    <t>FH 125; FH 126</t>
  </si>
  <si>
    <t>1-Chlorobutane [Butyl Chloride] For HPLC, Spectrophotometry
and Gas Chromatography OmniSolv (007688)</t>
  </si>
  <si>
    <t>50 mL/hr</t>
  </si>
  <si>
    <t>Make up reagents; derivitize samples for GC/MS; separate aqueous layer from sample using sunction pump</t>
  </si>
  <si>
    <t>Tetramethylammonium hydroxide pentahydrate (006251)</t>
  </si>
  <si>
    <t>1-Octanol   (005919)</t>
  </si>
  <si>
    <t>NaBH3CN</t>
  </si>
  <si>
    <t>3600 mL/hr</t>
  </si>
  <si>
    <t>Evaporation and Derivation of BF3 amd IOPs</t>
  </si>
  <si>
    <t>Acetate Buffer</t>
  </si>
  <si>
    <t>CD3CDO</t>
  </si>
  <si>
    <t>Methanol HR-GC Grade For High Resolution
Gas Chromatography OmniSolv (006128)</t>
  </si>
  <si>
    <t>250 mL/hr</t>
  </si>
  <si>
    <t>Chloroform, stabilized with amylene (007214)</t>
  </si>
  <si>
    <t>500 mL/hr</t>
  </si>
  <si>
    <t>Acetone (004601)</t>
  </si>
  <si>
    <t>Methylene chloride  (002560)</t>
  </si>
  <si>
    <t>10 mL/hr</t>
  </si>
  <si>
    <t>2-Propanol  (006379)</t>
  </si>
  <si>
    <t>100 mL/hr</t>
  </si>
  <si>
    <t>Ethyl acetate (002580)</t>
  </si>
  <si>
    <t>Glutaraldehyde solution (006046)</t>
  </si>
  <si>
    <t>Hexanes HPLC Grade  (002120)</t>
  </si>
  <si>
    <t>2,2,3,3,3-Pentafluoro-1-propanol  (005922)</t>
  </si>
  <si>
    <t>1 mL/hr</t>
  </si>
  <si>
    <t>n-Heptane  (006154)</t>
  </si>
  <si>
    <t>tert-Butyl methyl ether  (006250)</t>
  </si>
  <si>
    <t>CCB - Chem 4</t>
  </si>
  <si>
    <t>CCB - Chem 5</t>
  </si>
  <si>
    <t>CCB - Chem 6</t>
  </si>
  <si>
    <t>FH 136</t>
  </si>
  <si>
    <t>Coloscreen Developer 15 (005907)</t>
  </si>
  <si>
    <t>Coloscreen Occult Blood: Developer</t>
  </si>
  <si>
    <t>Petroleum Ether (002701)</t>
  </si>
  <si>
    <t>160 mL/hr</t>
  </si>
  <si>
    <t>Fecal Fat Extraction: Petroleum Ehter, Reagent Alcohol, Hydrochloric Acid</t>
  </si>
  <si>
    <t>Reagent Alcohol (002417)</t>
  </si>
  <si>
    <t>5 mL/hr</t>
  </si>
  <si>
    <t>Hydrochloric acid (002293)</t>
  </si>
  <si>
    <t>CCB - Hem 1</t>
  </si>
  <si>
    <t>CCB - Hem 2</t>
  </si>
  <si>
    <t>#124 (Quest)</t>
  </si>
  <si>
    <t>Mainly used for semen slide staining procedure SOP (#22725)</t>
  </si>
  <si>
    <t>Cytoseal 60 (slide mounting media)</t>
  </si>
  <si>
    <t>118 mL/hr</t>
  </si>
  <si>
    <t>Cytoseal 60 used for mounting slides( ex. SOP #27244)</t>
  </si>
  <si>
    <t>CCB - IS</t>
  </si>
  <si>
    <t>CCB - Micro</t>
  </si>
  <si>
    <t>CCB - Para</t>
  </si>
  <si>
    <t>FH 133</t>
  </si>
  <si>
    <t>Protocol Formalin 10 % (005471)</t>
  </si>
  <si>
    <t>Concentration/Hematoxylin Preparation for Parasitology Specimens Doc # 31717</t>
  </si>
  <si>
    <t>Ethyl Acetate GR ACS (002823)</t>
  </si>
  <si>
    <t>Concentration/Hematoxylin Preparation for Parasitology Specimens Doc # 31718</t>
  </si>
  <si>
    <t>Resolve Immersion Oil (006207)</t>
  </si>
  <si>
    <t>Mounting Hematoxylin Slides Doc # 31717</t>
  </si>
  <si>
    <t>Immersion Oil (002613)</t>
  </si>
  <si>
    <t>Pro-par Clearant (001888)</t>
  </si>
  <si>
    <t>FH 230</t>
  </si>
  <si>
    <t>Protocol Formalin 10% (005471)</t>
  </si>
  <si>
    <t>Ethyl Acetate (002823)</t>
  </si>
  <si>
    <t>FH 134</t>
  </si>
  <si>
    <t>Propar Clearant (001888)</t>
  </si>
  <si>
    <t>Permounting Hematoxylin Slides</t>
  </si>
  <si>
    <t>Xylene Substitute Mountant (006214)</t>
  </si>
  <si>
    <t>CCB paradigm document #37623</t>
  </si>
  <si>
    <t>CCB - Reagent Room/Wash Up</t>
  </si>
  <si>
    <t>CCB Microbiology</t>
  </si>
  <si>
    <t>CML/Nanaimo</t>
  </si>
  <si>
    <t>Kamloops</t>
  </si>
  <si>
    <t>Kimberley</t>
  </si>
  <si>
    <t>Prince George</t>
  </si>
  <si>
    <t>Terrace</t>
  </si>
  <si>
    <t>VRL Analytical Support</t>
  </si>
  <si>
    <t>VRL Chemistry</t>
  </si>
  <si>
    <t>FH20</t>
  </si>
  <si>
    <t>Sodium Hydroxide (002377)</t>
  </si>
  <si>
    <t>&lt;50 mL/hr</t>
  </si>
  <si>
    <t>NaOH - 30909</t>
  </si>
  <si>
    <t>Nitric acid, Trace Metal Grade (004616)</t>
  </si>
  <si>
    <t>1% Nitric Acid - 30909</t>
  </si>
  <si>
    <t>Mercury, reference standard solution 1000 ppm (002988)</t>
  </si>
  <si>
    <t>Mercury std. gold std. - 30909</t>
  </si>
  <si>
    <t>1000 μg/mL Gold (002396)</t>
  </si>
  <si>
    <t>Hydrochloric Acid - 30909</t>
  </si>
  <si>
    <t>General Use</t>
  </si>
  <si>
    <t>Hydrochloric Acid - 30913</t>
  </si>
  <si>
    <t>Methanol (002763)</t>
  </si>
  <si>
    <t>&lt;500 mL/hr</t>
  </si>
  <si>
    <t>Acetonitrile (005177)</t>
  </si>
  <si>
    <t>Acetronitrile - 30909</t>
  </si>
  <si>
    <t>Ethanol (002167)</t>
  </si>
  <si>
    <t>Ethanol - 33094</t>
  </si>
  <si>
    <t>Acetone - 30909</t>
  </si>
  <si>
    <t>tert-Butyl methyl ether (005219)</t>
  </si>
  <si>
    <t>Butyl Alchohol - 30909</t>
  </si>
  <si>
    <t>Trifluoroacetic Acid (003864)</t>
  </si>
  <si>
    <t>TFA - 33094</t>
  </si>
  <si>
    <t>VRL Hematology</t>
  </si>
  <si>
    <t>VRL Urinalysis</t>
  </si>
  <si>
    <t>VRL Microbiology</t>
  </si>
  <si>
    <t>BSC/FH 11</t>
  </si>
  <si>
    <t>Virkon  (005100)</t>
  </si>
  <si>
    <t>Biological organism subbing</t>
  </si>
  <si>
    <t>70% Isopropyl Alcohol (003121)</t>
  </si>
  <si>
    <t>Blood culture set-up</t>
  </si>
  <si>
    <t>VRL Micro Support</t>
  </si>
  <si>
    <t>BSC/FH 12</t>
  </si>
  <si>
    <t>Virkon (005100)</t>
  </si>
  <si>
    <t>Specimen plating</t>
  </si>
  <si>
    <t>Specimen set-up</t>
  </si>
  <si>
    <t>BSC/FH 10</t>
  </si>
  <si>
    <t>10% Neutral Buffered Formalin (003169)</t>
  </si>
  <si>
    <t>Setting up O&amp;P</t>
  </si>
  <si>
    <t>Harleco Crystal Violet (002884)</t>
  </si>
  <si>
    <t>Disposal of chemicals into carboys</t>
  </si>
  <si>
    <t>Safranin O, HARLECO, Certified Biological Stain, For Microbiology  (002130)</t>
  </si>
  <si>
    <t>Gram Iodine Solution (002159)</t>
  </si>
  <si>
    <t>010653</t>
  </si>
  <si>
    <t>Decanting</t>
  </si>
  <si>
    <t>Acetone (004061)</t>
  </si>
  <si>
    <t>Hematoxylin Mordant Stock Solution (001285)</t>
  </si>
  <si>
    <t>TB Decolorizer (3%) Acid Alcohol (003150)</t>
  </si>
  <si>
    <t>Pro-Par Clearant (001888)</t>
  </si>
  <si>
    <t>Belleville Chemistry</t>
  </si>
  <si>
    <t>ON</t>
  </si>
  <si>
    <t xml:space="preserve">No </t>
  </si>
  <si>
    <t>Belleville Distribution</t>
  </si>
  <si>
    <t>Belleville Hematology</t>
  </si>
  <si>
    <t>Belleville Microbiology</t>
  </si>
  <si>
    <t>Genetics</t>
  </si>
  <si>
    <t>HOOD-1 LABCONCO  S/N 140390069B'</t>
  </si>
  <si>
    <t>Ethanol</t>
  </si>
  <si>
    <t>200 mL/day</t>
  </si>
  <si>
    <t>Dispensing ethanol and NaOH</t>
  </si>
  <si>
    <t>Sodium Hydroxide</t>
  </si>
  <si>
    <t>0.05 mL/day</t>
  </si>
  <si>
    <t>Purification step for Roche NGS protocol</t>
  </si>
  <si>
    <t>85 mL/day</t>
  </si>
  <si>
    <t>Decanting into small waste bottles</t>
  </si>
  <si>
    <t>Hamilton - HRL</t>
  </si>
  <si>
    <t>Room 213</t>
  </si>
  <si>
    <t>Denatured ethyl alcohol (007283)</t>
  </si>
  <si>
    <t>58.3 mL/month</t>
  </si>
  <si>
    <t>Decanting to make solutions for general lab use</t>
  </si>
  <si>
    <t>Ventilation Smoke Tube Testing (007518)</t>
  </si>
  <si>
    <t>1000 mL/month</t>
  </si>
  <si>
    <t>Ventilation smoke tube testing Monthly Check (Doc # 3737)</t>
  </si>
  <si>
    <t>350 mL/week</t>
  </si>
  <si>
    <t>Decanting to use for instruments - BCS &amp; BCS-XP Maintenance - SOP # EQP019 &amp; EQP007</t>
  </si>
  <si>
    <t>Isopropyl alcohol (007286)</t>
  </si>
  <si>
    <t>2800 mL/month</t>
  </si>
  <si>
    <t>Hamilton - Mountain Park</t>
  </si>
  <si>
    <t>IRL Chemistry</t>
  </si>
  <si>
    <t>FH 7</t>
  </si>
  <si>
    <t>2-Mercaptoethanol (004885)</t>
  </si>
  <si>
    <t>0.025 mL/day</t>
  </si>
  <si>
    <t>Doc #6165</t>
  </si>
  <si>
    <t>FH 8</t>
  </si>
  <si>
    <t>Methylene chloride (002560)</t>
  </si>
  <si>
    <t>250 mL/day</t>
  </si>
  <si>
    <t>Doc #22688</t>
  </si>
  <si>
    <t>Hydrochloric Acid Solution (002418)</t>
  </si>
  <si>
    <t>5 mL/day</t>
  </si>
  <si>
    <t>Sodium Hydroxide 1N Solution (001864)</t>
  </si>
  <si>
    <t>AUTOSTAINER - Prisma TissueTek - S/N 61300933-0513 - 6130PRISMA AID</t>
  </si>
  <si>
    <t>Harleco Hematoxylin, Gill Solution I, For Histology and Cytology (001272)</t>
  </si>
  <si>
    <t>Blueing Reagent (000925)</t>
  </si>
  <si>
    <t>Harleco Papanicolaou OG-6 (001273)</t>
  </si>
  <si>
    <t>Papanicolaou, EA-36, Harleco (002223)</t>
  </si>
  <si>
    <t>Clear-Rite 3 (002250)</t>
  </si>
  <si>
    <t>1000 mL/hr</t>
  </si>
  <si>
    <t>Shandon Consul Mount Histology  (003118)</t>
  </si>
  <si>
    <t>Xylenes, for Histology (002389)</t>
  </si>
  <si>
    <t>FUMEHOOD - Kewaunee K505K5Y6V - S/N R149759</t>
  </si>
  <si>
    <t>MM 24 (002570)</t>
  </si>
  <si>
    <t>125 mL/hr</t>
  </si>
  <si>
    <t>Shandon Consul Mount Cytology  (003118)</t>
  </si>
  <si>
    <t>BSC - Labconco Purifier Class II Safety Cabinet - Model 36212-00 S/N 247301</t>
  </si>
  <si>
    <t>ThinPrep CytoLyt Solution (002906)</t>
  </si>
  <si>
    <t>Cytology Fixative (Non-Aerosol)  (001128)</t>
  </si>
  <si>
    <t>Ultra Javex Professional Bleach By Clorox - Din 02314215 (003224)</t>
  </si>
  <si>
    <t>Virkon Tablets (003025)</t>
  </si>
  <si>
    <t>COVER-SLIPPER - Tissue-Tek Glas g2-Automated Glass CoverSlipper - Code 6500 Glas g2-A1 S/N 65000073-0109</t>
  </si>
  <si>
    <t>FILM COVER-SLIPPER - Tissue-Tek Prisma Film Automated Coverslipper - Model Film – A1
S/N 4701005-0214</t>
  </si>
  <si>
    <t>Acetone GR ACS (005106)</t>
  </si>
  <si>
    <t>IRL Hematology</t>
  </si>
  <si>
    <t>SP-1</t>
  </si>
  <si>
    <t>K Bromide</t>
  </si>
  <si>
    <t>35 g/hr</t>
  </si>
  <si>
    <t>Calculus Analysis</t>
  </si>
  <si>
    <t>Ca Phosphate</t>
  </si>
  <si>
    <t>0.05 g/hr</t>
  </si>
  <si>
    <t>Ammo Phosphate</t>
  </si>
  <si>
    <t>Uric Acid</t>
  </si>
  <si>
    <t>CA Carbonate</t>
  </si>
  <si>
    <t>L-Cystine</t>
  </si>
  <si>
    <t>CAOX Monohydrate</t>
  </si>
  <si>
    <t>Mg Phosphate</t>
  </si>
  <si>
    <t>Sudan III</t>
  </si>
  <si>
    <t>0.02 mL/hr</t>
  </si>
  <si>
    <t>Fats and Meats Analysis</t>
  </si>
  <si>
    <t>Acetic Acid</t>
  </si>
  <si>
    <t>Synovial Fluid - Centrifugation</t>
  </si>
  <si>
    <t>Xylene</t>
  </si>
  <si>
    <t>Tissue-Tek Glas G2 Auto Coverslip</t>
  </si>
  <si>
    <t>Clear Rite 3</t>
  </si>
  <si>
    <t>Grossing Station #1/Hulk; Grossing Station #2 Captain America; Grossing Station #4 Black Widow; Grossing Station #5 Thor; Grossing Station #6 Spider-man</t>
  </si>
  <si>
    <t>300 mL/hr</t>
  </si>
  <si>
    <t>Acetic acid (002582)</t>
  </si>
  <si>
    <t>6 mL/hr</t>
  </si>
  <si>
    <t>Exhaust Arms Changed into Canopy</t>
  </si>
  <si>
    <t>1500 mL/hr</t>
  </si>
  <si>
    <t>1060 mL/hr</t>
  </si>
  <si>
    <t>Blue Buffer (002898)</t>
  </si>
  <si>
    <t>200 mL/hr</t>
  </si>
  <si>
    <t>Define (Concentrate) (002859)</t>
  </si>
  <si>
    <t>Hematoxylin 560 (002915)</t>
  </si>
  <si>
    <t>400 mL/hr</t>
  </si>
  <si>
    <t>Alcoholic Eosin Y 515 (002914)</t>
  </si>
  <si>
    <t>Fumehood #5/Invisible woman S/N-38370</t>
  </si>
  <si>
    <t>Ethyl Alcohol Anhydrous  (005388)</t>
  </si>
  <si>
    <t>180 mL/hr</t>
  </si>
  <si>
    <t>Autostainer exhaust Prisma #1; Autostainer exhaust Prisma #2</t>
  </si>
  <si>
    <t>30 mL/hr</t>
  </si>
  <si>
    <t>4 mL/hr</t>
  </si>
  <si>
    <t>Autostainer exhaust Prisma ss</t>
  </si>
  <si>
    <t>Ethyl Alcohol Anhydrous (005388)</t>
  </si>
  <si>
    <t>20 mL/hr</t>
  </si>
  <si>
    <t>Schiff Reagent (005156)</t>
  </si>
  <si>
    <t>3 mL/hr</t>
  </si>
  <si>
    <t>Nuclear Fast Red (001569)</t>
  </si>
  <si>
    <t>Giemsa Stain (005129)</t>
  </si>
  <si>
    <t>Formic acid (&gt; 85%) (005128)</t>
  </si>
  <si>
    <t>Periodic Acid (001612)</t>
  </si>
  <si>
    <t>IRL Microbiology</t>
  </si>
  <si>
    <t>Shandon Consul Mount Cytology (003118)</t>
  </si>
  <si>
    <t>ThinPrep Cytolyt Solution (002906)</t>
  </si>
  <si>
    <t>Cytology Fixative (Non-Aerosol) (001128)</t>
  </si>
  <si>
    <t>IRL Parasitology</t>
  </si>
  <si>
    <t>FH 12</t>
  </si>
  <si>
    <t>Saline</t>
  </si>
  <si>
    <t>3000 mL/day</t>
  </si>
  <si>
    <t>O&amp;P Concentration Process and Coverslipping</t>
  </si>
  <si>
    <t>Sodium Acetate</t>
  </si>
  <si>
    <t>540 mL/day</t>
  </si>
  <si>
    <t>Doc #3804 and Doc #7006</t>
  </si>
  <si>
    <t>10% Formalin</t>
  </si>
  <si>
    <t>1250 mL/day</t>
  </si>
  <si>
    <t>MM24</t>
  </si>
  <si>
    <t>50 mL/day</t>
  </si>
  <si>
    <t>Propar</t>
  </si>
  <si>
    <t>550 mL/day</t>
  </si>
  <si>
    <t>Formalin/Acetate/Stool mixture left under the hood for 12-24 hours in open uritainer jug for evaporation. Closed container with residue is then discarded into Biohazard Bin; Used propar is collected into a 5 gallon jug and is sent to the Chemical Room for later pick-up by an External Chemical Company</t>
  </si>
  <si>
    <t>70% Ethanol</t>
  </si>
  <si>
    <t>10 mL/day</t>
  </si>
  <si>
    <t>Formic Acid</t>
  </si>
  <si>
    <t>80% Trifluoracetic acid</t>
  </si>
  <si>
    <t>FH 9</t>
  </si>
  <si>
    <t>IRL Toxicology</t>
  </si>
  <si>
    <t>FH Tox 1</t>
  </si>
  <si>
    <t>UMETS by HPLC Transfer Buffer (002797)</t>
  </si>
  <si>
    <t>Doc #6275</t>
  </si>
  <si>
    <t>Methanol HPLC Grade (005078)</t>
  </si>
  <si>
    <t>1000 mL/week</t>
  </si>
  <si>
    <t>Doc #5839</t>
  </si>
  <si>
    <t>50 mL/week</t>
  </si>
  <si>
    <t>Doc #20628</t>
  </si>
  <si>
    <t>2-Propanol (006379)</t>
  </si>
  <si>
    <t>Hydrochloric Acid (002293)</t>
  </si>
  <si>
    <t>FH Tox 2</t>
  </si>
  <si>
    <t>None</t>
  </si>
  <si>
    <t>IRL Urinalysis</t>
  </si>
  <si>
    <t>London Chemistry</t>
  </si>
  <si>
    <t>London Cytology</t>
  </si>
  <si>
    <t>London Data Sort</t>
  </si>
  <si>
    <t>London Hematology</t>
  </si>
  <si>
    <t>London Microbiology</t>
  </si>
  <si>
    <t>MELISA FH/BSC</t>
  </si>
  <si>
    <t>ALUMINUM CHLORIDE ANHYDROUS (MSDS-004862)</t>
  </si>
  <si>
    <t>0.3 mL/week</t>
  </si>
  <si>
    <t>SOP # CH0343</t>
  </si>
  <si>
    <t>BERYLLIUM SULFATE TETRAHYDRATE (MSDS-004836)</t>
  </si>
  <si>
    <t>0.2 mL/week</t>
  </si>
  <si>
    <t>SOP # CH0344</t>
  </si>
  <si>
    <t>CADMIUM CHLORIDE HYDRATE (MSDS-004868)</t>
  </si>
  <si>
    <t>SOP # CH0345</t>
  </si>
  <si>
    <t>CALCIUM TITANATE (MSDS-004869)</t>
  </si>
  <si>
    <t>SOP # CH0346</t>
  </si>
  <si>
    <t>CHROMIUM III CHLORIDE HEXAHYDRATE (MSDS-004856)</t>
  </si>
  <si>
    <t>SOP # CH0347</t>
  </si>
  <si>
    <t>COBALT II CHLORIDE HEXAHYDRATE (MSDS-004855)</t>
  </si>
  <si>
    <t>SOP # CH0348</t>
  </si>
  <si>
    <t>COPPER (II) SULFATE PENTAHYDRATE (MSDS-004847)</t>
  </si>
  <si>
    <t>SOP # CH0349</t>
  </si>
  <si>
    <t>ETHYLMERCURIC CHLORIDE (MSDS-004881)</t>
  </si>
  <si>
    <t>SOP # CH0350</t>
  </si>
  <si>
    <t>GOLD (1) SODIUM THIOSULFATE HYDRATE (MSDS-004861)</t>
  </si>
  <si>
    <t>SOP # CH0351</t>
  </si>
  <si>
    <t>INDIUM (III) SULFATE HYDRATE (MSDS-004857)</t>
  </si>
  <si>
    <t>SOP # CH0352</t>
  </si>
  <si>
    <t>LEAD(II) NITRATE (MSDS-004853)</t>
  </si>
  <si>
    <t>SOP # CH0353</t>
  </si>
  <si>
    <t>MANGANESE (II)-CHLORIDE TETRAHYDRATE (MSDS-004880)</t>
  </si>
  <si>
    <t>SOP # CH0354</t>
  </si>
  <si>
    <t>MERCURY II CHLORIDE (INORGANIC Hg) (MSDS-004850)</t>
  </si>
  <si>
    <t>SOP # CH0355</t>
  </si>
  <si>
    <t>METHYL MERCURY (II) CHLORIDE (MSDS-004859)</t>
  </si>
  <si>
    <t>SOP # CH0356</t>
  </si>
  <si>
    <t>MOLYBDENUM V CHLORIDE ANHYDROUS (MSDS-004870)</t>
  </si>
  <si>
    <t>SOP # CH0357</t>
  </si>
  <si>
    <t>NICKEL II CHLORIDE ANHYDROUS  (MSDS-004863)</t>
  </si>
  <si>
    <t>0.4 mL/week</t>
  </si>
  <si>
    <t>SOP # CH0358</t>
  </si>
  <si>
    <t>PALLADIUM II CHLORIDE (MSDS-004844)</t>
  </si>
  <si>
    <t>SOP # CH0359</t>
  </si>
  <si>
    <t>PHENYLMERCURY CHLORIDE PESTANOL (MSDS-004864)</t>
  </si>
  <si>
    <t>SOP # CH0360</t>
  </si>
  <si>
    <t>PLATINUM (II) CHLORIDE (MSDS-004867)</t>
  </si>
  <si>
    <t>SOP # CH0361</t>
  </si>
  <si>
    <t>SILVER ACETATE (MSDS-004872)</t>
  </si>
  <si>
    <t>SOP # CH0362</t>
  </si>
  <si>
    <t>TIN (II) CHLORIDE (MSDS-004843)</t>
  </si>
  <si>
    <t>SOP # CH0363</t>
  </si>
  <si>
    <t>THIMEROSAL  (MSDS-004882)</t>
  </si>
  <si>
    <t>SOP # CH0364</t>
  </si>
  <si>
    <t>TITANIUM IV OXIDE (MSDS-004866)</t>
  </si>
  <si>
    <t>SOP # CH0365</t>
  </si>
  <si>
    <t>TITANIUM (III) SULFATE SOLUTION (MSDS-004835)</t>
  </si>
  <si>
    <t>SOP # CH0366</t>
  </si>
  <si>
    <t>VANADIUM (III) CHLORIDE (MSDS-004845)</t>
  </si>
  <si>
    <t>SOP # CH0367</t>
  </si>
  <si>
    <t>ZIRCONIUM IV CHLORIDE ANHYDROUS (MSDS-004871)</t>
  </si>
  <si>
    <t>SOP # CH0368</t>
  </si>
  <si>
    <t>RPMI 1640 W/ L-GLUTAMINE &amp; 25 mM HEPES (MSDS-004834)</t>
  </si>
  <si>
    <t>200 mL/week</t>
  </si>
  <si>
    <t>SOP # CH0369</t>
  </si>
  <si>
    <t>RPMI1640  W/O GLUTAMINE (MSDS-004838)</t>
  </si>
  <si>
    <t>SOP # CH0370</t>
  </si>
  <si>
    <t>L-Glutamine Solution (MSDS-004854)</t>
  </si>
  <si>
    <t>8 mL/week</t>
  </si>
  <si>
    <t>SOP # CH0371</t>
  </si>
  <si>
    <t>DPBS (MSDS-004848)</t>
  </si>
  <si>
    <t>1200 mL/week</t>
  </si>
  <si>
    <t>SOP # CH0372</t>
  </si>
  <si>
    <t>3000 mL/week</t>
  </si>
  <si>
    <t>SOP # CH0373</t>
  </si>
  <si>
    <t>Ficoll-Paque Plus (MSDS-004839)</t>
  </si>
  <si>
    <t>225 mL/week</t>
  </si>
  <si>
    <t>SOP # CH0374</t>
  </si>
  <si>
    <t>Normalization STD for Microbeta 2 (MSDS-004837)</t>
  </si>
  <si>
    <t>SOP # CH0375</t>
  </si>
  <si>
    <t>SOP # CH0376</t>
  </si>
  <si>
    <t>SOP # CH0377</t>
  </si>
  <si>
    <t>lLectin fr. Phytolacca americana  (MSDS-004879)</t>
  </si>
  <si>
    <t>SOP # CH0378</t>
  </si>
  <si>
    <t>Diff Quick methanol (duhm0002)</t>
  </si>
  <si>
    <t>SOP # CH0379</t>
  </si>
  <si>
    <t>Diff Quick Stain I (duhm0003)</t>
  </si>
  <si>
    <t>SOP # CH0380</t>
  </si>
  <si>
    <t>Diff Quick Stain II (duhm0004)</t>
  </si>
  <si>
    <t>SOP # CH0381</t>
  </si>
  <si>
    <t>Betaplate Scint</t>
  </si>
  <si>
    <t>75 mL/week</t>
  </si>
  <si>
    <t>SOP # CH0382</t>
  </si>
  <si>
    <t xml:space="preserve">Optiphase Supermix </t>
  </si>
  <si>
    <t>80 mL/week</t>
  </si>
  <si>
    <t>SOP # CH0383</t>
  </si>
  <si>
    <t>KRL Biochemistry</t>
  </si>
  <si>
    <t>FH12</t>
  </si>
  <si>
    <t>Acetic Acid (002582)</t>
  </si>
  <si>
    <t>DOA extraction procedures, CHOderivitization an</t>
  </si>
  <si>
    <t>Acetic anhydride (004889)</t>
  </si>
  <si>
    <t>12 mL/hr</t>
  </si>
  <si>
    <t>DOA derivitization</t>
  </si>
  <si>
    <t>187.5 mL/hr</t>
  </si>
  <si>
    <t>DOA hydrolysis</t>
  </si>
  <si>
    <t>Ethylacetate (006029)</t>
  </si>
  <si>
    <t>DOA reagent prep</t>
  </si>
  <si>
    <t>Hexane (001340)</t>
  </si>
  <si>
    <t>2.8 mL/hr</t>
  </si>
  <si>
    <t>PH of urines</t>
  </si>
  <si>
    <t>Pyridine (004976)</t>
  </si>
  <si>
    <t>8 mL/hr</t>
  </si>
  <si>
    <t>CHO145</t>
  </si>
  <si>
    <t>Isopropanol (004884)</t>
  </si>
  <si>
    <t>80 mL/hr</t>
  </si>
  <si>
    <t>Methylenchloride (002306)</t>
  </si>
  <si>
    <t>312 mL/hr</t>
  </si>
  <si>
    <t>Ammonium Hydroxide (007550)</t>
  </si>
  <si>
    <t>42 mL/hr</t>
  </si>
  <si>
    <t>KRL Hematology</t>
  </si>
  <si>
    <t>KRL Histology</t>
  </si>
  <si>
    <t>KRL Microbiology</t>
  </si>
  <si>
    <t>8384A</t>
  </si>
  <si>
    <t>PERCEPT CONCENTRATED GENERAL VIRUCIDE DISINFECTANT CLEANER (CAN) (1:16 Use Dilution) (004799)</t>
  </si>
  <si>
    <t>MI0705, MI0785</t>
  </si>
  <si>
    <t>Gram Decolorizer   (001260)</t>
  </si>
  <si>
    <t>MI0605</t>
  </si>
  <si>
    <t>Harleco Blueing Reagent   (001270)</t>
  </si>
  <si>
    <t>16615TS</t>
  </si>
  <si>
    <t>Formic Acid (004609)</t>
  </si>
  <si>
    <t>0.07 mL/hr</t>
  </si>
  <si>
    <t>MI0785</t>
  </si>
  <si>
    <t>0.01 mL/hr</t>
  </si>
  <si>
    <t>Acetonitrile (004602)</t>
  </si>
  <si>
    <t>0.05 mL/hr</t>
  </si>
  <si>
    <t>Trifluoracetic Acid (003864)</t>
  </si>
  <si>
    <t>Acetonitrile 50%, Water 47.5 % and Trifluoroacetic acid 2.5% (005237)</t>
  </si>
  <si>
    <t>2 mL/hr</t>
  </si>
  <si>
    <t>Gram Decolorizer (001260)</t>
  </si>
  <si>
    <t>Microzone BK 2.4</t>
  </si>
  <si>
    <t>POTASSIUM HYDROXIDE PELLETS (006196)</t>
  </si>
  <si>
    <t>0.1 g/hr</t>
  </si>
  <si>
    <t>MI0328</t>
  </si>
  <si>
    <t>Fluorescent Brightener (285668)</t>
  </si>
  <si>
    <t>0.111 g/hr</t>
  </si>
  <si>
    <t>Glycerol (006047)</t>
  </si>
  <si>
    <t>Ottawa Microbiology</t>
  </si>
  <si>
    <t>Scarborough - Bio-Analytic</t>
  </si>
  <si>
    <t>FH1; FH2; FH7; FH8; FH9; FH10; FH12; FH13</t>
  </si>
  <si>
    <t>Sample extraction</t>
  </si>
  <si>
    <t>Solution preparation</t>
  </si>
  <si>
    <t>2-Propanol (002844)</t>
  </si>
  <si>
    <t>Dichloromethane  (005203)</t>
  </si>
  <si>
    <t>FH3; FH4; FH5; FH11</t>
  </si>
  <si>
    <t>Canopy 1</t>
  </si>
  <si>
    <t>2000 mL/month</t>
  </si>
  <si>
    <t>Canopy 2</t>
  </si>
  <si>
    <t>Sudbury Chemistry</t>
  </si>
  <si>
    <t>Sudbury Hematology</t>
  </si>
  <si>
    <t>Sudbury Microbiology</t>
  </si>
  <si>
    <t>Thorold Chemistry</t>
  </si>
  <si>
    <t>Thorold Hematology</t>
  </si>
  <si>
    <t>Thorold Microbiology</t>
  </si>
  <si>
    <t>Thunder Bay Chemistry</t>
  </si>
  <si>
    <t>Thunder Bay Hematology</t>
  </si>
  <si>
    <t>Thunder Bay Microbiology</t>
  </si>
  <si>
    <t>Ottawa Hemotology</t>
  </si>
  <si>
    <t>N/A</t>
  </si>
  <si>
    <t>Filter Change</t>
  </si>
  <si>
    <t>Designate Name</t>
  </si>
  <si>
    <t>Section 1: General Information</t>
  </si>
  <si>
    <t>Year:</t>
  </si>
  <si>
    <t>Manager/Designate Name:</t>
  </si>
  <si>
    <t>Location:</t>
  </si>
  <si>
    <t xml:space="preserve">Province: </t>
  </si>
  <si>
    <t>Section 2: Equipment updates</t>
  </si>
  <si>
    <t>New Equipment in</t>
  </si>
  <si>
    <t>Have Fumehood?</t>
  </si>
  <si>
    <t>the Department for</t>
  </si>
  <si>
    <t>New BSC?</t>
  </si>
  <si>
    <t>the applicable year?</t>
  </si>
  <si>
    <t>Other equipment vented to the outdoors:</t>
  </si>
  <si>
    <t>Section 3: Fume Hoods</t>
  </si>
  <si>
    <t>Describe how each Fume Hoods is used in the department. (List all procedures and processes used in each Fume Hood, including disposal and decanting practices.)</t>
  </si>
  <si>
    <t>Fume Hood Department</t>
  </si>
  <si>
    <t>New Equipment? (Yes/No)</t>
  </si>
  <si>
    <t>Last Filter Change/Clean Date (If appl.)</t>
  </si>
  <si>
    <t>List ALL process(es)/procedures carried out in the Fume Hood by reference to QRA SOP doc #</t>
  </si>
  <si>
    <t>List ALL chemicals used in the Fume Hood by MSDS #</t>
  </si>
  <si>
    <t>Max volume used mL/Day</t>
  </si>
  <si>
    <t>Reviewed By:</t>
  </si>
  <si>
    <t>Date:</t>
  </si>
  <si>
    <t xml:space="preserve">     Please complete form at the end of the calendar year and submit. Also send a copy of annual certification(s) to EHS@lifelabs.com</t>
  </si>
  <si>
    <t xml:space="preserve">     Please note, incomplete forms will be returned to sender for resubmission. </t>
  </si>
  <si>
    <t>Printed copies are uncontrolled. Check on Paradigm to ensure this is the latest version.</t>
  </si>
  <si>
    <t>Page 1 of 1</t>
  </si>
  <si>
    <t xml:space="preserve">IRL Cytology </t>
  </si>
  <si>
    <t xml:space="preserve">IRL Histology </t>
  </si>
  <si>
    <t xml:space="preserve">IRL Mycology </t>
  </si>
  <si>
    <t xml:space="preserve">KRL Chemistry </t>
  </si>
  <si>
    <t>IRL Cytology</t>
  </si>
  <si>
    <t>IRL Histology</t>
  </si>
  <si>
    <t>IRL Mycology</t>
  </si>
  <si>
    <t>Calgary - Rocky Mountain</t>
  </si>
  <si>
    <t xml:space="preserve">GentamIcin Solution </t>
  </si>
  <si>
    <t xml:space="preserve">TRITIUM,  5mCi/5ml (Methyl-3H) </t>
  </si>
  <si>
    <t>Sterile Water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</si>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</sst>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#"/>
    <numFmt numFmtId="165" formatCode="00####"/>
    <numFmt numFmtId="166" formatCode="[$-409]d\-mmm\-yy;@"/>
  </numFmts>
  <fonts count="14" x14ac:knownFonts="1">
    <font>
      <sz val="11"/>
      <color theme="1"/>
      <name val="Calibri"/>
      <family val="2"/>
      <scheme val="minor"/>
    </font>
    <font>
      <b/>
      <u/>
      <sz val="16"/>
      <color theme="0"/>
      <name val="Tahoma"/>
      <family val="2"/>
    </font>
    <font>
      <b/>
      <sz val="10"/>
      <color theme="1"/>
      <name val="Tahoma"/>
      <family val="2"/>
    </font>
    <font>
      <sz val="10"/>
      <color theme="1"/>
      <name val="Tahoma"/>
      <family val="2"/>
    </font>
    <font>
      <sz val="11"/>
      <color theme="1"/>
      <name val="Tahoma"/>
      <family val="2"/>
    </font>
    <font>
      <sz val="11"/>
      <color rgb="FF0000FF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00">
    <xf numFmtId="0" fontId="0" fillId="0" borderId="0" xfId="0"/>
    <xf numFmtId="0" fontId="2" fillId="3" borderId="3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 wrapText="1"/>
    </xf>
    <xf numFmtId="0" fontId="3" fillId="0" borderId="3" xfId="0" applyFont="1" applyBorder="1" applyAlignment="1">
      <alignment horizontal="left"/>
    </xf>
    <xf numFmtId="0" fontId="3" fillId="0" borderId="3" xfId="0" applyFont="1" applyBorder="1" applyAlignment="1">
      <alignment horizontal="center"/>
    </xf>
    <xf numFmtId="15" fontId="0" fillId="0" borderId="3" xfId="0" quotePrefix="1" applyNumberFormat="1" applyBorder="1" applyAlignment="1">
      <alignment horizontal="center"/>
    </xf>
    <xf numFmtId="49" fontId="0" fillId="0" borderId="3" xfId="0" quotePrefix="1" applyNumberFormat="1" applyBorder="1" applyAlignment="1">
      <alignment horizontal="left"/>
    </xf>
    <xf numFmtId="0" fontId="0" fillId="0" borderId="3" xfId="0" quotePrefix="1" applyBorder="1" applyAlignment="1">
      <alignment horizontal="center"/>
    </xf>
    <xf numFmtId="0" fontId="0" fillId="0" borderId="3" xfId="0" quotePrefix="1" applyBorder="1" applyAlignment="1">
      <alignment horizontal="left"/>
    </xf>
    <xf numFmtId="164" fontId="3" fillId="0" borderId="3" xfId="0" applyNumberFormat="1" applyFont="1" applyBorder="1" applyAlignment="1">
      <alignment horizontal="center"/>
    </xf>
    <xf numFmtId="49" fontId="0" fillId="0" borderId="3" xfId="0" quotePrefix="1" applyNumberFormat="1" applyBorder="1" applyAlignment="1">
      <alignment horizontal="center"/>
    </xf>
    <xf numFmtId="0" fontId="0" fillId="0" borderId="3" xfId="0" quotePrefix="1" applyBorder="1"/>
    <xf numFmtId="15" fontId="0" fillId="0" borderId="3" xfId="0" applyNumberForma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left"/>
    </xf>
    <xf numFmtId="49" fontId="0" fillId="0" borderId="3" xfId="0" applyNumberFormat="1" applyBorder="1"/>
    <xf numFmtId="0" fontId="0" fillId="0" borderId="3" xfId="0" applyBorder="1" applyAlignment="1">
      <alignment horizontal="center"/>
    </xf>
    <xf numFmtId="49" fontId="0" fillId="0" borderId="3" xfId="0" applyNumberFormat="1" applyBorder="1" applyAlignment="1">
      <alignment wrapText="1"/>
    </xf>
    <xf numFmtId="0" fontId="0" fillId="0" borderId="3" xfId="0" applyBorder="1" applyAlignment="1">
      <alignment wrapText="1"/>
    </xf>
    <xf numFmtId="49" fontId="0" fillId="0" borderId="3" xfId="0" applyNumberFormat="1" applyBorder="1" applyAlignment="1">
      <alignment horizontal="left" wrapText="1"/>
    </xf>
    <xf numFmtId="49" fontId="0" fillId="0" borderId="3" xfId="0" applyNumberFormat="1" applyBorder="1" applyAlignment="1">
      <alignment horizontal="left"/>
    </xf>
    <xf numFmtId="3" fontId="0" fillId="0" borderId="3" xfId="0" applyNumberFormat="1" applyBorder="1" applyAlignment="1">
      <alignment horizontal="center"/>
    </xf>
    <xf numFmtId="0" fontId="3" fillId="0" borderId="3" xfId="0" quotePrefix="1" applyFont="1" applyBorder="1" applyAlignment="1">
      <alignment horizontal="center"/>
    </xf>
    <xf numFmtId="0" fontId="4" fillId="0" borderId="3" xfId="0" quotePrefix="1" applyFon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3" xfId="0" applyNumberFormat="1" applyBorder="1" applyAlignment="1">
      <alignment horizontal="left" wrapText="1"/>
    </xf>
    <xf numFmtId="0" fontId="0" fillId="0" borderId="3" xfId="0" quotePrefix="1" applyBorder="1" applyAlignment="1">
      <alignment horizontal="left" wrapText="1"/>
    </xf>
    <xf numFmtId="49" fontId="0" fillId="0" borderId="3" xfId="0" quotePrefix="1" applyNumberFormat="1" applyBorder="1" applyAlignment="1">
      <alignment horizontal="left" wrapText="1"/>
    </xf>
    <xf numFmtId="49" fontId="0" fillId="0" borderId="3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center" vertical="center"/>
    </xf>
    <xf numFmtId="0" fontId="5" fillId="0" borderId="3" xfId="0" quotePrefix="1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0" fontId="3" fillId="0" borderId="3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3" xfId="0" quotePrefix="1" applyFont="1" applyBorder="1" applyAlignment="1">
      <alignment horizontal="center" vertical="center"/>
    </xf>
    <xf numFmtId="0" fontId="4" fillId="0" borderId="3" xfId="0" quotePrefix="1" applyFont="1" applyBorder="1" applyAlignment="1">
      <alignment horizontal="center" vertical="center"/>
    </xf>
    <xf numFmtId="15" fontId="0" fillId="0" borderId="3" xfId="0" quotePrefix="1" applyNumberFormat="1" applyBorder="1" applyAlignment="1">
      <alignment horizontal="center" vertical="center"/>
    </xf>
    <xf numFmtId="0" fontId="0" fillId="0" borderId="3" xfId="0" quotePrefix="1" applyBorder="1" applyAlignment="1">
      <alignment horizontal="left" vertical="center"/>
    </xf>
    <xf numFmtId="49" fontId="3" fillId="0" borderId="3" xfId="0" applyNumberFormat="1" applyFont="1" applyBorder="1" applyAlignment="1">
      <alignment horizontal="left" wrapText="1"/>
    </xf>
    <xf numFmtId="0" fontId="3" fillId="0" borderId="4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15" fontId="3" fillId="0" borderId="3" xfId="0" applyNumberFormat="1" applyFont="1" applyBorder="1" applyAlignment="1">
      <alignment horizontal="center"/>
    </xf>
    <xf numFmtId="15" fontId="3" fillId="0" borderId="4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15" fontId="0" fillId="0" borderId="4" xfId="0" applyNumberFormat="1" applyBorder="1" applyAlignment="1">
      <alignment horizontal="center" vertical="center"/>
    </xf>
    <xf numFmtId="49" fontId="0" fillId="0" borderId="5" xfId="0" applyNumberFormat="1" applyFill="1" applyBorder="1" applyAlignment="1">
      <alignment horizontal="left"/>
    </xf>
    <xf numFmtId="0" fontId="3" fillId="0" borderId="3" xfId="0" applyFont="1" applyBorder="1" applyAlignment="1">
      <alignment horizontal="center" vertical="center" wrapText="1"/>
    </xf>
    <xf numFmtId="15" fontId="3" fillId="0" borderId="4" xfId="0" applyNumberFormat="1" applyFont="1" applyBorder="1" applyAlignment="1">
      <alignment horizontal="center" vertical="center" wrapText="1"/>
    </xf>
    <xf numFmtId="49" fontId="3" fillId="0" borderId="3" xfId="0" applyNumberFormat="1" applyFont="1" applyBorder="1" applyAlignment="1">
      <alignment horizontal="left" vertical="center" wrapText="1"/>
    </xf>
    <xf numFmtId="0" fontId="3" fillId="0" borderId="3" xfId="0" applyFont="1" applyBorder="1"/>
    <xf numFmtId="0" fontId="3" fillId="0" borderId="3" xfId="0" quotePrefix="1" applyFont="1" applyBorder="1" applyAlignment="1">
      <alignment horizontal="center" vertical="center" wrapText="1"/>
    </xf>
    <xf numFmtId="49" fontId="3" fillId="0" borderId="3" xfId="0" quotePrefix="1" applyNumberFormat="1" applyFont="1" applyBorder="1" applyAlignment="1">
      <alignment horizontal="center" vertical="center" wrapText="1"/>
    </xf>
    <xf numFmtId="0" fontId="8" fillId="0" borderId="0" xfId="0" applyFont="1"/>
    <xf numFmtId="49" fontId="2" fillId="3" borderId="3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left"/>
    </xf>
    <xf numFmtId="0" fontId="2" fillId="3" borderId="6" xfId="0" applyFont="1" applyFill="1" applyBorder="1" applyAlignment="1">
      <alignment horizontal="center"/>
    </xf>
    <xf numFmtId="0" fontId="10" fillId="0" borderId="0" xfId="0" applyFont="1" applyBorder="1" applyAlignment="1">
      <alignment vertical="center" wrapText="1"/>
    </xf>
    <xf numFmtId="0" fontId="11" fillId="0" borderId="0" xfId="0" applyFont="1" applyBorder="1" applyAlignment="1">
      <alignment vertical="center" wrapText="1"/>
    </xf>
    <xf numFmtId="0" fontId="11" fillId="0" borderId="0" xfId="0" applyFont="1" applyBorder="1" applyAlignment="1">
      <alignment horizontal="left" vertical="center" wrapText="1"/>
    </xf>
    <xf numFmtId="0" fontId="12" fillId="0" borderId="7" xfId="0" applyFont="1" applyBorder="1"/>
    <xf numFmtId="0" fontId="10" fillId="0" borderId="8" xfId="0" applyFont="1" applyBorder="1" applyAlignment="1">
      <alignment horizontal="center"/>
    </xf>
    <xf numFmtId="0" fontId="10" fillId="0" borderId="8" xfId="0" applyFont="1" applyBorder="1"/>
    <xf numFmtId="0" fontId="0" fillId="0" borderId="9" xfId="0" applyBorder="1"/>
    <xf numFmtId="0" fontId="12" fillId="0" borderId="4" xfId="0" applyFont="1" applyBorder="1"/>
    <xf numFmtId="0" fontId="12" fillId="0" borderId="3" xfId="0" applyFont="1" applyBorder="1"/>
    <xf numFmtId="0" fontId="12" fillId="0" borderId="1" xfId="0" applyFont="1" applyBorder="1"/>
    <xf numFmtId="0" fontId="10" fillId="0" borderId="2" xfId="0" applyFont="1" applyBorder="1"/>
    <xf numFmtId="0" fontId="10" fillId="0" borderId="10" xfId="0" applyFont="1" applyBorder="1"/>
    <xf numFmtId="0" fontId="10" fillId="0" borderId="4" xfId="0" applyFont="1" applyBorder="1" applyAlignment="1">
      <alignment vertical="top" wrapText="1"/>
    </xf>
    <xf numFmtId="0" fontId="12" fillId="0" borderId="11" xfId="0" applyFont="1" applyBorder="1"/>
    <xf numFmtId="0" fontId="10" fillId="0" borderId="12" xfId="0" applyFont="1" applyBorder="1"/>
    <xf numFmtId="0" fontId="10" fillId="0" borderId="13" xfId="0" applyFont="1" applyBorder="1"/>
    <xf numFmtId="0" fontId="10" fillId="0" borderId="5" xfId="0" applyFont="1" applyBorder="1" applyAlignment="1">
      <alignment vertical="top" wrapText="1"/>
    </xf>
    <xf numFmtId="0" fontId="10" fillId="0" borderId="14" xfId="0" applyFont="1" applyBorder="1"/>
    <xf numFmtId="0" fontId="10" fillId="0" borderId="0" xfId="0" applyFont="1" applyBorder="1"/>
    <xf numFmtId="0" fontId="10" fillId="5" borderId="15" xfId="0" applyFont="1" applyFill="1" applyBorder="1"/>
    <xf numFmtId="0" fontId="10" fillId="0" borderId="6" xfId="0" applyFont="1" applyBorder="1" applyAlignment="1">
      <alignment vertical="top" wrapText="1"/>
    </xf>
    <xf numFmtId="0" fontId="10" fillId="0" borderId="1" xfId="0" applyFont="1" applyBorder="1"/>
    <xf numFmtId="0" fontId="10" fillId="0" borderId="9" xfId="0" applyFont="1" applyBorder="1"/>
    <xf numFmtId="0" fontId="12" fillId="0" borderId="3" xfId="0" applyFont="1" applyBorder="1" applyAlignment="1">
      <alignment vertical="top" wrapText="1"/>
    </xf>
    <xf numFmtId="0" fontId="13" fillId="0" borderId="3" xfId="0" applyFont="1" applyBorder="1" applyAlignment="1">
      <alignment horizontal="left"/>
    </xf>
    <xf numFmtId="0" fontId="13" fillId="0" borderId="3" xfId="0" applyFont="1" applyBorder="1" applyAlignment="1">
      <alignment horizontal="center"/>
    </xf>
    <xf numFmtId="166" fontId="13" fillId="0" borderId="3" xfId="0" applyNumberFormat="1" applyFont="1" applyBorder="1" applyAlignment="1">
      <alignment horizontal="center"/>
    </xf>
    <xf numFmtId="49" fontId="13" fillId="0" borderId="3" xfId="0" applyNumberFormat="1" applyFont="1" applyBorder="1" applyAlignment="1">
      <alignment horizontal="left"/>
    </xf>
    <xf numFmtId="165" fontId="13" fillId="0" borderId="3" xfId="0" applyNumberFormat="1" applyFont="1" applyBorder="1" applyAlignment="1">
      <alignment horizontal="left"/>
    </xf>
    <xf numFmtId="0" fontId="9" fillId="0" borderId="3" xfId="0" applyFont="1" applyBorder="1"/>
    <xf numFmtId="0" fontId="0" fillId="0" borderId="7" xfId="0" applyBorder="1"/>
    <xf numFmtId="0" fontId="0" fillId="0" borderId="8" xfId="0" applyBorder="1"/>
    <xf numFmtId="0" fontId="9" fillId="0" borderId="8" xfId="0" applyFont="1" applyBorder="1"/>
    <xf numFmtId="0" fontId="9" fillId="0" borderId="0" xfId="0" applyFont="1"/>
    <xf numFmtId="0" fontId="13" fillId="0" borderId="0" xfId="0" applyFont="1" applyBorder="1" applyAlignment="1">
      <alignment horizontal="left"/>
    </xf>
    <xf numFmtId="0" fontId="0" fillId="0" borderId="0" xfId="0" applyBorder="1"/>
    <xf numFmtId="0" fontId="0" fillId="0" borderId="0" xfId="0" applyAlignment="1">
      <alignment horizontal="left"/>
    </xf>
    <xf numFmtId="14" fontId="0" fillId="0" borderId="0" xfId="0" applyNumberFormat="1"/>
    <xf numFmtId="0" fontId="10" fillId="4" borderId="3" xfId="0" applyFont="1" applyFill="1" applyBorder="1" applyAlignment="1" applyProtection="1">
      <alignment horizontal="left"/>
      <protection locked="0"/>
    </xf>
    <xf numFmtId="0" fontId="10" fillId="4" borderId="7" xfId="0" applyFont="1" applyFill="1" applyBorder="1" applyAlignment="1" applyProtection="1">
      <alignment horizontal="left"/>
      <protection locked="0"/>
    </xf>
    <xf numFmtId="0" fontId="10" fillId="4" borderId="8" xfId="0" applyFont="1" applyFill="1" applyBorder="1" applyAlignment="1" applyProtection="1">
      <alignment horizontal="left"/>
      <protection locked="0"/>
    </xf>
    <xf numFmtId="0" fontId="10" fillId="4" borderId="9" xfId="0" applyFont="1" applyFill="1" applyBorder="1" applyAlignment="1" applyProtection="1">
      <alignment horizontal="left"/>
      <protection locked="0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8</xdr:col>
      <xdr:colOff>1166</xdr:colOff>
      <xdr:row>6</xdr:row>
      <xdr:rowOff>165338</xdr:rowOff>
    </xdr:to>
    <xdr:grpSp>
      <xdr:nvGrpSpPr>
        <xdr:cNvPr id="2" name="Group 1"/>
        <xdr:cNvGrpSpPr/>
      </xdr:nvGrpSpPr>
      <xdr:grpSpPr>
        <a:xfrm>
          <a:off x="0" y="0"/>
          <a:ext cx="8602241" cy="1308338"/>
          <a:chOff x="1572995" y="2206869"/>
          <a:chExt cx="9427032" cy="1315656"/>
        </a:xfrm>
      </xdr:grpSpPr>
      <xdr:grpSp>
        <xdr:nvGrpSpPr>
          <xdr:cNvPr id="3" name="Group 2"/>
          <xdr:cNvGrpSpPr/>
        </xdr:nvGrpSpPr>
        <xdr:grpSpPr>
          <a:xfrm>
            <a:off x="1572995" y="2206869"/>
            <a:ext cx="9427032" cy="1315656"/>
            <a:chOff x="1301899" y="1144465"/>
            <a:chExt cx="9427032" cy="1315656"/>
          </a:xfrm>
        </xdr:grpSpPr>
        <xdr:grpSp>
          <xdr:nvGrpSpPr>
            <xdr:cNvPr id="13" name="Group 12"/>
            <xdr:cNvGrpSpPr/>
          </xdr:nvGrpSpPr>
          <xdr:grpSpPr>
            <a:xfrm>
              <a:off x="1301899" y="1144465"/>
              <a:ext cx="9427032" cy="1315604"/>
              <a:chOff x="1301899" y="1144465"/>
              <a:chExt cx="9427032" cy="1315604"/>
            </a:xfrm>
          </xdr:grpSpPr>
          <xdr:grpSp>
            <xdr:nvGrpSpPr>
              <xdr:cNvPr id="15" name="Group 14"/>
              <xdr:cNvGrpSpPr/>
            </xdr:nvGrpSpPr>
            <xdr:grpSpPr>
              <a:xfrm>
                <a:off x="1301899" y="1144465"/>
                <a:ext cx="9427032" cy="1314450"/>
                <a:chOff x="2027265" y="1019907"/>
                <a:chExt cx="9427032" cy="1314450"/>
              </a:xfrm>
            </xdr:grpSpPr>
            <xdr:grpSp>
              <xdr:nvGrpSpPr>
                <xdr:cNvPr id="17" name="Group 16"/>
                <xdr:cNvGrpSpPr/>
              </xdr:nvGrpSpPr>
              <xdr:grpSpPr>
                <a:xfrm>
                  <a:off x="2027265" y="1019907"/>
                  <a:ext cx="9427032" cy="1314450"/>
                  <a:chOff x="3636485" y="1030705"/>
                  <a:chExt cx="9427806" cy="1314450"/>
                </a:xfrm>
              </xdr:grpSpPr>
              <xdr:pic>
                <xdr:nvPicPr>
                  <xdr:cNvPr id="19" name="Picture 18"/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1"/>
                  <a:stretch>
                    <a:fillRect/>
                  </a:stretch>
                </xdr:blipFill>
                <xdr:spPr>
                  <a:xfrm>
                    <a:off x="3679658" y="1430755"/>
                    <a:ext cx="1443789" cy="470390"/>
                  </a:xfrm>
                  <a:prstGeom prst="rect">
                    <a:avLst/>
                  </a:prstGeom>
                  <a:ln w="12700">
                    <a:noFill/>
                  </a:ln>
                </xdr:spPr>
              </xdr:pic>
              <xdr:grpSp>
                <xdr:nvGrpSpPr>
                  <xdr:cNvPr id="20" name="Group 19"/>
                  <xdr:cNvGrpSpPr/>
                </xdr:nvGrpSpPr>
                <xdr:grpSpPr>
                  <a:xfrm>
                    <a:off x="3636485" y="1030705"/>
                    <a:ext cx="9427806" cy="1314450"/>
                    <a:chOff x="3636485" y="1030705"/>
                    <a:chExt cx="9427806" cy="1314450"/>
                  </a:xfrm>
                </xdr:grpSpPr>
                <xdr:grpSp>
                  <xdr:nvGrpSpPr>
                    <xdr:cNvPr id="21" name="Group 20"/>
                    <xdr:cNvGrpSpPr/>
                  </xdr:nvGrpSpPr>
                  <xdr:grpSpPr>
                    <a:xfrm>
                      <a:off x="3636485" y="1030705"/>
                      <a:ext cx="9427806" cy="1314450"/>
                      <a:chOff x="3636485" y="1030705"/>
                      <a:chExt cx="9427806" cy="1314450"/>
                    </a:xfrm>
                  </xdr:grpSpPr>
                  <xdr:sp macro="" textlink="">
                    <xdr:nvSpPr>
                      <xdr:cNvPr id="23" name="Rectangle 22"/>
                      <xdr:cNvSpPr/>
                    </xdr:nvSpPr>
                    <xdr:spPr>
                      <a:xfrm>
                        <a:off x="3636485" y="1032711"/>
                        <a:ext cx="9427806" cy="1312444"/>
                      </a:xfrm>
                      <a:prstGeom prst="rect">
                        <a:avLst/>
                      </a:prstGeom>
                      <a:noFill/>
                      <a:ln w="12700">
                        <a:solidFill>
                          <a:schemeClr val="tx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en-US" sz="1100"/>
                      </a:p>
                    </xdr:txBody>
                  </xdr:sp>
                  <xdr:sp macro="" textlink="">
                    <xdr:nvSpPr>
                      <xdr:cNvPr id="24" name="Rectangle 23"/>
                      <xdr:cNvSpPr/>
                    </xdr:nvSpPr>
                    <xdr:spPr>
                      <a:xfrm>
                        <a:off x="3636485" y="1030705"/>
                        <a:ext cx="1495487" cy="1314450"/>
                      </a:xfrm>
                      <a:prstGeom prst="rect">
                        <a:avLst/>
                      </a:prstGeom>
                      <a:noFill/>
                      <a:ln w="1270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en-US" sz="1100"/>
                      </a:p>
                    </xdr:txBody>
                  </xdr:sp>
                  <xdr:sp macro="" textlink="">
                    <xdr:nvSpPr>
                      <xdr:cNvPr id="25" name="Rectangle 24"/>
                      <xdr:cNvSpPr/>
                    </xdr:nvSpPr>
                    <xdr:spPr>
                      <a:xfrm>
                        <a:off x="5131970" y="1032711"/>
                        <a:ext cx="7932319" cy="645694"/>
                      </a:xfrm>
                      <a:prstGeom prst="rect">
                        <a:avLst/>
                      </a:prstGeom>
                      <a:noFill/>
                      <a:ln w="1270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en-US" sz="1100"/>
                      </a:p>
                    </xdr:txBody>
                  </xdr:sp>
                  <xdr:sp macro="" textlink="">
                    <xdr:nvSpPr>
                      <xdr:cNvPr id="26" name="Rectangle 25"/>
                      <xdr:cNvSpPr/>
                    </xdr:nvSpPr>
                    <xdr:spPr>
                      <a:xfrm>
                        <a:off x="5133474" y="1679408"/>
                        <a:ext cx="7930815" cy="331639"/>
                      </a:xfrm>
                      <a:prstGeom prst="rect">
                        <a:avLst/>
                      </a:prstGeom>
                      <a:noFill/>
                      <a:ln w="12700" cap="flat" cmpd="sng" algn="ctr">
                        <a:solidFill>
                          <a:sysClr val="windowText" lastClr="000000"/>
                        </a:solidFill>
                        <a:prstDash val="solid"/>
                      </a:ln>
                      <a:effectLst/>
                    </xdr:spPr>
                    <xdr:txBody>
                      <a:bodyPr vertOverflow="clip" horzOverflow="clip" rtlCol="0" anchor="t"/>
                      <a:lstStyle/>
                      <a:p>
                        <a:pPr marL="0" marR="0" lvl="0" indent="0" algn="l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endParaRPr kumimoji="0" lang="en-US" sz="1100" b="0" i="0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" lastClr="FFFFFF"/>
                          </a:solidFill>
                          <a:effectLst/>
                          <a:uLnTx/>
                          <a:uFillTx/>
                          <a:latin typeface="Calibri"/>
                        </a:endParaRPr>
                      </a:p>
                    </xdr:txBody>
                  </xdr:sp>
                </xdr:grpSp>
                <xdr:sp macro="" textlink="">
                  <xdr:nvSpPr>
                    <xdr:cNvPr id="22" name="Rectangle 21"/>
                    <xdr:cNvSpPr/>
                  </xdr:nvSpPr>
                  <xdr:spPr>
                    <a:xfrm>
                      <a:off x="5131970" y="1032711"/>
                      <a:ext cx="7932319" cy="311587"/>
                    </a:xfrm>
                    <a:prstGeom prst="rect">
                      <a:avLst/>
                    </a:prstGeom>
                    <a:noFill/>
                    <a:ln w="12700" cap="flat" cmpd="sng" algn="ctr">
                      <a:solidFill>
                        <a:sysClr val="windowText" lastClr="000000"/>
                      </a:solidFill>
                      <a:prstDash val="solid"/>
                    </a:ln>
                    <a:effectLst/>
                  </xdr:spPr>
                  <xdr:txBody>
                    <a:bodyPr vertOverflow="clip" horzOverflow="clip" rtlCol="0" anchor="t"/>
                    <a:lstStyle/>
                    <a:p>
                      <a:pPr marL="0" marR="0" lvl="0" indent="0" algn="l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kumimoji="0" lang="en-US" sz="1100" b="0" i="0" u="none" strike="noStrike" kern="0" cap="none" spc="0" normalizeH="0" baseline="0" noProof="0" smtClean="0">
                        <a:ln>
                          <a:noFill/>
                        </a:ln>
                        <a:solidFill>
                          <a:sysClr val="window" lastClr="FFFFFF"/>
                        </a:solidFill>
                        <a:effectLst/>
                        <a:uLnTx/>
                        <a:uFillTx/>
                        <a:latin typeface="Calibri"/>
                      </a:endParaRPr>
                    </a:p>
                  </xdr:txBody>
                </xdr:sp>
              </xdr:grpSp>
            </xdr:grpSp>
            <xdr:sp macro="" textlink="">
              <xdr:nvSpPr>
                <xdr:cNvPr id="18" name="Rectangle 17"/>
                <xdr:cNvSpPr/>
              </xdr:nvSpPr>
              <xdr:spPr>
                <a:xfrm>
                  <a:off x="9035797" y="1333499"/>
                  <a:ext cx="2416185" cy="999193"/>
                </a:xfrm>
                <a:prstGeom prst="rect">
                  <a:avLst/>
                </a:prstGeom>
                <a:noFill/>
                <a:ln w="12700">
                  <a:solidFill>
                    <a:schemeClr val="tx1">
                      <a:lumMod val="95000"/>
                      <a:lumOff val="5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</xdr:grpSp>
          <xdr:sp macro="" textlink="">
            <xdr:nvSpPr>
              <xdr:cNvPr id="16" name="Rectangle 15"/>
              <xdr:cNvSpPr/>
            </xdr:nvSpPr>
            <xdr:spPr>
              <a:xfrm>
                <a:off x="9481037" y="2124808"/>
                <a:ext cx="1245577" cy="335261"/>
              </a:xfrm>
              <a:prstGeom prst="rect">
                <a:avLst/>
              </a:prstGeom>
              <a:noFill/>
              <a:ln w="12700"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14" name="Rectangle 13"/>
            <xdr:cNvSpPr/>
          </xdr:nvSpPr>
          <xdr:spPr>
            <a:xfrm>
              <a:off x="2798885" y="2124808"/>
              <a:ext cx="2747595" cy="335313"/>
            </a:xfrm>
            <a:prstGeom prst="rect">
              <a:avLst/>
            </a:prstGeom>
            <a:noFill/>
            <a:ln w="1270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4" name="TextBox 3"/>
          <xdr:cNvSpPr txBox="1"/>
        </xdr:nvSpPr>
        <xdr:spPr>
          <a:xfrm>
            <a:off x="3091961" y="2234713"/>
            <a:ext cx="4418135" cy="2198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/>
              <a:t>Title:       </a:t>
            </a:r>
            <a:r>
              <a:rPr lang="en-US" sz="1200" b="1"/>
              <a:t>FUME</a:t>
            </a:r>
            <a:r>
              <a:rPr lang="en-US" sz="1200" b="1" baseline="0"/>
              <a:t> HOOD USAGE FORM</a:t>
            </a:r>
            <a:endParaRPr lang="en-US" sz="1200" b="1"/>
          </a:p>
        </xdr:txBody>
      </xdr:sp>
      <xdr:sp macro="" textlink="">
        <xdr:nvSpPr>
          <xdr:cNvPr id="5" name="TextBox 4"/>
          <xdr:cNvSpPr txBox="1"/>
        </xdr:nvSpPr>
        <xdr:spPr>
          <a:xfrm>
            <a:off x="3084635" y="2571750"/>
            <a:ext cx="4418135" cy="2198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/>
              <a:t>Approved</a:t>
            </a:r>
            <a:r>
              <a:rPr lang="en-US" sz="1100" b="1" baseline="0"/>
              <a:t> by: </a:t>
            </a:r>
            <a:endParaRPr lang="en-US" sz="1200" b="1"/>
          </a:p>
        </xdr:txBody>
      </xdr:sp>
      <xdr:sp macro="" textlink="">
        <xdr:nvSpPr>
          <xdr:cNvPr id="6" name="TextBox 5"/>
          <xdr:cNvSpPr txBox="1"/>
        </xdr:nvSpPr>
        <xdr:spPr>
          <a:xfrm>
            <a:off x="3084635" y="2916116"/>
            <a:ext cx="4418135" cy="2198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/>
              <a:t>Document</a:t>
            </a:r>
            <a:r>
              <a:rPr lang="en-US" sz="1100" b="1" baseline="0"/>
              <a:t> Owner: </a:t>
            </a:r>
            <a:r>
              <a:rPr lang="en-US" sz="1200" b="1" baseline="0"/>
              <a:t>Riley Hun</a:t>
            </a:r>
            <a:endParaRPr lang="en-US" sz="1200" b="1"/>
          </a:p>
        </xdr:txBody>
      </xdr:sp>
      <xdr:sp macro="" textlink="">
        <xdr:nvSpPr>
          <xdr:cNvPr id="7" name="TextBox 6"/>
          <xdr:cNvSpPr txBox="1"/>
        </xdr:nvSpPr>
        <xdr:spPr>
          <a:xfrm>
            <a:off x="3084635" y="3234104"/>
            <a:ext cx="4418135" cy="2198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/>
              <a:t>Issued: </a:t>
            </a:r>
            <a:r>
              <a:rPr lang="en-US" sz="1200" b="1"/>
              <a:t>04-18-2015</a:t>
            </a:r>
          </a:p>
        </xdr:txBody>
      </xdr:sp>
      <xdr:sp macro="" textlink="">
        <xdr:nvSpPr>
          <xdr:cNvPr id="8" name="TextBox 7"/>
          <xdr:cNvSpPr txBox="1"/>
        </xdr:nvSpPr>
        <xdr:spPr>
          <a:xfrm>
            <a:off x="5874727" y="3234104"/>
            <a:ext cx="2653812" cy="2198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/>
              <a:t>Effective: </a:t>
            </a:r>
            <a:r>
              <a:rPr lang="en-US" sz="1200" b="1"/>
              <a:t>04-18-2015</a:t>
            </a:r>
          </a:p>
        </xdr:txBody>
      </xdr:sp>
      <xdr:sp macro="" textlink="">
        <xdr:nvSpPr>
          <xdr:cNvPr id="9" name="TextBox 8"/>
          <xdr:cNvSpPr txBox="1"/>
        </xdr:nvSpPr>
        <xdr:spPr>
          <a:xfrm>
            <a:off x="8587155" y="2579077"/>
            <a:ext cx="2381250" cy="2198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/>
              <a:t>Region: National</a:t>
            </a:r>
          </a:p>
        </xdr:txBody>
      </xdr:sp>
      <xdr:sp macro="" textlink="">
        <xdr:nvSpPr>
          <xdr:cNvPr id="10" name="TextBox 9"/>
          <xdr:cNvSpPr txBox="1"/>
        </xdr:nvSpPr>
        <xdr:spPr>
          <a:xfrm>
            <a:off x="8587155" y="2923442"/>
            <a:ext cx="2381250" cy="2198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/>
              <a:t>Environment &amp; Sustainability</a:t>
            </a:r>
            <a:endParaRPr lang="en-US" sz="1200" b="1"/>
          </a:p>
        </xdr:txBody>
      </xdr:sp>
      <xdr:sp macro="" textlink="">
        <xdr:nvSpPr>
          <xdr:cNvPr id="11" name="TextBox 10"/>
          <xdr:cNvSpPr txBox="1"/>
        </xdr:nvSpPr>
        <xdr:spPr>
          <a:xfrm>
            <a:off x="8587155" y="3260482"/>
            <a:ext cx="1091712" cy="2198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/>
              <a:t>Doc</a:t>
            </a:r>
            <a:r>
              <a:rPr lang="en-US" sz="1100" b="1" baseline="0"/>
              <a:t> # 12668</a:t>
            </a:r>
            <a:endParaRPr lang="en-US" sz="1200" b="1"/>
          </a:p>
        </xdr:txBody>
      </xdr:sp>
      <xdr:sp macro="" textlink="">
        <xdr:nvSpPr>
          <xdr:cNvPr id="12" name="TextBox 11"/>
          <xdr:cNvSpPr txBox="1"/>
        </xdr:nvSpPr>
        <xdr:spPr>
          <a:xfrm>
            <a:off x="9781442" y="3260482"/>
            <a:ext cx="1091712" cy="2198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/>
              <a:t>Ver: 3.0</a:t>
            </a:r>
            <a:endParaRPr lang="en-US" sz="1200" b="1"/>
          </a:p>
        </xdr:txBody>
      </xdr:sp>
    </xdr:grpSp>
    <xdr:clientData/>
  </xdr:twoCellAnchor>
  <xdr:twoCellAnchor>
    <xdr:from>
      <xdr:col>8</xdr:col>
      <xdr:colOff>276225</xdr:colOff>
      <xdr:row>6</xdr:row>
      <xdr:rowOff>19050</xdr:rowOff>
    </xdr:from>
    <xdr:to>
      <xdr:col>15</xdr:col>
      <xdr:colOff>193141</xdr:colOff>
      <xdr:row>41</xdr:row>
      <xdr:rowOff>63876</xdr:rowOff>
    </xdr:to>
    <xdr:sp macro="" textlink="">
      <xdr:nvSpPr>
        <xdr:cNvPr id="52" name="Rounded Rectangle 51"/>
        <xdr:cNvSpPr/>
      </xdr:nvSpPr>
      <xdr:spPr>
        <a:xfrm>
          <a:off x="8867775" y="1162050"/>
          <a:ext cx="4184116" cy="7331451"/>
        </a:xfrm>
        <a:prstGeom prst="roundRect">
          <a:avLst>
            <a:gd name="adj" fmla="val 5209"/>
          </a:avLst>
        </a:prstGeom>
        <a:solidFill>
          <a:schemeClr val="accent1">
            <a:lumMod val="40000"/>
            <a:lumOff val="60000"/>
          </a:schemeClr>
        </a:solidFill>
        <a:ln w="44450">
          <a:solidFill>
            <a:schemeClr val="bg1"/>
          </a:solidFill>
        </a:ln>
        <a:effectLst>
          <a:glow rad="63500">
            <a:schemeClr val="tx1"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Instructions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</a:rPr>
            <a:t>STEP # 1: 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Click enable content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</a:rPr>
            <a:t>STEP # 2:  </a:t>
          </a: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Fill in all fields in grey. Location must be provided.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           You must use the drop-down to select your location.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           Note that locations that reported a large amount of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           chemicals used in a fumehood from the previous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           year have been split up into parts.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</a:rPr>
            <a:t>STEP #3: 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Once you select your location from the drop-down,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                 the data from the fumehood usage form you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                 submitted last year will be populated. It takes about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                 5-10 seconds for the data to populate.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</a:rPr>
            <a:t>STEP #4: 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Click the Torquoise button  that says"Click Here to Edit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                 Fumehood Usage Form".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</a:rPr>
            <a:t>STEP #5: </a:t>
          </a: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You will then be prompted to another window that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          will allow you to edit/make changes to the data that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          was pre-populated from last year's fume hood usage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          form submission. Note that you can only transmit 45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          rows of data at a time.  If your submission exceeds 45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          rows, you will have to submit in batches.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</a:rPr>
            <a:t>STEP #6: 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Once you have made the necessary edits or have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                 verified that there are no changes to be made, you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                 can hit the "submit form" button to process the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                 information and transfer it to the Tracker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                 spreadsheet. Once you hit the "submit form" button,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                 you will no longer have the option to make changes to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                 your submission. If you notice any errors, you must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                 contact Riley Hun (</a:t>
          </a:r>
          <a:r>
            <a:rPr kumimoji="0" lang="en-US" sz="1100" b="0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riley.hun@lifelabs.com)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</a:rPr>
            <a:t>STEP #7: 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It takes about 5-10 seconds for the data to populate.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                Once  Excel has finished processing your data, you are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                given the option to return to the usage form tab or to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                exit out of the workbook.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STEP #8: 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Contact Riley Hun (</a:t>
          </a:r>
          <a:r>
            <a:rPr kumimoji="0" lang="en-US" sz="1100" b="0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riley.hun@lifelabs.com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) for any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</a:rPr>
            <a:t>                 technical difficulties. </a:t>
          </a:r>
        </a:p>
        <a:p>
          <a:pPr algn="l"/>
          <a:endParaRPr lang="en-US" sz="1100"/>
        </a:p>
      </xdr:txBody>
    </xdr:sp>
    <xdr:clientData/>
  </xdr:twoCellAnchor>
  <xdr:twoCellAnchor>
    <xdr:from>
      <xdr:col>8</xdr:col>
      <xdr:colOff>257175</xdr:colOff>
      <xdr:row>0</xdr:row>
      <xdr:rowOff>133350</xdr:rowOff>
    </xdr:from>
    <xdr:to>
      <xdr:col>15</xdr:col>
      <xdr:colOff>95250</xdr:colOff>
      <xdr:row>5</xdr:row>
      <xdr:rowOff>38100</xdr:rowOff>
    </xdr:to>
    <xdr:sp macro="[0]!Rectangle26_Click" textlink="">
      <xdr:nvSpPr>
        <xdr:cNvPr id="27" name="Rectangle 26"/>
        <xdr:cNvSpPr/>
      </xdr:nvSpPr>
      <xdr:spPr>
        <a:xfrm>
          <a:off x="8848725" y="133350"/>
          <a:ext cx="4105275" cy="857250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Click Here to Edit Fume</a:t>
          </a:r>
          <a:r>
            <a:rPr lang="en-US" sz="1600" b="1" baseline="0"/>
            <a:t> Hood Usage Form</a:t>
          </a:r>
          <a:endParaRPr lang="en-US" sz="16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7:H68"/>
  <sheetViews>
    <sheetView showGridLines="0" tabSelected="1" zoomScaleNormal="100" workbookViewId="0">
      <selection activeCell="B11" sqref="B11:E11"/>
    </sheetView>
  </sheetViews>
  <sheetFormatPr defaultRowHeight="15" x14ac:dyDescent="0.25"/>
  <cols>
    <col min="1" max="1" width="21.5703125" customWidth="1"/>
    <col min="2" max="2" width="16.5703125" customWidth="1"/>
    <col min="3" max="3" width="10.5703125" customWidth="1"/>
    <col min="4" max="4" width="10.28515625" customWidth="1"/>
    <col min="5" max="5" width="12.42578125" customWidth="1"/>
    <col min="6" max="6" width="23.140625" customWidth="1"/>
    <col min="7" max="7" width="19.85546875" customWidth="1"/>
    <col min="8" max="8" width="14.5703125" customWidth="1"/>
  </cols>
  <sheetData>
    <row r="7" spans="1:8" x14ac:dyDescent="0.25">
      <c r="A7" s="56"/>
      <c r="B7" s="57"/>
      <c r="C7" s="57"/>
      <c r="D7" s="57"/>
      <c r="E7" s="57"/>
      <c r="F7" s="58"/>
    </row>
    <row r="9" spans="1:8" x14ac:dyDescent="0.25">
      <c r="A9" s="59" t="s">
        <v>553</v>
      </c>
      <c r="B9" s="60"/>
      <c r="C9" s="61"/>
      <c r="D9" s="61"/>
      <c r="E9" s="61"/>
      <c r="F9" s="61"/>
      <c r="G9" s="61"/>
      <c r="H9" s="62"/>
    </row>
    <row r="10" spans="1:8" x14ac:dyDescent="0.25">
      <c r="A10" s="63" t="s">
        <v>554</v>
      </c>
      <c r="B10" s="95"/>
      <c r="C10" s="96"/>
      <c r="D10" s="96"/>
      <c r="E10" s="97"/>
      <c r="F10" s="63" t="s">
        <v>555</v>
      </c>
      <c r="G10" s="95"/>
      <c r="H10" s="97"/>
    </row>
    <row r="11" spans="1:8" x14ac:dyDescent="0.25">
      <c r="A11" s="64" t="s">
        <v>556</v>
      </c>
      <c r="B11" s="95" t="s">
        <v>239</v>
      </c>
      <c r="C11" s="96"/>
      <c r="D11" s="96"/>
      <c r="E11" s="97"/>
      <c r="F11" s="64" t="s">
        <v>557</v>
      </c>
      <c r="G11" s="95" t="s">
        <v>236</v>
      </c>
      <c r="H11" s="97"/>
    </row>
    <row r="12" spans="1:8" x14ac:dyDescent="0.25">
      <c r="A12" s="65" t="s">
        <v>558</v>
      </c>
      <c r="B12" s="66"/>
      <c r="C12" s="66"/>
      <c r="D12" s="66"/>
      <c r="E12" s="66"/>
      <c r="F12" s="66"/>
      <c r="G12" s="66"/>
      <c r="H12" s="67"/>
    </row>
    <row r="13" spans="1:8" x14ac:dyDescent="0.25">
      <c r="A13" s="68" t="s">
        <v>559</v>
      </c>
      <c r="B13" s="69" t="s">
        <v>560</v>
      </c>
      <c r="C13" s="70"/>
      <c r="D13" s="70"/>
      <c r="E13" s="71"/>
      <c r="F13" s="94" t="s">
        <v>12</v>
      </c>
      <c r="G13" s="94"/>
      <c r="H13" s="94"/>
    </row>
    <row r="14" spans="1:8" x14ac:dyDescent="0.25">
      <c r="A14" s="72" t="s">
        <v>561</v>
      </c>
      <c r="B14" s="73" t="s">
        <v>562</v>
      </c>
      <c r="C14" s="74"/>
      <c r="D14" s="74"/>
      <c r="E14" s="75"/>
      <c r="F14" s="94" t="s">
        <v>14</v>
      </c>
      <c r="G14" s="94"/>
      <c r="H14" s="94"/>
    </row>
    <row r="15" spans="1:8" x14ac:dyDescent="0.25">
      <c r="A15" s="76" t="s">
        <v>563</v>
      </c>
      <c r="B15" s="77" t="s">
        <v>564</v>
      </c>
      <c r="C15" s="66"/>
      <c r="D15" s="66"/>
      <c r="E15" s="67"/>
      <c r="F15" s="94"/>
      <c r="G15" s="94"/>
      <c r="H15" s="94"/>
    </row>
    <row r="16" spans="1:8" x14ac:dyDescent="0.25">
      <c r="A16" s="59" t="s">
        <v>565</v>
      </c>
      <c r="B16" s="61"/>
      <c r="C16" s="61"/>
      <c r="D16" s="61"/>
      <c r="E16" s="61"/>
      <c r="F16" s="61"/>
      <c r="G16" s="61"/>
      <c r="H16" s="78"/>
    </row>
    <row r="17" spans="1:8" x14ac:dyDescent="0.25">
      <c r="A17" s="59" t="s">
        <v>566</v>
      </c>
      <c r="B17" s="61"/>
      <c r="C17" s="61"/>
      <c r="D17" s="61"/>
      <c r="E17" s="61"/>
      <c r="F17" s="61"/>
      <c r="G17" s="61"/>
      <c r="H17" s="78"/>
    </row>
    <row r="18" spans="1:8" ht="63.75" x14ac:dyDescent="0.25">
      <c r="A18" s="79" t="s">
        <v>4</v>
      </c>
      <c r="B18" s="79" t="s">
        <v>567</v>
      </c>
      <c r="C18" s="79" t="s">
        <v>568</v>
      </c>
      <c r="D18" s="79" t="s">
        <v>6</v>
      </c>
      <c r="E18" s="79" t="s">
        <v>569</v>
      </c>
      <c r="F18" s="79" t="s">
        <v>570</v>
      </c>
      <c r="G18" s="79" t="s">
        <v>571</v>
      </c>
      <c r="H18" s="79" t="s">
        <v>572</v>
      </c>
    </row>
    <row r="19" spans="1:8" x14ac:dyDescent="0.25">
      <c r="A19" s="80" t="str">
        <f t="array" ref="A19">IF(ISERROR(INDEX('Fume Hood Responses Nov 2015'!$A:$H,SMALL(IF('Fume Hood Responses Nov 2015'!$A:$A=$B$11,ROW('Fume Hood Responses Nov 2015'!$A:$A)),ROW(1:1)),4)),"",INDEX('Fume Hood Responses Nov 2015'!$A:$H,SMALL(IF('Fume Hood Responses Nov 2015'!$A:$A=$B$11,ROW('Fume Hood Responses Nov 2015'!$A:$A)),ROW(1:1)),4))</f>
        <v>-</v>
      </c>
      <c r="B19" s="80" t="str">
        <f t="array" ref="B19">IF(ISERROR(INDEX('Fume Hood Responses Nov 2015'!$A:$H,SMALL(IF('Fume Hood Responses Nov 2015'!$A:$A=$B$11,ROW('Fume Hood Responses Nov 2015'!$A:$A)),ROW(1:1)),1)),"",INDEX('Fume Hood Responses Nov 2015'!$A:$H,SMALL(IF('Fume Hood Responses Nov 2015'!$A:$A=$B$11,ROW('Fume Hood Responses Nov 2015'!$A:$A)),ROW(1:1)),1))</f>
        <v>Belleville Hematology</v>
      </c>
      <c r="C19" s="81" t="str">
        <f t="array" ref="C19">IF(ISERROR(INDEX('Fume Hood Responses Nov 2015'!$A:$H,SMALL(IF('Fume Hood Responses Nov 2015'!$A:$A=$B$11,ROW('Fume Hood Responses Nov 2015'!$A:$A)),ROW(1:1)),5)),"",INDEX('Fume Hood Responses Nov 2015'!$A:$H,SMALL(IF('Fume Hood Responses Nov 2015'!$A:$A=$B$11,ROW('Fume Hood Responses Nov 2015'!$A:$A)),ROW(1:1)),5))</f>
        <v>-</v>
      </c>
      <c r="D19" s="82" t="str">
        <f t="array" ref="D19">IF(ISERROR(INDEX('Fume Hood Responses Nov 2015'!$A:$H,SMALL(IF('Fume Hood Responses Nov 2015'!$A:$A=$B$11,ROW('Fume Hood Responses Nov 2015'!$A:$A)),ROW(1:1)),6)),"",INDEX('Fume Hood Responses Nov 2015'!$A:$H,SMALL(IF('Fume Hood Responses Nov 2015'!$A:$A=$B$11,ROW('Fume Hood Responses Nov 2015'!$A:$A)),ROW(1:1)),6))</f>
        <v>-</v>
      </c>
      <c r="E19" s="82"/>
      <c r="F19" s="83" t="str">
        <f t="array" ref="F19">IF(ISERROR(INDEX('Fume Hood Responses Nov 2015'!$A:$I,SMALL(IF('Fume Hood Responses Nov 2015'!$A:$A=$B$11,ROW('Fume Hood Responses Nov 2015'!$A:$A)),ROW(1:1)),9)),"",INDEX('Fume Hood Responses Nov 2015'!$A:$I,SMALL(IF('Fume Hood Responses Nov 2015'!$A:$A=$B$11,ROW('Fume Hood Responses Nov 2015'!$A:$A)),ROW(1:1)),9))</f>
        <v>-</v>
      </c>
      <c r="G19" s="84" t="str">
        <f t="array" ref="G19">IF(ISERROR(INDEX('Fume Hood Responses Nov 2015'!$A:$H,SMALL(IF('Fume Hood Responses Nov 2015'!$A:$A=$B$11,ROW('Fume Hood Responses Nov 2015'!$A:$A)),ROW(1:1)),7)),"",INDEX('Fume Hood Responses Nov 2015'!$A:$H,SMALL(IF('Fume Hood Responses Nov 2015'!$A:$A=$B$11,ROW('Fume Hood Responses Nov 2015'!$A:$A)),ROW(1:1)),7))</f>
        <v>-</v>
      </c>
      <c r="H19" s="81" t="str">
        <f t="array" ref="H19">IF(ISERROR(INDEX('Fume Hood Responses Nov 2015'!$A:$H,SMALL(IF('Fume Hood Responses Nov 2015'!$A:$A=$B$11,ROW('Fume Hood Responses Nov 2015'!$A:$A)),ROW(1:1)),8)),"",INDEX('Fume Hood Responses Nov 2015'!$A:$H,SMALL(IF('Fume Hood Responses Nov 2015'!$A:$A=$B$11,ROW('Fume Hood Responses Nov 2015'!$A:$A)),ROW(1:1)),8))</f>
        <v>-</v>
      </c>
    </row>
    <row r="20" spans="1:8" x14ac:dyDescent="0.25">
      <c r="A20" s="80" t="str">
        <f t="array" ref="A20">IF(ISERROR(INDEX('Fume Hood Responses Nov 2015'!$A:$H,SMALL(IF('Fume Hood Responses Nov 2015'!$A:$A=$B$11,ROW('Fume Hood Responses Nov 2015'!$A:$A)),ROW(2:2)),4)),"",INDEX('Fume Hood Responses Nov 2015'!$A:$H,SMALL(IF('Fume Hood Responses Nov 2015'!$A:$A=$B$11,ROW('Fume Hood Responses Nov 2015'!$A:$A)),ROW(2:2)),4))</f>
        <v/>
      </c>
      <c r="B20" s="80" t="str">
        <f t="array" ref="B20">IF(ISERROR(INDEX('Fume Hood Responses Nov 2015'!$A:$H,SMALL(IF('Fume Hood Responses Nov 2015'!$A:$A=$B$11,ROW('Fume Hood Responses Nov 2015'!$A:$A)),ROW(2:2)),1)),"",INDEX('Fume Hood Responses Nov 2015'!$A:$H,SMALL(IF('Fume Hood Responses Nov 2015'!$A:$A=$B$11,ROW('Fume Hood Responses Nov 2015'!$A:$A)),ROW(2:2)),1))</f>
        <v/>
      </c>
      <c r="C20" s="81" t="str">
        <f t="array" ref="C20">IF(ISERROR(INDEX('Fume Hood Responses Nov 2015'!$A:$H,SMALL(IF('Fume Hood Responses Nov 2015'!$A:$A=$B$11,ROW('Fume Hood Responses Nov 2015'!$A:$A)),ROW(2:2)),5)),"",INDEX('Fume Hood Responses Nov 2015'!$A:$H,SMALL(IF('Fume Hood Responses Nov 2015'!$A:$A=$B$11,ROW('Fume Hood Responses Nov 2015'!$A:$A)),ROW(2:2)),5))</f>
        <v/>
      </c>
      <c r="D20" s="82" t="str">
        <f t="array" ref="D20">IF(ISERROR(INDEX('Fume Hood Responses Nov 2015'!$A:$H,SMALL(IF('Fume Hood Responses Nov 2015'!$A:$A=$B$11,ROW('Fume Hood Responses Nov 2015'!$A:$A)),ROW(2:2)),6)),"",INDEX('Fume Hood Responses Nov 2015'!$A:$H,SMALL(IF('Fume Hood Responses Nov 2015'!$A:$A=$B$11,ROW('Fume Hood Responses Nov 2015'!$A:$A)),ROW(2:2)),6))</f>
        <v/>
      </c>
      <c r="E20" s="82"/>
      <c r="F20" s="83" t="str">
        <f t="array" ref="F20">IF(ISERROR(INDEX('Fume Hood Responses Nov 2015'!$A:$I,SMALL(IF('Fume Hood Responses Nov 2015'!$A:$A=$B$11,ROW('Fume Hood Responses Nov 2015'!$A:$A)),ROW(2:2)),9)),"",INDEX('Fume Hood Responses Nov 2015'!$A:$I,SMALL(IF('Fume Hood Responses Nov 2015'!$A:$A=$B$11,ROW('Fume Hood Responses Nov 2015'!$A:$A)),ROW(2:2)),9))</f>
        <v/>
      </c>
      <c r="G20" s="84" t="str">
        <f t="array" ref="G20">IF(ISERROR(INDEX('Fume Hood Responses Nov 2015'!$A:$H,SMALL(IF('Fume Hood Responses Nov 2015'!$A:$A=$B$11,ROW('Fume Hood Responses Nov 2015'!$A:$A)),ROW(2:2)),7)),"",INDEX('Fume Hood Responses Nov 2015'!$A:$H,SMALL(IF('Fume Hood Responses Nov 2015'!$A:$A=$B$11,ROW('Fume Hood Responses Nov 2015'!$A:$A)),ROW(2:2)),7))</f>
        <v/>
      </c>
      <c r="H20" s="81" t="str">
        <f t="array" ref="H20">IF(ISERROR(INDEX('Fume Hood Responses Nov 2015'!$A:$H,SMALL(IF('Fume Hood Responses Nov 2015'!$A:$A=$B$11,ROW('Fume Hood Responses Nov 2015'!$A:$A)),ROW(2:2)),8)),"",INDEX('Fume Hood Responses Nov 2015'!$A:$H,SMALL(IF('Fume Hood Responses Nov 2015'!$A:$A=$B$11,ROW('Fume Hood Responses Nov 2015'!$A:$A)),ROW(2:2)),8))</f>
        <v/>
      </c>
    </row>
    <row r="21" spans="1:8" x14ac:dyDescent="0.25">
      <c r="A21" s="80" t="str">
        <f t="array" ref="A21">IF(ISERROR(INDEX('Fume Hood Responses Nov 2015'!$A:$H,SMALL(IF('Fume Hood Responses Nov 2015'!$A:$A=$B$11,ROW('Fume Hood Responses Nov 2015'!$A:$A)),ROW(3:3)),4)),"",INDEX('Fume Hood Responses Nov 2015'!$A:$H,SMALL(IF('Fume Hood Responses Nov 2015'!$A:$A=$B$11,ROW('Fume Hood Responses Nov 2015'!$A:$A)),ROW(3:3)),4))</f>
        <v/>
      </c>
      <c r="B21" s="80" t="str">
        <f t="array" ref="B21">IF(ISERROR(INDEX('Fume Hood Responses Nov 2015'!$A:$H,SMALL(IF('Fume Hood Responses Nov 2015'!$A:$A=$B$11,ROW('Fume Hood Responses Nov 2015'!$A:$A)),ROW(3:3)),1)),"",INDEX('Fume Hood Responses Nov 2015'!$A:$H,SMALL(IF('Fume Hood Responses Nov 2015'!$A:$A=$B$11,ROW('Fume Hood Responses Nov 2015'!$A:$A)),ROW(3:3)),1))</f>
        <v/>
      </c>
      <c r="C21" s="81" t="str">
        <f t="array" ref="C21">IF(ISERROR(INDEX('Fume Hood Responses Nov 2015'!$A:$H,SMALL(IF('Fume Hood Responses Nov 2015'!$A:$A=$B$11,ROW('Fume Hood Responses Nov 2015'!$A:$A)),ROW(3:3)),5)),"",INDEX('Fume Hood Responses Nov 2015'!$A:$H,SMALL(IF('Fume Hood Responses Nov 2015'!$A:$A=$B$11,ROW('Fume Hood Responses Nov 2015'!$A:$A)),ROW(3:3)),5))</f>
        <v/>
      </c>
      <c r="D21" s="82" t="str">
        <f t="array" ref="D21">IF(ISERROR(INDEX('Fume Hood Responses Nov 2015'!$A:$H,SMALL(IF('Fume Hood Responses Nov 2015'!$A:$A=$B$11,ROW('Fume Hood Responses Nov 2015'!$A:$A)),ROW(3:3)),6)),"",INDEX('Fume Hood Responses Nov 2015'!$A:$H,SMALL(IF('Fume Hood Responses Nov 2015'!$A:$A=$B$11,ROW('Fume Hood Responses Nov 2015'!$A:$A)),ROW(3:3)),6))</f>
        <v/>
      </c>
      <c r="E21" s="82"/>
      <c r="F21" s="83" t="str">
        <f t="array" ref="F21">IF(ISERROR(INDEX('Fume Hood Responses Nov 2015'!$A:$I,SMALL(IF('Fume Hood Responses Nov 2015'!$A:$A=$B$11,ROW('Fume Hood Responses Nov 2015'!$A:$A)),ROW(3:3)),9)),"",INDEX('Fume Hood Responses Nov 2015'!$A:$I,SMALL(IF('Fume Hood Responses Nov 2015'!$A:$A=$B$11,ROW('Fume Hood Responses Nov 2015'!$A:$A)),ROW(3:3)),9))</f>
        <v/>
      </c>
      <c r="G21" s="84" t="str">
        <f t="array" ref="G21">IF(ISERROR(INDEX('Fume Hood Responses Nov 2015'!$A:$H,SMALL(IF('Fume Hood Responses Nov 2015'!$A:$A=$B$11,ROW('Fume Hood Responses Nov 2015'!$A:$A)),ROW(3:3)),7)),"",INDEX('Fume Hood Responses Nov 2015'!$A:$H,SMALL(IF('Fume Hood Responses Nov 2015'!$A:$A=$B$11,ROW('Fume Hood Responses Nov 2015'!$A:$A)),ROW(3:3)),7))</f>
        <v/>
      </c>
      <c r="H21" s="81" t="str">
        <f t="array" ref="H21">IF(ISERROR(INDEX('Fume Hood Responses Nov 2015'!$A:$H,SMALL(IF('Fume Hood Responses Nov 2015'!$A:$A=$B$11,ROW('Fume Hood Responses Nov 2015'!$A:$A)),ROW(3:3)),8)),"",INDEX('Fume Hood Responses Nov 2015'!$A:$H,SMALL(IF('Fume Hood Responses Nov 2015'!$A:$A=$B$11,ROW('Fume Hood Responses Nov 2015'!$A:$A)),ROW(3:3)),8))</f>
        <v/>
      </c>
    </row>
    <row r="22" spans="1:8" x14ac:dyDescent="0.25">
      <c r="A22" s="80" t="str">
        <f t="array" ref="A22">IF(ISERROR(INDEX('Fume Hood Responses Nov 2015'!$A:$H,SMALL(IF('Fume Hood Responses Nov 2015'!$A:$A=$B$11,ROW('Fume Hood Responses Nov 2015'!$A:$A)),ROW(4:4)),4)),"",INDEX('Fume Hood Responses Nov 2015'!$A:$H,SMALL(IF('Fume Hood Responses Nov 2015'!$A:$A=$B$11,ROW('Fume Hood Responses Nov 2015'!$A:$A)),ROW(4:4)),4))</f>
        <v/>
      </c>
      <c r="B22" s="80" t="str">
        <f t="array" ref="B22">IF(ISERROR(INDEX('Fume Hood Responses Nov 2015'!$A:$H,SMALL(IF('Fume Hood Responses Nov 2015'!$A:$A=$B$11,ROW('Fume Hood Responses Nov 2015'!$A:$A)),ROW(4:4)),1)),"",INDEX('Fume Hood Responses Nov 2015'!$A:$H,SMALL(IF('Fume Hood Responses Nov 2015'!$A:$A=$B$11,ROW('Fume Hood Responses Nov 2015'!$A:$A)),ROW(4:4)),1))</f>
        <v/>
      </c>
      <c r="C22" s="81" t="str">
        <f t="array" ref="C22">IF(ISERROR(INDEX('Fume Hood Responses Nov 2015'!$A:$H,SMALL(IF('Fume Hood Responses Nov 2015'!$A:$A=$B$11,ROW('Fume Hood Responses Nov 2015'!$A:$A)),ROW(4:4)),5)),"",INDEX('Fume Hood Responses Nov 2015'!$A:$H,SMALL(IF('Fume Hood Responses Nov 2015'!$A:$A=$B$11,ROW('Fume Hood Responses Nov 2015'!$A:$A)),ROW(4:4)),5))</f>
        <v/>
      </c>
      <c r="D22" s="82" t="str">
        <f t="array" ref="D22">IF(ISERROR(INDEX('Fume Hood Responses Nov 2015'!$A:$H,SMALL(IF('Fume Hood Responses Nov 2015'!$A:$A=$B$11,ROW('Fume Hood Responses Nov 2015'!$A:$A)),ROW(4:4)),6)),"",INDEX('Fume Hood Responses Nov 2015'!$A:$H,SMALL(IF('Fume Hood Responses Nov 2015'!$A:$A=$B$11,ROW('Fume Hood Responses Nov 2015'!$A:$A)),ROW(4:4)),6))</f>
        <v/>
      </c>
      <c r="E22" s="82"/>
      <c r="F22" s="83" t="str">
        <f t="array" ref="F22">IF(ISERROR(INDEX('Fume Hood Responses Nov 2015'!$A:$I,SMALL(IF('Fume Hood Responses Nov 2015'!$A:$A=$B$11,ROW('Fume Hood Responses Nov 2015'!$A:$A)),ROW(4:4)),9)),"",INDEX('Fume Hood Responses Nov 2015'!$A:$I,SMALL(IF('Fume Hood Responses Nov 2015'!$A:$A=$B$11,ROW('Fume Hood Responses Nov 2015'!$A:$A)),ROW(4:4)),9))</f>
        <v/>
      </c>
      <c r="G22" s="84" t="str">
        <f t="array" ref="G22">IF(ISERROR(INDEX('Fume Hood Responses Nov 2015'!$A:$H,SMALL(IF('Fume Hood Responses Nov 2015'!$A:$A=$B$11,ROW('Fume Hood Responses Nov 2015'!$A:$A)),ROW(4:4)),7)),"",INDEX('Fume Hood Responses Nov 2015'!$A:$H,SMALL(IF('Fume Hood Responses Nov 2015'!$A:$A=$B$11,ROW('Fume Hood Responses Nov 2015'!$A:$A)),ROW(4:4)),7))</f>
        <v/>
      </c>
      <c r="H22" s="81" t="str">
        <f t="array" ref="H22">IF(ISERROR(INDEX('Fume Hood Responses Nov 2015'!$A:$H,SMALL(IF('Fume Hood Responses Nov 2015'!$A:$A=$B$11,ROW('Fume Hood Responses Nov 2015'!$A:$A)),ROW(4:4)),8)),"",INDEX('Fume Hood Responses Nov 2015'!$A:$H,SMALL(IF('Fume Hood Responses Nov 2015'!$A:$A=$B$11,ROW('Fume Hood Responses Nov 2015'!$A:$A)),ROW(4:4)),8))</f>
        <v/>
      </c>
    </row>
    <row r="23" spans="1:8" x14ac:dyDescent="0.25">
      <c r="A23" s="80" t="str">
        <f t="array" ref="A23">IF(ISERROR(INDEX('Fume Hood Responses Nov 2015'!$A:$H,SMALL(IF('Fume Hood Responses Nov 2015'!$A:$A=$B$11,ROW('Fume Hood Responses Nov 2015'!$A:$A)),ROW(5:5)),4)),"",INDEX('Fume Hood Responses Nov 2015'!$A:$H,SMALL(IF('Fume Hood Responses Nov 2015'!$A:$A=$B$11,ROW('Fume Hood Responses Nov 2015'!$A:$A)),ROW(5:5)),4))</f>
        <v/>
      </c>
      <c r="B23" s="80" t="str">
        <f t="array" ref="B23">IF(ISERROR(INDEX('Fume Hood Responses Nov 2015'!$A:$H,SMALL(IF('Fume Hood Responses Nov 2015'!$A:$A=$B$11,ROW('Fume Hood Responses Nov 2015'!$A:$A)),ROW(5:5)),1)),"",INDEX('Fume Hood Responses Nov 2015'!$A:$H,SMALL(IF('Fume Hood Responses Nov 2015'!$A:$A=$B$11,ROW('Fume Hood Responses Nov 2015'!$A:$A)),ROW(5:5)),1))</f>
        <v/>
      </c>
      <c r="C23" s="81" t="str">
        <f t="array" ref="C23">IF(ISERROR(INDEX('Fume Hood Responses Nov 2015'!$A:$H,SMALL(IF('Fume Hood Responses Nov 2015'!$A:$A=$B$11,ROW('Fume Hood Responses Nov 2015'!$A:$A)),ROW(5:5)),5)),"",INDEX('Fume Hood Responses Nov 2015'!$A:$H,SMALL(IF('Fume Hood Responses Nov 2015'!$A:$A=$B$11,ROW('Fume Hood Responses Nov 2015'!$A:$A)),ROW(5:5)),5))</f>
        <v/>
      </c>
      <c r="D23" s="82" t="str">
        <f t="array" ref="D23">IF(ISERROR(INDEX('Fume Hood Responses Nov 2015'!$A:$H,SMALL(IF('Fume Hood Responses Nov 2015'!$A:$A=$B$11,ROW('Fume Hood Responses Nov 2015'!$A:$A)),ROW(5:5)),6)),"",INDEX('Fume Hood Responses Nov 2015'!$A:$H,SMALL(IF('Fume Hood Responses Nov 2015'!$A:$A=$B$11,ROW('Fume Hood Responses Nov 2015'!$A:$A)),ROW(5:5)),6))</f>
        <v/>
      </c>
      <c r="E23" s="82"/>
      <c r="F23" s="83" t="str">
        <f t="array" ref="F23">IF(ISERROR(INDEX('Fume Hood Responses Nov 2015'!$A:$I,SMALL(IF('Fume Hood Responses Nov 2015'!$A:$A=$B$11,ROW('Fume Hood Responses Nov 2015'!$A:$A)),ROW(5:5)),9)),"",INDEX('Fume Hood Responses Nov 2015'!$A:$I,SMALL(IF('Fume Hood Responses Nov 2015'!$A:$A=$B$11,ROW('Fume Hood Responses Nov 2015'!$A:$A)),ROW(5:5)),9))</f>
        <v/>
      </c>
      <c r="G23" s="84" t="str">
        <f t="array" ref="G23">IF(ISERROR(INDEX('Fume Hood Responses Nov 2015'!$A:$H,SMALL(IF('Fume Hood Responses Nov 2015'!$A:$A=$B$11,ROW('Fume Hood Responses Nov 2015'!$A:$A)),ROW(5:5)),7)),"",INDEX('Fume Hood Responses Nov 2015'!$A:$H,SMALL(IF('Fume Hood Responses Nov 2015'!$A:$A=$B$11,ROW('Fume Hood Responses Nov 2015'!$A:$A)),ROW(5:5)),7))</f>
        <v/>
      </c>
      <c r="H23" s="81" t="str">
        <f t="array" ref="H23">IF(ISERROR(INDEX('Fume Hood Responses Nov 2015'!$A:$H,SMALL(IF('Fume Hood Responses Nov 2015'!$A:$A=$B$11,ROW('Fume Hood Responses Nov 2015'!$A:$A)),ROW(5:5)),8)),"",INDEX('Fume Hood Responses Nov 2015'!$A:$H,SMALL(IF('Fume Hood Responses Nov 2015'!$A:$A=$B$11,ROW('Fume Hood Responses Nov 2015'!$A:$A)),ROW(5:5)),8))</f>
        <v/>
      </c>
    </row>
    <row r="24" spans="1:8" x14ac:dyDescent="0.25">
      <c r="A24" s="80" t="str">
        <f t="array" ref="A24">IF(ISERROR(INDEX('Fume Hood Responses Nov 2015'!$A:$H,SMALL(IF('Fume Hood Responses Nov 2015'!$A:$A=$B$11,ROW('Fume Hood Responses Nov 2015'!$A:$A)),ROW(6:6)),4)),"",INDEX('Fume Hood Responses Nov 2015'!$A:$H,SMALL(IF('Fume Hood Responses Nov 2015'!$A:$A=$B$11,ROW('Fume Hood Responses Nov 2015'!$A:$A)),ROW(6:6)),4))</f>
        <v/>
      </c>
      <c r="B24" s="80" t="str">
        <f t="array" ref="B24">IF(ISERROR(INDEX('Fume Hood Responses Nov 2015'!$A:$H,SMALL(IF('Fume Hood Responses Nov 2015'!$A:$A=$B$11,ROW('Fume Hood Responses Nov 2015'!$A:$A)),ROW(6:6)),1)),"",INDEX('Fume Hood Responses Nov 2015'!$A:$H,SMALL(IF('Fume Hood Responses Nov 2015'!$A:$A=$B$11,ROW('Fume Hood Responses Nov 2015'!$A:$A)),ROW(6:6)),1))</f>
        <v/>
      </c>
      <c r="C24" s="81" t="str">
        <f t="array" ref="C24">IF(ISERROR(INDEX('Fume Hood Responses Nov 2015'!$A:$H,SMALL(IF('Fume Hood Responses Nov 2015'!$A:$A=$B$11,ROW('Fume Hood Responses Nov 2015'!$A:$A)),ROW(6:6)),5)),"",INDEX('Fume Hood Responses Nov 2015'!$A:$H,SMALL(IF('Fume Hood Responses Nov 2015'!$A:$A=$B$11,ROW('Fume Hood Responses Nov 2015'!$A:$A)),ROW(6:6)),5))</f>
        <v/>
      </c>
      <c r="D24" s="82" t="str">
        <f t="array" ref="D24">IF(ISERROR(INDEX('Fume Hood Responses Nov 2015'!$A:$H,SMALL(IF('Fume Hood Responses Nov 2015'!$A:$A=$B$11,ROW('Fume Hood Responses Nov 2015'!$A:$A)),ROW(6:6)),6)),"",INDEX('Fume Hood Responses Nov 2015'!$A:$H,SMALL(IF('Fume Hood Responses Nov 2015'!$A:$A=$B$11,ROW('Fume Hood Responses Nov 2015'!$A:$A)),ROW(6:6)),6))</f>
        <v/>
      </c>
      <c r="E24" s="82"/>
      <c r="F24" s="83" t="str">
        <f t="array" ref="F24">IF(ISERROR(INDEX('Fume Hood Responses Nov 2015'!$A:$I,SMALL(IF('Fume Hood Responses Nov 2015'!$A:$A=$B$11,ROW('Fume Hood Responses Nov 2015'!$A:$A)),ROW(6:6)),9)),"",INDEX('Fume Hood Responses Nov 2015'!$A:$I,SMALL(IF('Fume Hood Responses Nov 2015'!$A:$A=$B$11,ROW('Fume Hood Responses Nov 2015'!$A:$A)),ROW(6:6)),9))</f>
        <v/>
      </c>
      <c r="G24" s="84" t="str">
        <f t="array" ref="G24">IF(ISERROR(INDEX('Fume Hood Responses Nov 2015'!$A:$H,SMALL(IF('Fume Hood Responses Nov 2015'!$A:$A=$B$11,ROW('Fume Hood Responses Nov 2015'!$A:$A)),ROW(6:6)),7)),"",INDEX('Fume Hood Responses Nov 2015'!$A:$H,SMALL(IF('Fume Hood Responses Nov 2015'!$A:$A=$B$11,ROW('Fume Hood Responses Nov 2015'!$A:$A)),ROW(6:6)),7))</f>
        <v/>
      </c>
      <c r="H24" s="81" t="str">
        <f t="array" ref="H24">IF(ISERROR(INDEX('Fume Hood Responses Nov 2015'!$A:$H,SMALL(IF('Fume Hood Responses Nov 2015'!$A:$A=$B$11,ROW('Fume Hood Responses Nov 2015'!$A:$A)),ROW(6:6)),8)),"",INDEX('Fume Hood Responses Nov 2015'!$A:$H,SMALL(IF('Fume Hood Responses Nov 2015'!$A:$A=$B$11,ROW('Fume Hood Responses Nov 2015'!$A:$A)),ROW(6:6)),8))</f>
        <v/>
      </c>
    </row>
    <row r="25" spans="1:8" x14ac:dyDescent="0.25">
      <c r="A25" s="80" t="str">
        <f t="array" ref="A25">IF(ISERROR(INDEX('Fume Hood Responses Nov 2015'!$A:$H,SMALL(IF('Fume Hood Responses Nov 2015'!$A:$A=$B$11,ROW('Fume Hood Responses Nov 2015'!$A:$A)),ROW(7:7)),4)),"",INDEX('Fume Hood Responses Nov 2015'!$A:$H,SMALL(IF('Fume Hood Responses Nov 2015'!$A:$A=$B$11,ROW('Fume Hood Responses Nov 2015'!$A:$A)),ROW(7:7)),4))</f>
        <v/>
      </c>
      <c r="B25" s="80" t="str">
        <f t="array" ref="B25">IF(ISERROR(INDEX('Fume Hood Responses Nov 2015'!$A:$H,SMALL(IF('Fume Hood Responses Nov 2015'!$A:$A=$B$11,ROW('Fume Hood Responses Nov 2015'!$A:$A)),ROW(7:7)),1)),"",INDEX('Fume Hood Responses Nov 2015'!$A:$H,SMALL(IF('Fume Hood Responses Nov 2015'!$A:$A=$B$11,ROW('Fume Hood Responses Nov 2015'!$A:$A)),ROW(7:7)),1))</f>
        <v/>
      </c>
      <c r="C25" s="81" t="str">
        <f t="array" ref="C25">IF(ISERROR(INDEX('Fume Hood Responses Nov 2015'!$A:$H,SMALL(IF('Fume Hood Responses Nov 2015'!$A:$A=$B$11,ROW('Fume Hood Responses Nov 2015'!$A:$A)),ROW(7:7)),5)),"",INDEX('Fume Hood Responses Nov 2015'!$A:$H,SMALL(IF('Fume Hood Responses Nov 2015'!$A:$A=$B$11,ROW('Fume Hood Responses Nov 2015'!$A:$A)),ROW(7:7)),5))</f>
        <v/>
      </c>
      <c r="D25" s="82" t="str">
        <f t="array" ref="D25">IF(ISERROR(INDEX('Fume Hood Responses Nov 2015'!$A:$H,SMALL(IF('Fume Hood Responses Nov 2015'!$A:$A=$B$11,ROW('Fume Hood Responses Nov 2015'!$A:$A)),ROW(7:7)),6)),"",INDEX('Fume Hood Responses Nov 2015'!$A:$H,SMALL(IF('Fume Hood Responses Nov 2015'!$A:$A=$B$11,ROW('Fume Hood Responses Nov 2015'!$A:$A)),ROW(7:7)),6))</f>
        <v/>
      </c>
      <c r="E25" s="82"/>
      <c r="F25" s="83" t="str">
        <f t="array" ref="F25">IF(ISERROR(INDEX('Fume Hood Responses Nov 2015'!$A:$I,SMALL(IF('Fume Hood Responses Nov 2015'!$A:$A=$B$11,ROW('Fume Hood Responses Nov 2015'!$A:$A)),ROW(7:7)),9)),"",INDEX('Fume Hood Responses Nov 2015'!$A:$I,SMALL(IF('Fume Hood Responses Nov 2015'!$A:$A=$B$11,ROW('Fume Hood Responses Nov 2015'!$A:$A)),ROW(7:7)),9))</f>
        <v/>
      </c>
      <c r="G25" s="84" t="str">
        <f t="array" ref="G25">IF(ISERROR(INDEX('Fume Hood Responses Nov 2015'!$A:$H,SMALL(IF('Fume Hood Responses Nov 2015'!$A:$A=$B$11,ROW('Fume Hood Responses Nov 2015'!$A:$A)),ROW(7:7)),7)),"",INDEX('Fume Hood Responses Nov 2015'!$A:$H,SMALL(IF('Fume Hood Responses Nov 2015'!$A:$A=$B$11,ROW('Fume Hood Responses Nov 2015'!$A:$A)),ROW(7:7)),7))</f>
        <v/>
      </c>
      <c r="H25" s="81" t="str">
        <f t="array" ref="H25">IF(ISERROR(INDEX('Fume Hood Responses Nov 2015'!$A:$H,SMALL(IF('Fume Hood Responses Nov 2015'!$A:$A=$B$11,ROW('Fume Hood Responses Nov 2015'!$A:$A)),ROW(7:7)),8)),"",INDEX('Fume Hood Responses Nov 2015'!$A:$H,SMALL(IF('Fume Hood Responses Nov 2015'!$A:$A=$B$11,ROW('Fume Hood Responses Nov 2015'!$A:$A)),ROW(7:7)),8))</f>
        <v/>
      </c>
    </row>
    <row r="26" spans="1:8" x14ac:dyDescent="0.25">
      <c r="A26" s="80" t="str">
        <f t="array" ref="A26">IF(ISERROR(INDEX('Fume Hood Responses Nov 2015'!$A:$H,SMALL(IF('Fume Hood Responses Nov 2015'!$A:$A=$B$11,ROW('Fume Hood Responses Nov 2015'!$A:$A)),ROW(8:8)),4)),"",INDEX('Fume Hood Responses Nov 2015'!$A:$H,SMALL(IF('Fume Hood Responses Nov 2015'!$A:$A=$B$11,ROW('Fume Hood Responses Nov 2015'!$A:$A)),ROW(8:8)),4))</f>
        <v/>
      </c>
      <c r="B26" s="80" t="str">
        <f t="array" ref="B26">IF(ISERROR(INDEX('Fume Hood Responses Nov 2015'!$A:$H,SMALL(IF('Fume Hood Responses Nov 2015'!$A:$A=$B$11,ROW('Fume Hood Responses Nov 2015'!$A:$A)),ROW(8:8)),1)),"",INDEX('Fume Hood Responses Nov 2015'!$A:$H,SMALL(IF('Fume Hood Responses Nov 2015'!$A:$A=$B$11,ROW('Fume Hood Responses Nov 2015'!$A:$A)),ROW(8:8)),1))</f>
        <v/>
      </c>
      <c r="C26" s="81" t="str">
        <f t="array" ref="C26">IF(ISERROR(INDEX('Fume Hood Responses Nov 2015'!$A:$H,SMALL(IF('Fume Hood Responses Nov 2015'!$A:$A=$B$11,ROW('Fume Hood Responses Nov 2015'!$A:$A)),ROW(8:8)),5)),"",INDEX('Fume Hood Responses Nov 2015'!$A:$H,SMALL(IF('Fume Hood Responses Nov 2015'!$A:$A=$B$11,ROW('Fume Hood Responses Nov 2015'!$A:$A)),ROW(8:8)),5))</f>
        <v/>
      </c>
      <c r="D26" s="82" t="str">
        <f t="array" ref="D26">IF(ISERROR(INDEX('Fume Hood Responses Nov 2015'!$A:$H,SMALL(IF('Fume Hood Responses Nov 2015'!$A:$A=$B$11,ROW('Fume Hood Responses Nov 2015'!$A:$A)),ROW(8:8)),6)),"",INDEX('Fume Hood Responses Nov 2015'!$A:$H,SMALL(IF('Fume Hood Responses Nov 2015'!$A:$A=$B$11,ROW('Fume Hood Responses Nov 2015'!$A:$A)),ROW(8:8)),6))</f>
        <v/>
      </c>
      <c r="E26" s="82"/>
      <c r="F26" s="83" t="str">
        <f t="array" ref="F26">IF(ISERROR(INDEX('Fume Hood Responses Nov 2015'!$A:$I,SMALL(IF('Fume Hood Responses Nov 2015'!$A:$A=$B$11,ROW('Fume Hood Responses Nov 2015'!$A:$A)),ROW(8:8)),9)),"",INDEX('Fume Hood Responses Nov 2015'!$A:$I,SMALL(IF('Fume Hood Responses Nov 2015'!$A:$A=$B$11,ROW('Fume Hood Responses Nov 2015'!$A:$A)),ROW(8:8)),9))</f>
        <v/>
      </c>
      <c r="G26" s="84" t="str">
        <f t="array" ref="G26">IF(ISERROR(INDEX('Fume Hood Responses Nov 2015'!$A:$H,SMALL(IF('Fume Hood Responses Nov 2015'!$A:$A=$B$11,ROW('Fume Hood Responses Nov 2015'!$A:$A)),ROW(8:8)),7)),"",INDEX('Fume Hood Responses Nov 2015'!$A:$H,SMALL(IF('Fume Hood Responses Nov 2015'!$A:$A=$B$11,ROW('Fume Hood Responses Nov 2015'!$A:$A)),ROW(8:8)),7))</f>
        <v/>
      </c>
      <c r="H26" s="81" t="str">
        <f t="array" ref="H26">IF(ISERROR(INDEX('Fume Hood Responses Nov 2015'!$A:$H,SMALL(IF('Fume Hood Responses Nov 2015'!$A:$A=$B$11,ROW('Fume Hood Responses Nov 2015'!$A:$A)),ROW(8:8)),8)),"",INDEX('Fume Hood Responses Nov 2015'!$A:$H,SMALL(IF('Fume Hood Responses Nov 2015'!$A:$A=$B$11,ROW('Fume Hood Responses Nov 2015'!$A:$A)),ROW(8:8)),8))</f>
        <v/>
      </c>
    </row>
    <row r="27" spans="1:8" x14ac:dyDescent="0.25">
      <c r="A27" s="80" t="str">
        <f t="array" ref="A27">IF(ISERROR(INDEX('Fume Hood Responses Nov 2015'!$A:$H,SMALL(IF('Fume Hood Responses Nov 2015'!$A:$A=$B$11,ROW('Fume Hood Responses Nov 2015'!$A:$A)),ROW(9:9)),4)),"",INDEX('Fume Hood Responses Nov 2015'!$A:$H,SMALL(IF('Fume Hood Responses Nov 2015'!$A:$A=$B$11,ROW('Fume Hood Responses Nov 2015'!$A:$A)),ROW(9:9)),4))</f>
        <v/>
      </c>
      <c r="B27" s="80" t="str">
        <f t="array" ref="B27">IF(ISERROR(INDEX('Fume Hood Responses Nov 2015'!$A:$H,SMALL(IF('Fume Hood Responses Nov 2015'!$A:$A=$B$11,ROW('Fume Hood Responses Nov 2015'!$A:$A)),ROW(9:9)),1)),"",INDEX('Fume Hood Responses Nov 2015'!$A:$H,SMALL(IF('Fume Hood Responses Nov 2015'!$A:$A=$B$11,ROW('Fume Hood Responses Nov 2015'!$A:$A)),ROW(9:9)),1))</f>
        <v/>
      </c>
      <c r="C27" s="81" t="str">
        <f t="array" ref="C27">IF(ISERROR(INDEX('Fume Hood Responses Nov 2015'!$A:$H,SMALL(IF('Fume Hood Responses Nov 2015'!$A:$A=$B$11,ROW('Fume Hood Responses Nov 2015'!$A:$A)),ROW(9:9)),5)),"",INDEX('Fume Hood Responses Nov 2015'!$A:$H,SMALL(IF('Fume Hood Responses Nov 2015'!$A:$A=$B$11,ROW('Fume Hood Responses Nov 2015'!$A:$A)),ROW(9:9)),5))</f>
        <v/>
      </c>
      <c r="D27" s="82" t="str">
        <f t="array" ref="D27">IF(ISERROR(INDEX('Fume Hood Responses Nov 2015'!$A:$H,SMALL(IF('Fume Hood Responses Nov 2015'!$A:$A=$B$11,ROW('Fume Hood Responses Nov 2015'!$A:$A)),ROW(9:9)),6)),"",INDEX('Fume Hood Responses Nov 2015'!$A:$H,SMALL(IF('Fume Hood Responses Nov 2015'!$A:$A=$B$11,ROW('Fume Hood Responses Nov 2015'!$A:$A)),ROW(9:9)),6))</f>
        <v/>
      </c>
      <c r="E27" s="82"/>
      <c r="F27" s="83" t="str">
        <f t="array" ref="F27">IF(ISERROR(INDEX('Fume Hood Responses Nov 2015'!$A:$I,SMALL(IF('Fume Hood Responses Nov 2015'!$A:$A=$B$11,ROW('Fume Hood Responses Nov 2015'!$A:$A)),ROW(9:9)),9)),"",INDEX('Fume Hood Responses Nov 2015'!$A:$I,SMALL(IF('Fume Hood Responses Nov 2015'!$A:$A=$B$11,ROW('Fume Hood Responses Nov 2015'!$A:$A)),ROW(9:9)),9))</f>
        <v/>
      </c>
      <c r="G27" s="84" t="str">
        <f t="array" ref="G27">IF(ISERROR(INDEX('Fume Hood Responses Nov 2015'!$A:$H,SMALL(IF('Fume Hood Responses Nov 2015'!$A:$A=$B$11,ROW('Fume Hood Responses Nov 2015'!$A:$A)),ROW(9:9)),7)),"",INDEX('Fume Hood Responses Nov 2015'!$A:$H,SMALL(IF('Fume Hood Responses Nov 2015'!$A:$A=$B$11,ROW('Fume Hood Responses Nov 2015'!$A:$A)),ROW(9:9)),7))</f>
        <v/>
      </c>
      <c r="H27" s="81" t="str">
        <f t="array" ref="H27">IF(ISERROR(INDEX('Fume Hood Responses Nov 2015'!$A:$H,SMALL(IF('Fume Hood Responses Nov 2015'!$A:$A=$B$11,ROW('Fume Hood Responses Nov 2015'!$A:$A)),ROW(9:9)),8)),"",INDEX('Fume Hood Responses Nov 2015'!$A:$H,SMALL(IF('Fume Hood Responses Nov 2015'!$A:$A=$B$11,ROW('Fume Hood Responses Nov 2015'!$A:$A)),ROW(9:9)),8))</f>
        <v/>
      </c>
    </row>
    <row r="28" spans="1:8" x14ac:dyDescent="0.25">
      <c r="A28" s="80" t="str">
        <f t="array" ref="A28">IF(ISERROR(INDEX('Fume Hood Responses Nov 2015'!$A:$H,SMALL(IF('Fume Hood Responses Nov 2015'!$A:$A=$B$11,ROW('Fume Hood Responses Nov 2015'!$A:$A)),ROW(10:10)),4)),"",INDEX('Fume Hood Responses Nov 2015'!$A:$H,SMALL(IF('Fume Hood Responses Nov 2015'!$A:$A=$B$11,ROW('Fume Hood Responses Nov 2015'!$A:$A)),ROW(10:10)),4))</f>
        <v/>
      </c>
      <c r="B28" s="80" t="str">
        <f t="array" ref="B28">IF(ISERROR(INDEX('Fume Hood Responses Nov 2015'!$A:$H,SMALL(IF('Fume Hood Responses Nov 2015'!$A:$A=$B$11,ROW('Fume Hood Responses Nov 2015'!$A:$A)),ROW(10:10)),1)),"",INDEX('Fume Hood Responses Nov 2015'!$A:$H,SMALL(IF('Fume Hood Responses Nov 2015'!$A:$A=$B$11,ROW('Fume Hood Responses Nov 2015'!$A:$A)),ROW(10:10)),1))</f>
        <v/>
      </c>
      <c r="C28" s="81" t="str">
        <f t="array" ref="C28">IF(ISERROR(INDEX('Fume Hood Responses Nov 2015'!$A:$H,SMALL(IF('Fume Hood Responses Nov 2015'!$A:$A=$B$11,ROW('Fume Hood Responses Nov 2015'!$A:$A)),ROW(10:10)),5)),"",INDEX('Fume Hood Responses Nov 2015'!$A:$H,SMALL(IF('Fume Hood Responses Nov 2015'!$A:$A=$B$11,ROW('Fume Hood Responses Nov 2015'!$A:$A)),ROW(10:10)),5))</f>
        <v/>
      </c>
      <c r="D28" s="82" t="str">
        <f t="array" ref="D28">IF(ISERROR(INDEX('Fume Hood Responses Nov 2015'!$A:$H,SMALL(IF('Fume Hood Responses Nov 2015'!$A:$A=$B$11,ROW('Fume Hood Responses Nov 2015'!$A:$A)),ROW(10:10)),6)),"",INDEX('Fume Hood Responses Nov 2015'!$A:$H,SMALL(IF('Fume Hood Responses Nov 2015'!$A:$A=$B$11,ROW('Fume Hood Responses Nov 2015'!$A:$A)),ROW(10:10)),6))</f>
        <v/>
      </c>
      <c r="E28" s="82"/>
      <c r="F28" s="83" t="str">
        <f t="array" ref="F28">IF(ISERROR(INDEX('Fume Hood Responses Nov 2015'!$A:$I,SMALL(IF('Fume Hood Responses Nov 2015'!$A:$A=$B$11,ROW('Fume Hood Responses Nov 2015'!$A:$A)),ROW(10:10)),9)),"",INDEX('Fume Hood Responses Nov 2015'!$A:$I,SMALL(IF('Fume Hood Responses Nov 2015'!$A:$A=$B$11,ROW('Fume Hood Responses Nov 2015'!$A:$A)),ROW(10:10)),9))</f>
        <v/>
      </c>
      <c r="G28" s="84" t="str">
        <f t="array" ref="G28">IF(ISERROR(INDEX('Fume Hood Responses Nov 2015'!$A:$H,SMALL(IF('Fume Hood Responses Nov 2015'!$A:$A=$B$11,ROW('Fume Hood Responses Nov 2015'!$A:$A)),ROW(10:10)),7)),"",INDEX('Fume Hood Responses Nov 2015'!$A:$H,SMALL(IF('Fume Hood Responses Nov 2015'!$A:$A=$B$11,ROW('Fume Hood Responses Nov 2015'!$A:$A)),ROW(10:10)),7))</f>
        <v/>
      </c>
      <c r="H28" s="81" t="str">
        <f t="array" ref="H28">IF(ISERROR(INDEX('Fume Hood Responses Nov 2015'!$A:$H,SMALL(IF('Fume Hood Responses Nov 2015'!$A:$A=$B$11,ROW('Fume Hood Responses Nov 2015'!$A:$A)),ROW(10:10)),8)),"",INDEX('Fume Hood Responses Nov 2015'!$A:$H,SMALL(IF('Fume Hood Responses Nov 2015'!$A:$A=$B$11,ROW('Fume Hood Responses Nov 2015'!$A:$A)),ROW(10:10)),8))</f>
        <v/>
      </c>
    </row>
    <row r="29" spans="1:8" x14ac:dyDescent="0.25">
      <c r="A29" s="80" t="str">
        <f t="array" ref="A29">IF(ISERROR(INDEX('Fume Hood Responses Nov 2015'!$A:$H,SMALL(IF('Fume Hood Responses Nov 2015'!$A:$A=$B$11,ROW('Fume Hood Responses Nov 2015'!$A:$A)),ROW(11:11)),4)),"",INDEX('Fume Hood Responses Nov 2015'!$A:$H,SMALL(IF('Fume Hood Responses Nov 2015'!$A:$A=$B$11,ROW('Fume Hood Responses Nov 2015'!$A:$A)),ROW(11:11)),4))</f>
        <v/>
      </c>
      <c r="B29" s="80" t="str">
        <f t="array" ref="B29">IF(ISERROR(INDEX('Fume Hood Responses Nov 2015'!$A:$H,SMALL(IF('Fume Hood Responses Nov 2015'!$A:$A=$B$11,ROW('Fume Hood Responses Nov 2015'!$A:$A)),ROW(11:11)),1)),"",INDEX('Fume Hood Responses Nov 2015'!$A:$H,SMALL(IF('Fume Hood Responses Nov 2015'!$A:$A=$B$11,ROW('Fume Hood Responses Nov 2015'!$A:$A)),ROW(11:11)),1))</f>
        <v/>
      </c>
      <c r="C29" s="81" t="str">
        <f t="array" ref="C29">IF(ISERROR(INDEX('Fume Hood Responses Nov 2015'!$A:$H,SMALL(IF('Fume Hood Responses Nov 2015'!$A:$A=$B$11,ROW('Fume Hood Responses Nov 2015'!$A:$A)),ROW(11:11)),5)),"",INDEX('Fume Hood Responses Nov 2015'!$A:$H,SMALL(IF('Fume Hood Responses Nov 2015'!$A:$A=$B$11,ROW('Fume Hood Responses Nov 2015'!$A:$A)),ROW(11:11)),5))</f>
        <v/>
      </c>
      <c r="D29" s="82" t="str">
        <f t="array" ref="D29">IF(ISERROR(INDEX('Fume Hood Responses Nov 2015'!$A:$H,SMALL(IF('Fume Hood Responses Nov 2015'!$A:$A=$B$11,ROW('Fume Hood Responses Nov 2015'!$A:$A)),ROW(11:11)),6)),"",INDEX('Fume Hood Responses Nov 2015'!$A:$H,SMALL(IF('Fume Hood Responses Nov 2015'!$A:$A=$B$11,ROW('Fume Hood Responses Nov 2015'!$A:$A)),ROW(11:11)),6))</f>
        <v/>
      </c>
      <c r="E29" s="82"/>
      <c r="F29" s="83" t="str">
        <f t="array" ref="F29">IF(ISERROR(INDEX('Fume Hood Responses Nov 2015'!$A:$I,SMALL(IF('Fume Hood Responses Nov 2015'!$A:$A=$B$11,ROW('Fume Hood Responses Nov 2015'!$A:$A)),ROW(11:11)),9)),"",INDEX('Fume Hood Responses Nov 2015'!$A:$I,SMALL(IF('Fume Hood Responses Nov 2015'!$A:$A=$B$11,ROW('Fume Hood Responses Nov 2015'!$A:$A)),ROW(11:11)),9))</f>
        <v/>
      </c>
      <c r="G29" s="84" t="str">
        <f t="array" ref="G29">IF(ISERROR(INDEX('Fume Hood Responses Nov 2015'!$A:$H,SMALL(IF('Fume Hood Responses Nov 2015'!$A:$A=$B$11,ROW('Fume Hood Responses Nov 2015'!$A:$A)),ROW(11:11)),7)),"",INDEX('Fume Hood Responses Nov 2015'!$A:$H,SMALL(IF('Fume Hood Responses Nov 2015'!$A:$A=$B$11,ROW('Fume Hood Responses Nov 2015'!$A:$A)),ROW(11:11)),7))</f>
        <v/>
      </c>
      <c r="H29" s="81" t="str">
        <f t="array" ref="H29">IF(ISERROR(INDEX('Fume Hood Responses Nov 2015'!$A:$H,SMALL(IF('Fume Hood Responses Nov 2015'!$A:$A=$B$11,ROW('Fume Hood Responses Nov 2015'!$A:$A)),ROW(11:11)),8)),"",INDEX('Fume Hood Responses Nov 2015'!$A:$H,SMALL(IF('Fume Hood Responses Nov 2015'!$A:$A=$B$11,ROW('Fume Hood Responses Nov 2015'!$A:$A)),ROW(11:11)),8))</f>
        <v/>
      </c>
    </row>
    <row r="30" spans="1:8" x14ac:dyDescent="0.25">
      <c r="A30" s="80" t="str">
        <f t="array" ref="A30">IF(ISERROR(INDEX('Fume Hood Responses Nov 2015'!$A:$H,SMALL(IF('Fume Hood Responses Nov 2015'!$A:$A=$B$11,ROW('Fume Hood Responses Nov 2015'!$A:$A)),ROW(12:12)),4)),"",INDEX('Fume Hood Responses Nov 2015'!$A:$H,SMALL(IF('Fume Hood Responses Nov 2015'!$A:$A=$B$11,ROW('Fume Hood Responses Nov 2015'!$A:$A)),ROW(12:12)),4))</f>
        <v/>
      </c>
      <c r="B30" s="80" t="str">
        <f t="array" ref="B30">IF(ISERROR(INDEX('Fume Hood Responses Nov 2015'!$A:$H,SMALL(IF('Fume Hood Responses Nov 2015'!$A:$A=$B$11,ROW('Fume Hood Responses Nov 2015'!$A:$A)),ROW(12:12)),1)),"",INDEX('Fume Hood Responses Nov 2015'!$A:$H,SMALL(IF('Fume Hood Responses Nov 2015'!$A:$A=$B$11,ROW('Fume Hood Responses Nov 2015'!$A:$A)),ROW(12:12)),1))</f>
        <v/>
      </c>
      <c r="C30" s="81" t="str">
        <f t="array" ref="C30">IF(ISERROR(INDEX('Fume Hood Responses Nov 2015'!$A:$H,SMALL(IF('Fume Hood Responses Nov 2015'!$A:$A=$B$11,ROW('Fume Hood Responses Nov 2015'!$A:$A)),ROW(12:12)),5)),"",INDEX('Fume Hood Responses Nov 2015'!$A:$H,SMALL(IF('Fume Hood Responses Nov 2015'!$A:$A=$B$11,ROW('Fume Hood Responses Nov 2015'!$A:$A)),ROW(12:12)),5))</f>
        <v/>
      </c>
      <c r="D30" s="82" t="str">
        <f t="array" ref="D30">IF(ISERROR(INDEX('Fume Hood Responses Nov 2015'!$A:$H,SMALL(IF('Fume Hood Responses Nov 2015'!$A:$A=$B$11,ROW('Fume Hood Responses Nov 2015'!$A:$A)),ROW(12:12)),6)),"",INDEX('Fume Hood Responses Nov 2015'!$A:$H,SMALL(IF('Fume Hood Responses Nov 2015'!$A:$A=$B$11,ROW('Fume Hood Responses Nov 2015'!$A:$A)),ROW(12:12)),6))</f>
        <v/>
      </c>
      <c r="E30" s="82"/>
      <c r="F30" s="83" t="str">
        <f t="array" ref="F30">IF(ISERROR(INDEX('Fume Hood Responses Nov 2015'!$A:$I,SMALL(IF('Fume Hood Responses Nov 2015'!$A:$A=$B$11,ROW('Fume Hood Responses Nov 2015'!$A:$A)),ROW(12:12)),9)),"",INDEX('Fume Hood Responses Nov 2015'!$A:$I,SMALL(IF('Fume Hood Responses Nov 2015'!$A:$A=$B$11,ROW('Fume Hood Responses Nov 2015'!$A:$A)),ROW(12:12)),9))</f>
        <v/>
      </c>
      <c r="G30" s="84" t="str">
        <f t="array" ref="G30">IF(ISERROR(INDEX('Fume Hood Responses Nov 2015'!$A:$H,SMALL(IF('Fume Hood Responses Nov 2015'!$A:$A=$B$11,ROW('Fume Hood Responses Nov 2015'!$A:$A)),ROW(12:12)),7)),"",INDEX('Fume Hood Responses Nov 2015'!$A:$H,SMALL(IF('Fume Hood Responses Nov 2015'!$A:$A=$B$11,ROW('Fume Hood Responses Nov 2015'!$A:$A)),ROW(12:12)),7))</f>
        <v/>
      </c>
      <c r="H30" s="81" t="str">
        <f t="array" ref="H30">IF(ISERROR(INDEX('Fume Hood Responses Nov 2015'!$A:$H,SMALL(IF('Fume Hood Responses Nov 2015'!$A:$A=$B$11,ROW('Fume Hood Responses Nov 2015'!$A:$A)),ROW(12:12)),8)),"",INDEX('Fume Hood Responses Nov 2015'!$A:$H,SMALL(IF('Fume Hood Responses Nov 2015'!$A:$A=$B$11,ROW('Fume Hood Responses Nov 2015'!$A:$A)),ROW(12:12)),8))</f>
        <v/>
      </c>
    </row>
    <row r="31" spans="1:8" x14ac:dyDescent="0.25">
      <c r="A31" s="80" t="str">
        <f t="array" ref="A31">IF(ISERROR(INDEX('Fume Hood Responses Nov 2015'!$A:$H,SMALL(IF('Fume Hood Responses Nov 2015'!$A:$A=$B$11,ROW('Fume Hood Responses Nov 2015'!$A:$A)),ROW(13:13)),4)),"",INDEX('Fume Hood Responses Nov 2015'!$A:$H,SMALL(IF('Fume Hood Responses Nov 2015'!$A:$A=$B$11,ROW('Fume Hood Responses Nov 2015'!$A:$A)),ROW(13:13)),4))</f>
        <v/>
      </c>
      <c r="B31" s="80" t="str">
        <f t="array" ref="B31">IF(ISERROR(INDEX('Fume Hood Responses Nov 2015'!$A:$H,SMALL(IF('Fume Hood Responses Nov 2015'!$A:$A=$B$11,ROW('Fume Hood Responses Nov 2015'!$A:$A)),ROW(13:13)),1)),"",INDEX('Fume Hood Responses Nov 2015'!$A:$H,SMALL(IF('Fume Hood Responses Nov 2015'!$A:$A=$B$11,ROW('Fume Hood Responses Nov 2015'!$A:$A)),ROW(13:13)),1))</f>
        <v/>
      </c>
      <c r="C31" s="81" t="str">
        <f t="array" ref="C31">IF(ISERROR(INDEX('Fume Hood Responses Nov 2015'!$A:$H,SMALL(IF('Fume Hood Responses Nov 2015'!$A:$A=$B$11,ROW('Fume Hood Responses Nov 2015'!$A:$A)),ROW(13:13)),5)),"",INDEX('Fume Hood Responses Nov 2015'!$A:$H,SMALL(IF('Fume Hood Responses Nov 2015'!$A:$A=$B$11,ROW('Fume Hood Responses Nov 2015'!$A:$A)),ROW(13:13)),5))</f>
        <v/>
      </c>
      <c r="D31" s="82" t="str">
        <f t="array" ref="D31">IF(ISERROR(INDEX('Fume Hood Responses Nov 2015'!$A:$H,SMALL(IF('Fume Hood Responses Nov 2015'!$A:$A=$B$11,ROW('Fume Hood Responses Nov 2015'!$A:$A)),ROW(13:13)),6)),"",INDEX('Fume Hood Responses Nov 2015'!$A:$H,SMALL(IF('Fume Hood Responses Nov 2015'!$A:$A=$B$11,ROW('Fume Hood Responses Nov 2015'!$A:$A)),ROW(13:13)),6))</f>
        <v/>
      </c>
      <c r="E31" s="82"/>
      <c r="F31" s="83" t="str">
        <f t="array" ref="F31">IF(ISERROR(INDEX('Fume Hood Responses Nov 2015'!$A:$I,SMALL(IF('Fume Hood Responses Nov 2015'!$A:$A=$B$11,ROW('Fume Hood Responses Nov 2015'!$A:$A)),ROW(13:13)),9)),"",INDEX('Fume Hood Responses Nov 2015'!$A:$I,SMALL(IF('Fume Hood Responses Nov 2015'!$A:$A=$B$11,ROW('Fume Hood Responses Nov 2015'!$A:$A)),ROW(13:13)),9))</f>
        <v/>
      </c>
      <c r="G31" s="84" t="str">
        <f t="array" ref="G31">IF(ISERROR(INDEX('Fume Hood Responses Nov 2015'!$A:$H,SMALL(IF('Fume Hood Responses Nov 2015'!$A:$A=$B$11,ROW('Fume Hood Responses Nov 2015'!$A:$A)),ROW(13:13)),7)),"",INDEX('Fume Hood Responses Nov 2015'!$A:$H,SMALL(IF('Fume Hood Responses Nov 2015'!$A:$A=$B$11,ROW('Fume Hood Responses Nov 2015'!$A:$A)),ROW(13:13)),7))</f>
        <v/>
      </c>
      <c r="H31" s="81" t="str">
        <f t="array" ref="H31">IF(ISERROR(INDEX('Fume Hood Responses Nov 2015'!$A:$H,SMALL(IF('Fume Hood Responses Nov 2015'!$A:$A=$B$11,ROW('Fume Hood Responses Nov 2015'!$A:$A)),ROW(13:13)),8)),"",INDEX('Fume Hood Responses Nov 2015'!$A:$H,SMALL(IF('Fume Hood Responses Nov 2015'!$A:$A=$B$11,ROW('Fume Hood Responses Nov 2015'!$A:$A)),ROW(13:13)),8))</f>
        <v/>
      </c>
    </row>
    <row r="32" spans="1:8" x14ac:dyDescent="0.25">
      <c r="A32" s="80" t="str">
        <f t="array" ref="A32">IF(ISERROR(INDEX('Fume Hood Responses Nov 2015'!$A:$H,SMALL(IF('Fume Hood Responses Nov 2015'!$A:$A=$B$11,ROW('Fume Hood Responses Nov 2015'!$A:$A)),ROW(14:14)),4)),"",INDEX('Fume Hood Responses Nov 2015'!$A:$H,SMALL(IF('Fume Hood Responses Nov 2015'!$A:$A=$B$11,ROW('Fume Hood Responses Nov 2015'!$A:$A)),ROW(14:14)),4))</f>
        <v/>
      </c>
      <c r="B32" s="80" t="str">
        <f t="array" ref="B32">IF(ISERROR(INDEX('Fume Hood Responses Nov 2015'!$A:$H,SMALL(IF('Fume Hood Responses Nov 2015'!$A:$A=$B$11,ROW('Fume Hood Responses Nov 2015'!$A:$A)),ROW(14:14)),1)),"",INDEX('Fume Hood Responses Nov 2015'!$A:$H,SMALL(IF('Fume Hood Responses Nov 2015'!$A:$A=$B$11,ROW('Fume Hood Responses Nov 2015'!$A:$A)),ROW(14:14)),1))</f>
        <v/>
      </c>
      <c r="C32" s="81" t="str">
        <f t="array" ref="C32">IF(ISERROR(INDEX('Fume Hood Responses Nov 2015'!$A:$H,SMALL(IF('Fume Hood Responses Nov 2015'!$A:$A=$B$11,ROW('Fume Hood Responses Nov 2015'!$A:$A)),ROW(14:14)),5)),"",INDEX('Fume Hood Responses Nov 2015'!$A:$H,SMALL(IF('Fume Hood Responses Nov 2015'!$A:$A=$B$11,ROW('Fume Hood Responses Nov 2015'!$A:$A)),ROW(14:14)),5))</f>
        <v/>
      </c>
      <c r="D32" s="82" t="str">
        <f t="array" ref="D32">IF(ISERROR(INDEX('Fume Hood Responses Nov 2015'!$A:$H,SMALL(IF('Fume Hood Responses Nov 2015'!$A:$A=$B$11,ROW('Fume Hood Responses Nov 2015'!$A:$A)),ROW(14:14)),6)),"",INDEX('Fume Hood Responses Nov 2015'!$A:$H,SMALL(IF('Fume Hood Responses Nov 2015'!$A:$A=$B$11,ROW('Fume Hood Responses Nov 2015'!$A:$A)),ROW(14:14)),6))</f>
        <v/>
      </c>
      <c r="E32" s="82"/>
      <c r="F32" s="83" t="str">
        <f t="array" ref="F32">IF(ISERROR(INDEX('Fume Hood Responses Nov 2015'!$A:$I,SMALL(IF('Fume Hood Responses Nov 2015'!$A:$A=$B$11,ROW('Fume Hood Responses Nov 2015'!$A:$A)),ROW(14:14)),9)),"",INDEX('Fume Hood Responses Nov 2015'!$A:$I,SMALL(IF('Fume Hood Responses Nov 2015'!$A:$A=$B$11,ROW('Fume Hood Responses Nov 2015'!$A:$A)),ROW(14:14)),9))</f>
        <v/>
      </c>
      <c r="G32" s="84" t="str">
        <f t="array" ref="G32">IF(ISERROR(INDEX('Fume Hood Responses Nov 2015'!$A:$H,SMALL(IF('Fume Hood Responses Nov 2015'!$A:$A=$B$11,ROW('Fume Hood Responses Nov 2015'!$A:$A)),ROW(14:14)),7)),"",INDEX('Fume Hood Responses Nov 2015'!$A:$H,SMALL(IF('Fume Hood Responses Nov 2015'!$A:$A=$B$11,ROW('Fume Hood Responses Nov 2015'!$A:$A)),ROW(14:14)),7))</f>
        <v/>
      </c>
      <c r="H32" s="81" t="str">
        <f t="array" ref="H32">IF(ISERROR(INDEX('Fume Hood Responses Nov 2015'!$A:$H,SMALL(IF('Fume Hood Responses Nov 2015'!$A:$A=$B$11,ROW('Fume Hood Responses Nov 2015'!$A:$A)),ROW(14:14)),8)),"",INDEX('Fume Hood Responses Nov 2015'!$A:$H,SMALL(IF('Fume Hood Responses Nov 2015'!$A:$A=$B$11,ROW('Fume Hood Responses Nov 2015'!$A:$A)),ROW(14:14)),8))</f>
        <v/>
      </c>
    </row>
    <row r="33" spans="1:8" x14ac:dyDescent="0.25">
      <c r="A33" s="80" t="str">
        <f t="array" ref="A33">IF(ISERROR(INDEX('Fume Hood Responses Nov 2015'!$A:$H,SMALL(IF('Fume Hood Responses Nov 2015'!$A:$A=$B$11,ROW('Fume Hood Responses Nov 2015'!$A:$A)),ROW(15:15)),4)),"",INDEX('Fume Hood Responses Nov 2015'!$A:$H,SMALL(IF('Fume Hood Responses Nov 2015'!$A:$A=$B$11,ROW('Fume Hood Responses Nov 2015'!$A:$A)),ROW(15:15)),4))</f>
        <v/>
      </c>
      <c r="B33" s="80" t="str">
        <f t="array" ref="B33">IF(ISERROR(INDEX('Fume Hood Responses Nov 2015'!$A:$H,SMALL(IF('Fume Hood Responses Nov 2015'!$A:$A=$B$11,ROW('Fume Hood Responses Nov 2015'!$A:$A)),ROW(15:15)),1)),"",INDEX('Fume Hood Responses Nov 2015'!$A:$H,SMALL(IF('Fume Hood Responses Nov 2015'!$A:$A=$B$11,ROW('Fume Hood Responses Nov 2015'!$A:$A)),ROW(15:15)),1))</f>
        <v/>
      </c>
      <c r="C33" s="81" t="str">
        <f t="array" ref="C33">IF(ISERROR(INDEX('Fume Hood Responses Nov 2015'!$A:$H,SMALL(IF('Fume Hood Responses Nov 2015'!$A:$A=$B$11,ROW('Fume Hood Responses Nov 2015'!$A:$A)),ROW(15:15)),5)),"",INDEX('Fume Hood Responses Nov 2015'!$A:$H,SMALL(IF('Fume Hood Responses Nov 2015'!$A:$A=$B$11,ROW('Fume Hood Responses Nov 2015'!$A:$A)),ROW(15:15)),5))</f>
        <v/>
      </c>
      <c r="D33" s="82" t="str">
        <f t="array" ref="D33">IF(ISERROR(INDEX('Fume Hood Responses Nov 2015'!$A:$H,SMALL(IF('Fume Hood Responses Nov 2015'!$A:$A=$B$11,ROW('Fume Hood Responses Nov 2015'!$A:$A)),ROW(15:15)),6)),"",INDEX('Fume Hood Responses Nov 2015'!$A:$H,SMALL(IF('Fume Hood Responses Nov 2015'!$A:$A=$B$11,ROW('Fume Hood Responses Nov 2015'!$A:$A)),ROW(15:15)),6))</f>
        <v/>
      </c>
      <c r="E33" s="82"/>
      <c r="F33" s="83" t="str">
        <f t="array" ref="F33">IF(ISERROR(INDEX('Fume Hood Responses Nov 2015'!$A:$I,SMALL(IF('Fume Hood Responses Nov 2015'!$A:$A=$B$11,ROW('Fume Hood Responses Nov 2015'!$A:$A)),ROW(15:15)),9)),"",INDEX('Fume Hood Responses Nov 2015'!$A:$I,SMALL(IF('Fume Hood Responses Nov 2015'!$A:$A=$B$11,ROW('Fume Hood Responses Nov 2015'!$A:$A)),ROW(15:15)),9))</f>
        <v/>
      </c>
      <c r="G33" s="84" t="str">
        <f t="array" ref="G33">IF(ISERROR(INDEX('Fume Hood Responses Nov 2015'!$A:$H,SMALL(IF('Fume Hood Responses Nov 2015'!$A:$A=$B$11,ROW('Fume Hood Responses Nov 2015'!$A:$A)),ROW(15:15)),7)),"",INDEX('Fume Hood Responses Nov 2015'!$A:$H,SMALL(IF('Fume Hood Responses Nov 2015'!$A:$A=$B$11,ROW('Fume Hood Responses Nov 2015'!$A:$A)),ROW(15:15)),7))</f>
        <v/>
      </c>
      <c r="H33" s="81" t="str">
        <f t="array" ref="H33">IF(ISERROR(INDEX('Fume Hood Responses Nov 2015'!$A:$H,SMALL(IF('Fume Hood Responses Nov 2015'!$A:$A=$B$11,ROW('Fume Hood Responses Nov 2015'!$A:$A)),ROW(15:15)),8)),"",INDEX('Fume Hood Responses Nov 2015'!$A:$H,SMALL(IF('Fume Hood Responses Nov 2015'!$A:$A=$B$11,ROW('Fume Hood Responses Nov 2015'!$A:$A)),ROW(15:15)),8))</f>
        <v/>
      </c>
    </row>
    <row r="34" spans="1:8" x14ac:dyDescent="0.25">
      <c r="A34" s="80" t="str">
        <f t="array" ref="A34">IF(ISERROR(INDEX('Fume Hood Responses Nov 2015'!$A:$H,SMALL(IF('Fume Hood Responses Nov 2015'!$A:$A=$B$11,ROW('Fume Hood Responses Nov 2015'!$A:$A)),ROW(16:16)),4)),"",INDEX('Fume Hood Responses Nov 2015'!$A:$H,SMALL(IF('Fume Hood Responses Nov 2015'!$A:$A=$B$11,ROW('Fume Hood Responses Nov 2015'!$A:$A)),ROW(16:16)),4))</f>
        <v/>
      </c>
      <c r="B34" s="80" t="str">
        <f t="array" ref="B34">IF(ISERROR(INDEX('Fume Hood Responses Nov 2015'!$A:$H,SMALL(IF('Fume Hood Responses Nov 2015'!$A:$A=$B$11,ROW('Fume Hood Responses Nov 2015'!$A:$A)),ROW(16:16)),1)),"",INDEX('Fume Hood Responses Nov 2015'!$A:$H,SMALL(IF('Fume Hood Responses Nov 2015'!$A:$A=$B$11,ROW('Fume Hood Responses Nov 2015'!$A:$A)),ROW(16:16)),1))</f>
        <v/>
      </c>
      <c r="C34" s="81" t="str">
        <f t="array" ref="C34">IF(ISERROR(INDEX('Fume Hood Responses Nov 2015'!$A:$H,SMALL(IF('Fume Hood Responses Nov 2015'!$A:$A=$B$11,ROW('Fume Hood Responses Nov 2015'!$A:$A)),ROW(16:16)),5)),"",INDEX('Fume Hood Responses Nov 2015'!$A:$H,SMALL(IF('Fume Hood Responses Nov 2015'!$A:$A=$B$11,ROW('Fume Hood Responses Nov 2015'!$A:$A)),ROW(16:16)),5))</f>
        <v/>
      </c>
      <c r="D34" s="82" t="str">
        <f t="array" ref="D34">IF(ISERROR(INDEX('Fume Hood Responses Nov 2015'!$A:$H,SMALL(IF('Fume Hood Responses Nov 2015'!$A:$A=$B$11,ROW('Fume Hood Responses Nov 2015'!$A:$A)),ROW(16:16)),6)),"",INDEX('Fume Hood Responses Nov 2015'!$A:$H,SMALL(IF('Fume Hood Responses Nov 2015'!$A:$A=$B$11,ROW('Fume Hood Responses Nov 2015'!$A:$A)),ROW(16:16)),6))</f>
        <v/>
      </c>
      <c r="E34" s="82"/>
      <c r="F34" s="83" t="str">
        <f t="array" ref="F34">IF(ISERROR(INDEX('Fume Hood Responses Nov 2015'!$A:$I,SMALL(IF('Fume Hood Responses Nov 2015'!$A:$A=$B$11,ROW('Fume Hood Responses Nov 2015'!$A:$A)),ROW(16:16)),9)),"",INDEX('Fume Hood Responses Nov 2015'!$A:$I,SMALL(IF('Fume Hood Responses Nov 2015'!$A:$A=$B$11,ROW('Fume Hood Responses Nov 2015'!$A:$A)),ROW(16:16)),9))</f>
        <v/>
      </c>
      <c r="G34" s="84" t="str">
        <f t="array" ref="G34">IF(ISERROR(INDEX('Fume Hood Responses Nov 2015'!$A:$H,SMALL(IF('Fume Hood Responses Nov 2015'!$A:$A=$B$11,ROW('Fume Hood Responses Nov 2015'!$A:$A)),ROW(16:16)),7)),"",INDEX('Fume Hood Responses Nov 2015'!$A:$H,SMALL(IF('Fume Hood Responses Nov 2015'!$A:$A=$B$11,ROW('Fume Hood Responses Nov 2015'!$A:$A)),ROW(16:16)),7))</f>
        <v/>
      </c>
      <c r="H34" s="81" t="str">
        <f t="array" ref="H34">IF(ISERROR(INDEX('Fume Hood Responses Nov 2015'!$A:$H,SMALL(IF('Fume Hood Responses Nov 2015'!$A:$A=$B$11,ROW('Fume Hood Responses Nov 2015'!$A:$A)),ROW(16:16)),8)),"",INDEX('Fume Hood Responses Nov 2015'!$A:$H,SMALL(IF('Fume Hood Responses Nov 2015'!$A:$A=$B$11,ROW('Fume Hood Responses Nov 2015'!$A:$A)),ROW(16:16)),8))</f>
        <v/>
      </c>
    </row>
    <row r="35" spans="1:8" x14ac:dyDescent="0.25">
      <c r="A35" s="80" t="str">
        <f t="array" ref="A35">IF(ISERROR(INDEX('Fume Hood Responses Nov 2015'!$A:$H,SMALL(IF('Fume Hood Responses Nov 2015'!$A:$A=$B$11,ROW('Fume Hood Responses Nov 2015'!$A:$A)),ROW(17:17)),4)),"",INDEX('Fume Hood Responses Nov 2015'!$A:$H,SMALL(IF('Fume Hood Responses Nov 2015'!$A:$A=$B$11,ROW('Fume Hood Responses Nov 2015'!$A:$A)),ROW(17:17)),4))</f>
        <v/>
      </c>
      <c r="B35" s="80" t="str">
        <f t="array" ref="B35">IF(ISERROR(INDEX('Fume Hood Responses Nov 2015'!$A:$H,SMALL(IF('Fume Hood Responses Nov 2015'!$A:$A=$B$11,ROW('Fume Hood Responses Nov 2015'!$A:$A)),ROW(17:17)),1)),"",INDEX('Fume Hood Responses Nov 2015'!$A:$H,SMALL(IF('Fume Hood Responses Nov 2015'!$A:$A=$B$11,ROW('Fume Hood Responses Nov 2015'!$A:$A)),ROW(17:17)),1))</f>
        <v/>
      </c>
      <c r="C35" s="81" t="str">
        <f t="array" ref="C35">IF(ISERROR(INDEX('Fume Hood Responses Nov 2015'!$A:$H,SMALL(IF('Fume Hood Responses Nov 2015'!$A:$A=$B$11,ROW('Fume Hood Responses Nov 2015'!$A:$A)),ROW(17:17)),5)),"",INDEX('Fume Hood Responses Nov 2015'!$A:$H,SMALL(IF('Fume Hood Responses Nov 2015'!$A:$A=$B$11,ROW('Fume Hood Responses Nov 2015'!$A:$A)),ROW(17:17)),5))</f>
        <v/>
      </c>
      <c r="D35" s="82" t="str">
        <f t="array" ref="D35">IF(ISERROR(INDEX('Fume Hood Responses Nov 2015'!$A:$H,SMALL(IF('Fume Hood Responses Nov 2015'!$A:$A=$B$11,ROW('Fume Hood Responses Nov 2015'!$A:$A)),ROW(17:17)),6)),"",INDEX('Fume Hood Responses Nov 2015'!$A:$H,SMALL(IF('Fume Hood Responses Nov 2015'!$A:$A=$B$11,ROW('Fume Hood Responses Nov 2015'!$A:$A)),ROW(17:17)),6))</f>
        <v/>
      </c>
      <c r="E35" s="82"/>
      <c r="F35" s="83" t="str">
        <f t="array" ref="F35">IF(ISERROR(INDEX('Fume Hood Responses Nov 2015'!$A:$I,SMALL(IF('Fume Hood Responses Nov 2015'!$A:$A=$B$11,ROW('Fume Hood Responses Nov 2015'!$A:$A)),ROW(17:17)),9)),"",INDEX('Fume Hood Responses Nov 2015'!$A:$I,SMALL(IF('Fume Hood Responses Nov 2015'!$A:$A=$B$11,ROW('Fume Hood Responses Nov 2015'!$A:$A)),ROW(17:17)),9))</f>
        <v/>
      </c>
      <c r="G35" s="84" t="str">
        <f t="array" ref="G35">IF(ISERROR(INDEX('Fume Hood Responses Nov 2015'!$A:$H,SMALL(IF('Fume Hood Responses Nov 2015'!$A:$A=$B$11,ROW('Fume Hood Responses Nov 2015'!$A:$A)),ROW(17:17)),7)),"",INDEX('Fume Hood Responses Nov 2015'!$A:$H,SMALL(IF('Fume Hood Responses Nov 2015'!$A:$A=$B$11,ROW('Fume Hood Responses Nov 2015'!$A:$A)),ROW(17:17)),7))</f>
        <v/>
      </c>
      <c r="H35" s="81" t="str">
        <f t="array" ref="H35">IF(ISERROR(INDEX('Fume Hood Responses Nov 2015'!$A:$H,SMALL(IF('Fume Hood Responses Nov 2015'!$A:$A=$B$11,ROW('Fume Hood Responses Nov 2015'!$A:$A)),ROW(17:17)),8)),"",INDEX('Fume Hood Responses Nov 2015'!$A:$H,SMALL(IF('Fume Hood Responses Nov 2015'!$A:$A=$B$11,ROW('Fume Hood Responses Nov 2015'!$A:$A)),ROW(17:17)),8))</f>
        <v/>
      </c>
    </row>
    <row r="36" spans="1:8" x14ac:dyDescent="0.25">
      <c r="A36" s="80" t="str">
        <f t="array" ref="A36">IF(ISERROR(INDEX('Fume Hood Responses Nov 2015'!$A:$H,SMALL(IF('Fume Hood Responses Nov 2015'!$A:$A=$B$11,ROW('Fume Hood Responses Nov 2015'!$A:$A)),ROW(18:18)),4)),"",INDEX('Fume Hood Responses Nov 2015'!$A:$H,SMALL(IF('Fume Hood Responses Nov 2015'!$A:$A=$B$11,ROW('Fume Hood Responses Nov 2015'!$A:$A)),ROW(18:18)),4))</f>
        <v/>
      </c>
      <c r="B36" s="80" t="str">
        <f t="array" ref="B36">IF(ISERROR(INDEX('Fume Hood Responses Nov 2015'!$A:$H,SMALL(IF('Fume Hood Responses Nov 2015'!$A:$A=$B$11,ROW('Fume Hood Responses Nov 2015'!$A:$A)),ROW(18:18)),1)),"",INDEX('Fume Hood Responses Nov 2015'!$A:$H,SMALL(IF('Fume Hood Responses Nov 2015'!$A:$A=$B$11,ROW('Fume Hood Responses Nov 2015'!$A:$A)),ROW(18:18)),1))</f>
        <v/>
      </c>
      <c r="C36" s="81" t="str">
        <f t="array" ref="C36">IF(ISERROR(INDEX('Fume Hood Responses Nov 2015'!$A:$H,SMALL(IF('Fume Hood Responses Nov 2015'!$A:$A=$B$11,ROW('Fume Hood Responses Nov 2015'!$A:$A)),ROW(18:18)),5)),"",INDEX('Fume Hood Responses Nov 2015'!$A:$H,SMALL(IF('Fume Hood Responses Nov 2015'!$A:$A=$B$11,ROW('Fume Hood Responses Nov 2015'!$A:$A)),ROW(18:18)),5))</f>
        <v/>
      </c>
      <c r="D36" s="82" t="str">
        <f t="array" ref="D36">IF(ISERROR(INDEX('Fume Hood Responses Nov 2015'!$A:$H,SMALL(IF('Fume Hood Responses Nov 2015'!$A:$A=$B$11,ROW('Fume Hood Responses Nov 2015'!$A:$A)),ROW(18:18)),6)),"",INDEX('Fume Hood Responses Nov 2015'!$A:$H,SMALL(IF('Fume Hood Responses Nov 2015'!$A:$A=$B$11,ROW('Fume Hood Responses Nov 2015'!$A:$A)),ROW(18:18)),6))</f>
        <v/>
      </c>
      <c r="E36" s="82"/>
      <c r="F36" s="83" t="str">
        <f t="array" ref="F36">IF(ISERROR(INDEX('Fume Hood Responses Nov 2015'!$A:$I,SMALL(IF('Fume Hood Responses Nov 2015'!$A:$A=$B$11,ROW('Fume Hood Responses Nov 2015'!$A:$A)),ROW(18:18)),9)),"",INDEX('Fume Hood Responses Nov 2015'!$A:$I,SMALL(IF('Fume Hood Responses Nov 2015'!$A:$A=$B$11,ROW('Fume Hood Responses Nov 2015'!$A:$A)),ROW(18:18)),9))</f>
        <v/>
      </c>
      <c r="G36" s="84" t="str">
        <f t="array" ref="G36">IF(ISERROR(INDEX('Fume Hood Responses Nov 2015'!$A:$H,SMALL(IF('Fume Hood Responses Nov 2015'!$A:$A=$B$11,ROW('Fume Hood Responses Nov 2015'!$A:$A)),ROW(18:18)),7)),"",INDEX('Fume Hood Responses Nov 2015'!$A:$H,SMALL(IF('Fume Hood Responses Nov 2015'!$A:$A=$B$11,ROW('Fume Hood Responses Nov 2015'!$A:$A)),ROW(18:18)),7))</f>
        <v/>
      </c>
      <c r="H36" s="81" t="str">
        <f t="array" ref="H36">IF(ISERROR(INDEX('Fume Hood Responses Nov 2015'!$A:$H,SMALL(IF('Fume Hood Responses Nov 2015'!$A:$A=$B$11,ROW('Fume Hood Responses Nov 2015'!$A:$A)),ROW(18:18)),8)),"",INDEX('Fume Hood Responses Nov 2015'!$A:$H,SMALL(IF('Fume Hood Responses Nov 2015'!$A:$A=$B$11,ROW('Fume Hood Responses Nov 2015'!$A:$A)),ROW(18:18)),8))</f>
        <v/>
      </c>
    </row>
    <row r="37" spans="1:8" x14ac:dyDescent="0.25">
      <c r="A37" s="80" t="str">
        <f t="array" ref="A37">IF(ISERROR(INDEX('Fume Hood Responses Nov 2015'!$A:$H,SMALL(IF('Fume Hood Responses Nov 2015'!$A:$A=$B$11,ROW('Fume Hood Responses Nov 2015'!$A:$A)),ROW(19:19)),4)),"",INDEX('Fume Hood Responses Nov 2015'!$A:$H,SMALL(IF('Fume Hood Responses Nov 2015'!$A:$A=$B$11,ROW('Fume Hood Responses Nov 2015'!$A:$A)),ROW(19:19)),4))</f>
        <v/>
      </c>
      <c r="B37" s="80" t="str">
        <f t="array" ref="B37">IF(ISERROR(INDEX('Fume Hood Responses Nov 2015'!$A:$H,SMALL(IF('Fume Hood Responses Nov 2015'!$A:$A=$B$11,ROW('Fume Hood Responses Nov 2015'!$A:$A)),ROW(19:19)),1)),"",INDEX('Fume Hood Responses Nov 2015'!$A:$H,SMALL(IF('Fume Hood Responses Nov 2015'!$A:$A=$B$11,ROW('Fume Hood Responses Nov 2015'!$A:$A)),ROW(19:19)),1))</f>
        <v/>
      </c>
      <c r="C37" s="81" t="str">
        <f t="array" ref="C37">IF(ISERROR(INDEX('Fume Hood Responses Nov 2015'!$A:$H,SMALL(IF('Fume Hood Responses Nov 2015'!$A:$A=$B$11,ROW('Fume Hood Responses Nov 2015'!$A:$A)),ROW(19:19)),5)),"",INDEX('Fume Hood Responses Nov 2015'!$A:$H,SMALL(IF('Fume Hood Responses Nov 2015'!$A:$A=$B$11,ROW('Fume Hood Responses Nov 2015'!$A:$A)),ROW(19:19)),5))</f>
        <v/>
      </c>
      <c r="D37" s="82" t="str">
        <f t="array" ref="D37">IF(ISERROR(INDEX('Fume Hood Responses Nov 2015'!$A:$H,SMALL(IF('Fume Hood Responses Nov 2015'!$A:$A=$B$11,ROW('Fume Hood Responses Nov 2015'!$A:$A)),ROW(19:19)),6)),"",INDEX('Fume Hood Responses Nov 2015'!$A:$H,SMALL(IF('Fume Hood Responses Nov 2015'!$A:$A=$B$11,ROW('Fume Hood Responses Nov 2015'!$A:$A)),ROW(19:19)),6))</f>
        <v/>
      </c>
      <c r="E37" s="82"/>
      <c r="F37" s="83" t="str">
        <f t="array" ref="F37">IF(ISERROR(INDEX('Fume Hood Responses Nov 2015'!$A:$I,SMALL(IF('Fume Hood Responses Nov 2015'!$A:$A=$B$11,ROW('Fume Hood Responses Nov 2015'!$A:$A)),ROW(19:19)),9)),"",INDEX('Fume Hood Responses Nov 2015'!$A:$I,SMALL(IF('Fume Hood Responses Nov 2015'!$A:$A=$B$11,ROW('Fume Hood Responses Nov 2015'!$A:$A)),ROW(19:19)),9))</f>
        <v/>
      </c>
      <c r="G37" s="84" t="str">
        <f t="array" ref="G37">IF(ISERROR(INDEX('Fume Hood Responses Nov 2015'!$A:$H,SMALL(IF('Fume Hood Responses Nov 2015'!$A:$A=$B$11,ROW('Fume Hood Responses Nov 2015'!$A:$A)),ROW(19:19)),7)),"",INDEX('Fume Hood Responses Nov 2015'!$A:$H,SMALL(IF('Fume Hood Responses Nov 2015'!$A:$A=$B$11,ROW('Fume Hood Responses Nov 2015'!$A:$A)),ROW(19:19)),7))</f>
        <v/>
      </c>
      <c r="H37" s="81" t="str">
        <f t="array" ref="H37">IF(ISERROR(INDEX('Fume Hood Responses Nov 2015'!$A:$H,SMALL(IF('Fume Hood Responses Nov 2015'!$A:$A=$B$11,ROW('Fume Hood Responses Nov 2015'!$A:$A)),ROW(19:19)),8)),"",INDEX('Fume Hood Responses Nov 2015'!$A:$H,SMALL(IF('Fume Hood Responses Nov 2015'!$A:$A=$B$11,ROW('Fume Hood Responses Nov 2015'!$A:$A)),ROW(19:19)),8))</f>
        <v/>
      </c>
    </row>
    <row r="38" spans="1:8" x14ac:dyDescent="0.25">
      <c r="A38" s="80" t="str">
        <f t="array" ref="A38">IF(ISERROR(INDEX('Fume Hood Responses Nov 2015'!$A:$H,SMALL(IF('Fume Hood Responses Nov 2015'!$A:$A=$B$11,ROW('Fume Hood Responses Nov 2015'!$A:$A)),ROW(20:20)),4)),"",INDEX('Fume Hood Responses Nov 2015'!$A:$H,SMALL(IF('Fume Hood Responses Nov 2015'!$A:$A=$B$11,ROW('Fume Hood Responses Nov 2015'!$A:$A)),ROW(20:20)),4))</f>
        <v/>
      </c>
      <c r="B38" s="80" t="str">
        <f t="array" ref="B38">IF(ISERROR(INDEX('Fume Hood Responses Nov 2015'!$A:$H,SMALL(IF('Fume Hood Responses Nov 2015'!$A:$A=$B$11,ROW('Fume Hood Responses Nov 2015'!$A:$A)),ROW(20:20)),1)),"",INDEX('Fume Hood Responses Nov 2015'!$A:$H,SMALL(IF('Fume Hood Responses Nov 2015'!$A:$A=$B$11,ROW('Fume Hood Responses Nov 2015'!$A:$A)),ROW(20:20)),1))</f>
        <v/>
      </c>
      <c r="C38" s="81" t="str">
        <f t="array" ref="C38">IF(ISERROR(INDEX('Fume Hood Responses Nov 2015'!$A:$H,SMALL(IF('Fume Hood Responses Nov 2015'!$A:$A=$B$11,ROW('Fume Hood Responses Nov 2015'!$A:$A)),ROW(20:20)),5)),"",INDEX('Fume Hood Responses Nov 2015'!$A:$H,SMALL(IF('Fume Hood Responses Nov 2015'!$A:$A=$B$11,ROW('Fume Hood Responses Nov 2015'!$A:$A)),ROW(20:20)),5))</f>
        <v/>
      </c>
      <c r="D38" s="82" t="str">
        <f t="array" ref="D38">IF(ISERROR(INDEX('Fume Hood Responses Nov 2015'!$A:$H,SMALL(IF('Fume Hood Responses Nov 2015'!$A:$A=$B$11,ROW('Fume Hood Responses Nov 2015'!$A:$A)),ROW(20:20)),6)),"",INDEX('Fume Hood Responses Nov 2015'!$A:$H,SMALL(IF('Fume Hood Responses Nov 2015'!$A:$A=$B$11,ROW('Fume Hood Responses Nov 2015'!$A:$A)),ROW(20:20)),6))</f>
        <v/>
      </c>
      <c r="E38" s="82"/>
      <c r="F38" s="83" t="str">
        <f t="array" ref="F38">IF(ISERROR(INDEX('Fume Hood Responses Nov 2015'!$A:$I,SMALL(IF('Fume Hood Responses Nov 2015'!$A:$A=$B$11,ROW('Fume Hood Responses Nov 2015'!$A:$A)),ROW(20:20)),9)),"",INDEX('Fume Hood Responses Nov 2015'!$A:$I,SMALL(IF('Fume Hood Responses Nov 2015'!$A:$A=$B$11,ROW('Fume Hood Responses Nov 2015'!$A:$A)),ROW(20:20)),9))</f>
        <v/>
      </c>
      <c r="G38" s="84" t="str">
        <f t="array" ref="G38">IF(ISERROR(INDEX('Fume Hood Responses Nov 2015'!$A:$H,SMALL(IF('Fume Hood Responses Nov 2015'!$A:$A=$B$11,ROW('Fume Hood Responses Nov 2015'!$A:$A)),ROW(20:20)),7)),"",INDEX('Fume Hood Responses Nov 2015'!$A:$H,SMALL(IF('Fume Hood Responses Nov 2015'!$A:$A=$B$11,ROW('Fume Hood Responses Nov 2015'!$A:$A)),ROW(20:20)),7))</f>
        <v/>
      </c>
      <c r="H38" s="81" t="str">
        <f t="array" ref="H38">IF(ISERROR(INDEX('Fume Hood Responses Nov 2015'!$A:$H,SMALL(IF('Fume Hood Responses Nov 2015'!$A:$A=$B$11,ROW('Fume Hood Responses Nov 2015'!$A:$A)),ROW(20:20)),8)),"",INDEX('Fume Hood Responses Nov 2015'!$A:$H,SMALL(IF('Fume Hood Responses Nov 2015'!$A:$A=$B$11,ROW('Fume Hood Responses Nov 2015'!$A:$A)),ROW(20:20)),8))</f>
        <v/>
      </c>
    </row>
    <row r="39" spans="1:8" x14ac:dyDescent="0.25">
      <c r="A39" s="80" t="str">
        <f t="array" ref="A39">IF(ISERROR(INDEX('Fume Hood Responses Nov 2015'!$A:$H,SMALL(IF('Fume Hood Responses Nov 2015'!$A:$A=$B$11,ROW('Fume Hood Responses Nov 2015'!$A:$A)),ROW(21:21)),4)),"",INDEX('Fume Hood Responses Nov 2015'!$A:$H,SMALL(IF('Fume Hood Responses Nov 2015'!$A:$A=$B$11,ROW('Fume Hood Responses Nov 2015'!$A:$A)),ROW(21:21)),4))</f>
        <v/>
      </c>
      <c r="B39" s="80" t="str">
        <f t="array" ref="B39">IF(ISERROR(INDEX('Fume Hood Responses Nov 2015'!$A:$H,SMALL(IF('Fume Hood Responses Nov 2015'!$A:$A=$B$11,ROW('Fume Hood Responses Nov 2015'!$A:$A)),ROW(21:21)),1)),"",INDEX('Fume Hood Responses Nov 2015'!$A:$H,SMALL(IF('Fume Hood Responses Nov 2015'!$A:$A=$B$11,ROW('Fume Hood Responses Nov 2015'!$A:$A)),ROW(21:21)),1))</f>
        <v/>
      </c>
      <c r="C39" s="81" t="str">
        <f t="array" ref="C39">IF(ISERROR(INDEX('Fume Hood Responses Nov 2015'!$A:$H,SMALL(IF('Fume Hood Responses Nov 2015'!$A:$A=$B$11,ROW('Fume Hood Responses Nov 2015'!$A:$A)),ROW(21:21)),5)),"",INDEX('Fume Hood Responses Nov 2015'!$A:$H,SMALL(IF('Fume Hood Responses Nov 2015'!$A:$A=$B$11,ROW('Fume Hood Responses Nov 2015'!$A:$A)),ROW(21:21)),5))</f>
        <v/>
      </c>
      <c r="D39" s="82" t="str">
        <f t="array" ref="D39">IF(ISERROR(INDEX('Fume Hood Responses Nov 2015'!$A:$H,SMALL(IF('Fume Hood Responses Nov 2015'!$A:$A=$B$11,ROW('Fume Hood Responses Nov 2015'!$A:$A)),ROW(21:21)),6)),"",INDEX('Fume Hood Responses Nov 2015'!$A:$H,SMALL(IF('Fume Hood Responses Nov 2015'!$A:$A=$B$11,ROW('Fume Hood Responses Nov 2015'!$A:$A)),ROW(21:21)),6))</f>
        <v/>
      </c>
      <c r="E39" s="82"/>
      <c r="F39" s="83" t="str">
        <f t="array" ref="F39">IF(ISERROR(INDEX('Fume Hood Responses Nov 2015'!$A:$I,SMALL(IF('Fume Hood Responses Nov 2015'!$A:$A=$B$11,ROW('Fume Hood Responses Nov 2015'!$A:$A)),ROW(21:21)),9)),"",INDEX('Fume Hood Responses Nov 2015'!$A:$I,SMALL(IF('Fume Hood Responses Nov 2015'!$A:$A=$B$11,ROW('Fume Hood Responses Nov 2015'!$A:$A)),ROW(21:21)),9))</f>
        <v/>
      </c>
      <c r="G39" s="84" t="str">
        <f t="array" ref="G39">IF(ISERROR(INDEX('Fume Hood Responses Nov 2015'!$A:$H,SMALL(IF('Fume Hood Responses Nov 2015'!$A:$A=$B$11,ROW('Fume Hood Responses Nov 2015'!$A:$A)),ROW(21:21)),7)),"",INDEX('Fume Hood Responses Nov 2015'!$A:$H,SMALL(IF('Fume Hood Responses Nov 2015'!$A:$A=$B$11,ROW('Fume Hood Responses Nov 2015'!$A:$A)),ROW(21:21)),7))</f>
        <v/>
      </c>
      <c r="H39" s="81" t="str">
        <f t="array" ref="H39">IF(ISERROR(INDEX('Fume Hood Responses Nov 2015'!$A:$H,SMALL(IF('Fume Hood Responses Nov 2015'!$A:$A=$B$11,ROW('Fume Hood Responses Nov 2015'!$A:$A)),ROW(21:21)),8)),"",INDEX('Fume Hood Responses Nov 2015'!$A:$H,SMALL(IF('Fume Hood Responses Nov 2015'!$A:$A=$B$11,ROW('Fume Hood Responses Nov 2015'!$A:$A)),ROW(21:21)),8))</f>
        <v/>
      </c>
    </row>
    <row r="40" spans="1:8" x14ac:dyDescent="0.25">
      <c r="A40" s="80" t="str">
        <f t="array" ref="A40">IF(ISERROR(INDEX('Fume Hood Responses Nov 2015'!$A:$H,SMALL(IF('Fume Hood Responses Nov 2015'!$A:$A=$B$11,ROW('Fume Hood Responses Nov 2015'!$A:$A)),ROW(22:22)),4)),"",INDEX('Fume Hood Responses Nov 2015'!$A:$H,SMALL(IF('Fume Hood Responses Nov 2015'!$A:$A=$B$11,ROW('Fume Hood Responses Nov 2015'!$A:$A)),ROW(22:22)),4))</f>
        <v/>
      </c>
      <c r="B40" s="80" t="str">
        <f t="array" ref="B40">IF(ISERROR(INDEX('Fume Hood Responses Nov 2015'!$A:$H,SMALL(IF('Fume Hood Responses Nov 2015'!$A:$A=$B$11,ROW('Fume Hood Responses Nov 2015'!$A:$A)),ROW(22:22)),1)),"",INDEX('Fume Hood Responses Nov 2015'!$A:$H,SMALL(IF('Fume Hood Responses Nov 2015'!$A:$A=$B$11,ROW('Fume Hood Responses Nov 2015'!$A:$A)),ROW(22:22)),1))</f>
        <v/>
      </c>
      <c r="C40" s="81" t="str">
        <f t="array" ref="C40">IF(ISERROR(INDEX('Fume Hood Responses Nov 2015'!$A:$H,SMALL(IF('Fume Hood Responses Nov 2015'!$A:$A=$B$11,ROW('Fume Hood Responses Nov 2015'!$A:$A)),ROW(22:22)),5)),"",INDEX('Fume Hood Responses Nov 2015'!$A:$H,SMALL(IF('Fume Hood Responses Nov 2015'!$A:$A=$B$11,ROW('Fume Hood Responses Nov 2015'!$A:$A)),ROW(22:22)),5))</f>
        <v/>
      </c>
      <c r="D40" s="82" t="str">
        <f t="array" ref="D40">IF(ISERROR(INDEX('Fume Hood Responses Nov 2015'!$A:$H,SMALL(IF('Fume Hood Responses Nov 2015'!$A:$A=$B$11,ROW('Fume Hood Responses Nov 2015'!$A:$A)),ROW(22:22)),6)),"",INDEX('Fume Hood Responses Nov 2015'!$A:$H,SMALL(IF('Fume Hood Responses Nov 2015'!$A:$A=$B$11,ROW('Fume Hood Responses Nov 2015'!$A:$A)),ROW(22:22)),6))</f>
        <v/>
      </c>
      <c r="E40" s="82"/>
      <c r="F40" s="83" t="str">
        <f t="array" ref="F40">IF(ISERROR(INDEX('Fume Hood Responses Nov 2015'!$A:$I,SMALL(IF('Fume Hood Responses Nov 2015'!$A:$A=$B$11,ROW('Fume Hood Responses Nov 2015'!$A:$A)),ROW(22:22)),9)),"",INDEX('Fume Hood Responses Nov 2015'!$A:$I,SMALL(IF('Fume Hood Responses Nov 2015'!$A:$A=$B$11,ROW('Fume Hood Responses Nov 2015'!$A:$A)),ROW(22:22)),9))</f>
        <v/>
      </c>
      <c r="G40" s="84" t="str">
        <f t="array" ref="G40">IF(ISERROR(INDEX('Fume Hood Responses Nov 2015'!$A:$H,SMALL(IF('Fume Hood Responses Nov 2015'!$A:$A=$B$11,ROW('Fume Hood Responses Nov 2015'!$A:$A)),ROW(22:22)),7)),"",INDEX('Fume Hood Responses Nov 2015'!$A:$H,SMALL(IF('Fume Hood Responses Nov 2015'!$A:$A=$B$11,ROW('Fume Hood Responses Nov 2015'!$A:$A)),ROW(22:22)),7))</f>
        <v/>
      </c>
      <c r="H40" s="81" t="str">
        <f t="array" ref="H40">IF(ISERROR(INDEX('Fume Hood Responses Nov 2015'!$A:$H,SMALL(IF('Fume Hood Responses Nov 2015'!$A:$A=$B$11,ROW('Fume Hood Responses Nov 2015'!$A:$A)),ROW(22:22)),8)),"",INDEX('Fume Hood Responses Nov 2015'!$A:$H,SMALL(IF('Fume Hood Responses Nov 2015'!$A:$A=$B$11,ROW('Fume Hood Responses Nov 2015'!$A:$A)),ROW(22:22)),8))</f>
        <v/>
      </c>
    </row>
    <row r="41" spans="1:8" x14ac:dyDescent="0.25">
      <c r="A41" s="80" t="str">
        <f t="array" ref="A41">IF(ISERROR(INDEX('Fume Hood Responses Nov 2015'!$A:$H,SMALL(IF('Fume Hood Responses Nov 2015'!$A:$A=$B$11,ROW('Fume Hood Responses Nov 2015'!$A:$A)),ROW(23:23)),4)),"",INDEX('Fume Hood Responses Nov 2015'!$A:$H,SMALL(IF('Fume Hood Responses Nov 2015'!$A:$A=$B$11,ROW('Fume Hood Responses Nov 2015'!$A:$A)),ROW(23:23)),4))</f>
        <v/>
      </c>
      <c r="B41" s="80" t="str">
        <f t="array" ref="B41">IF(ISERROR(INDEX('Fume Hood Responses Nov 2015'!$A:$H,SMALL(IF('Fume Hood Responses Nov 2015'!$A:$A=$B$11,ROW('Fume Hood Responses Nov 2015'!$A:$A)),ROW(23:23)),1)),"",INDEX('Fume Hood Responses Nov 2015'!$A:$H,SMALL(IF('Fume Hood Responses Nov 2015'!$A:$A=$B$11,ROW('Fume Hood Responses Nov 2015'!$A:$A)),ROW(23:23)),1))</f>
        <v/>
      </c>
      <c r="C41" s="81" t="str">
        <f t="array" ref="C41">IF(ISERROR(INDEX('Fume Hood Responses Nov 2015'!$A:$H,SMALL(IF('Fume Hood Responses Nov 2015'!$A:$A=$B$11,ROW('Fume Hood Responses Nov 2015'!$A:$A)),ROW(23:23)),5)),"",INDEX('Fume Hood Responses Nov 2015'!$A:$H,SMALL(IF('Fume Hood Responses Nov 2015'!$A:$A=$B$11,ROW('Fume Hood Responses Nov 2015'!$A:$A)),ROW(23:23)),5))</f>
        <v/>
      </c>
      <c r="D41" s="82" t="str">
        <f t="array" ref="D41">IF(ISERROR(INDEX('Fume Hood Responses Nov 2015'!$A:$H,SMALL(IF('Fume Hood Responses Nov 2015'!$A:$A=$B$11,ROW('Fume Hood Responses Nov 2015'!$A:$A)),ROW(23:23)),6)),"",INDEX('Fume Hood Responses Nov 2015'!$A:$H,SMALL(IF('Fume Hood Responses Nov 2015'!$A:$A=$B$11,ROW('Fume Hood Responses Nov 2015'!$A:$A)),ROW(23:23)),6))</f>
        <v/>
      </c>
      <c r="E41" s="82"/>
      <c r="F41" s="83" t="str">
        <f t="array" ref="F41">IF(ISERROR(INDEX('Fume Hood Responses Nov 2015'!$A:$I,SMALL(IF('Fume Hood Responses Nov 2015'!$A:$A=$B$11,ROW('Fume Hood Responses Nov 2015'!$A:$A)),ROW(23:23)),9)),"",INDEX('Fume Hood Responses Nov 2015'!$A:$I,SMALL(IF('Fume Hood Responses Nov 2015'!$A:$A=$B$11,ROW('Fume Hood Responses Nov 2015'!$A:$A)),ROW(23:23)),9))</f>
        <v/>
      </c>
      <c r="G41" s="84" t="str">
        <f t="array" ref="G41">IF(ISERROR(INDEX('Fume Hood Responses Nov 2015'!$A:$H,SMALL(IF('Fume Hood Responses Nov 2015'!$A:$A=$B$11,ROW('Fume Hood Responses Nov 2015'!$A:$A)),ROW(23:23)),7)),"",INDEX('Fume Hood Responses Nov 2015'!$A:$H,SMALL(IF('Fume Hood Responses Nov 2015'!$A:$A=$B$11,ROW('Fume Hood Responses Nov 2015'!$A:$A)),ROW(23:23)),7))</f>
        <v/>
      </c>
      <c r="H41" s="81" t="str">
        <f t="array" ref="H41">IF(ISERROR(INDEX('Fume Hood Responses Nov 2015'!$A:$H,SMALL(IF('Fume Hood Responses Nov 2015'!$A:$A=$B$11,ROW('Fume Hood Responses Nov 2015'!$A:$A)),ROW(23:23)),8)),"",INDEX('Fume Hood Responses Nov 2015'!$A:$H,SMALL(IF('Fume Hood Responses Nov 2015'!$A:$A=$B$11,ROW('Fume Hood Responses Nov 2015'!$A:$A)),ROW(23:23)),8))</f>
        <v/>
      </c>
    </row>
    <row r="42" spans="1:8" x14ac:dyDescent="0.25">
      <c r="A42" s="80" t="str">
        <f t="array" ref="A42">IF(ISERROR(INDEX('Fume Hood Responses Nov 2015'!$A:$H,SMALL(IF('Fume Hood Responses Nov 2015'!$A:$A=$B$11,ROW('Fume Hood Responses Nov 2015'!$A:$A)),ROW(24:24)),4)),"",INDEX('Fume Hood Responses Nov 2015'!$A:$H,SMALL(IF('Fume Hood Responses Nov 2015'!$A:$A=$B$11,ROW('Fume Hood Responses Nov 2015'!$A:$A)),ROW(24:24)),4))</f>
        <v/>
      </c>
      <c r="B42" s="80" t="str">
        <f t="array" ref="B42">IF(ISERROR(INDEX('Fume Hood Responses Nov 2015'!$A:$H,SMALL(IF('Fume Hood Responses Nov 2015'!$A:$A=$B$11,ROW('Fume Hood Responses Nov 2015'!$A:$A)),ROW(24:24)),1)),"",INDEX('Fume Hood Responses Nov 2015'!$A:$H,SMALL(IF('Fume Hood Responses Nov 2015'!$A:$A=$B$11,ROW('Fume Hood Responses Nov 2015'!$A:$A)),ROW(24:24)),1))</f>
        <v/>
      </c>
      <c r="C42" s="81" t="str">
        <f t="array" ref="C42">IF(ISERROR(INDEX('Fume Hood Responses Nov 2015'!$A:$H,SMALL(IF('Fume Hood Responses Nov 2015'!$A:$A=$B$11,ROW('Fume Hood Responses Nov 2015'!$A:$A)),ROW(24:24)),5)),"",INDEX('Fume Hood Responses Nov 2015'!$A:$H,SMALL(IF('Fume Hood Responses Nov 2015'!$A:$A=$B$11,ROW('Fume Hood Responses Nov 2015'!$A:$A)),ROW(24:24)),5))</f>
        <v/>
      </c>
      <c r="D42" s="82" t="str">
        <f t="array" ref="D42">IF(ISERROR(INDEX('Fume Hood Responses Nov 2015'!$A:$H,SMALL(IF('Fume Hood Responses Nov 2015'!$A:$A=$B$11,ROW('Fume Hood Responses Nov 2015'!$A:$A)),ROW(24:24)),6)),"",INDEX('Fume Hood Responses Nov 2015'!$A:$H,SMALL(IF('Fume Hood Responses Nov 2015'!$A:$A=$B$11,ROW('Fume Hood Responses Nov 2015'!$A:$A)),ROW(24:24)),6))</f>
        <v/>
      </c>
      <c r="E42" s="82"/>
      <c r="F42" s="83" t="str">
        <f t="array" ref="F42">IF(ISERROR(INDEX('Fume Hood Responses Nov 2015'!$A:$I,SMALL(IF('Fume Hood Responses Nov 2015'!$A:$A=$B$11,ROW('Fume Hood Responses Nov 2015'!$A:$A)),ROW(24:24)),9)),"",INDEX('Fume Hood Responses Nov 2015'!$A:$I,SMALL(IF('Fume Hood Responses Nov 2015'!$A:$A=$B$11,ROW('Fume Hood Responses Nov 2015'!$A:$A)),ROW(24:24)),9))</f>
        <v/>
      </c>
      <c r="G42" s="84" t="str">
        <f t="array" ref="G42">IF(ISERROR(INDEX('Fume Hood Responses Nov 2015'!$A:$H,SMALL(IF('Fume Hood Responses Nov 2015'!$A:$A=$B$11,ROW('Fume Hood Responses Nov 2015'!$A:$A)),ROW(24:24)),7)),"",INDEX('Fume Hood Responses Nov 2015'!$A:$H,SMALL(IF('Fume Hood Responses Nov 2015'!$A:$A=$B$11,ROW('Fume Hood Responses Nov 2015'!$A:$A)),ROW(24:24)),7))</f>
        <v/>
      </c>
      <c r="H42" s="81" t="str">
        <f t="array" ref="H42">IF(ISERROR(INDEX('Fume Hood Responses Nov 2015'!$A:$H,SMALL(IF('Fume Hood Responses Nov 2015'!$A:$A=$B$11,ROW('Fume Hood Responses Nov 2015'!$A:$A)),ROW(24:24)),8)),"",INDEX('Fume Hood Responses Nov 2015'!$A:$H,SMALL(IF('Fume Hood Responses Nov 2015'!$A:$A=$B$11,ROW('Fume Hood Responses Nov 2015'!$A:$A)),ROW(24:24)),8))</f>
        <v/>
      </c>
    </row>
    <row r="43" spans="1:8" x14ac:dyDescent="0.25">
      <c r="A43" s="80" t="str">
        <f t="array" ref="A43">IF(ISERROR(INDEX('Fume Hood Responses Nov 2015'!$A:$H,SMALL(IF('Fume Hood Responses Nov 2015'!$A:$A=$B$11,ROW('Fume Hood Responses Nov 2015'!$A:$A)),ROW(25:25)),4)),"",INDEX('Fume Hood Responses Nov 2015'!$A:$H,SMALL(IF('Fume Hood Responses Nov 2015'!$A:$A=$B$11,ROW('Fume Hood Responses Nov 2015'!$A:$A)),ROW(25:25)),4))</f>
        <v/>
      </c>
      <c r="B43" s="80" t="str">
        <f t="array" ref="B43">IF(ISERROR(INDEX('Fume Hood Responses Nov 2015'!$A:$H,SMALL(IF('Fume Hood Responses Nov 2015'!$A:$A=$B$11,ROW('Fume Hood Responses Nov 2015'!$A:$A)),ROW(25:25)),1)),"",INDEX('Fume Hood Responses Nov 2015'!$A:$H,SMALL(IF('Fume Hood Responses Nov 2015'!$A:$A=$B$11,ROW('Fume Hood Responses Nov 2015'!$A:$A)),ROW(25:25)),1))</f>
        <v/>
      </c>
      <c r="C43" s="81" t="str">
        <f t="array" ref="C43">IF(ISERROR(INDEX('Fume Hood Responses Nov 2015'!$A:$H,SMALL(IF('Fume Hood Responses Nov 2015'!$A:$A=$B$11,ROW('Fume Hood Responses Nov 2015'!$A:$A)),ROW(25:25)),5)),"",INDEX('Fume Hood Responses Nov 2015'!$A:$H,SMALL(IF('Fume Hood Responses Nov 2015'!$A:$A=$B$11,ROW('Fume Hood Responses Nov 2015'!$A:$A)),ROW(25:25)),5))</f>
        <v/>
      </c>
      <c r="D43" s="82" t="str">
        <f t="array" ref="D43">IF(ISERROR(INDEX('Fume Hood Responses Nov 2015'!$A:$H,SMALL(IF('Fume Hood Responses Nov 2015'!$A:$A=$B$11,ROW('Fume Hood Responses Nov 2015'!$A:$A)),ROW(25:25)),6)),"",INDEX('Fume Hood Responses Nov 2015'!$A:$H,SMALL(IF('Fume Hood Responses Nov 2015'!$A:$A=$B$11,ROW('Fume Hood Responses Nov 2015'!$A:$A)),ROW(25:25)),6))</f>
        <v/>
      </c>
      <c r="E43" s="82"/>
      <c r="F43" s="83" t="str">
        <f t="array" ref="F43">IF(ISERROR(INDEX('Fume Hood Responses Nov 2015'!$A:$I,SMALL(IF('Fume Hood Responses Nov 2015'!$A:$A=$B$11,ROW('Fume Hood Responses Nov 2015'!$A:$A)),ROW(25:25)),9)),"",INDEX('Fume Hood Responses Nov 2015'!$A:$I,SMALL(IF('Fume Hood Responses Nov 2015'!$A:$A=$B$11,ROW('Fume Hood Responses Nov 2015'!$A:$A)),ROW(25:25)),9))</f>
        <v/>
      </c>
      <c r="G43" s="84" t="str">
        <f t="array" ref="G43">IF(ISERROR(INDEX('Fume Hood Responses Nov 2015'!$A:$H,SMALL(IF('Fume Hood Responses Nov 2015'!$A:$A=$B$11,ROW('Fume Hood Responses Nov 2015'!$A:$A)),ROW(25:25)),7)),"",INDEX('Fume Hood Responses Nov 2015'!$A:$H,SMALL(IF('Fume Hood Responses Nov 2015'!$A:$A=$B$11,ROW('Fume Hood Responses Nov 2015'!$A:$A)),ROW(25:25)),7))</f>
        <v/>
      </c>
      <c r="H43" s="81" t="str">
        <f t="array" ref="H43">IF(ISERROR(INDEX('Fume Hood Responses Nov 2015'!$A:$H,SMALL(IF('Fume Hood Responses Nov 2015'!$A:$A=$B$11,ROW('Fume Hood Responses Nov 2015'!$A:$A)),ROW(25:25)),8)),"",INDEX('Fume Hood Responses Nov 2015'!$A:$H,SMALL(IF('Fume Hood Responses Nov 2015'!$A:$A=$B$11,ROW('Fume Hood Responses Nov 2015'!$A:$A)),ROW(25:25)),8))</f>
        <v/>
      </c>
    </row>
    <row r="44" spans="1:8" x14ac:dyDescent="0.25">
      <c r="A44" s="80" t="str">
        <f t="array" ref="A44">IF(ISERROR(INDEX('Fume Hood Responses Nov 2015'!$A:$H,SMALL(IF('Fume Hood Responses Nov 2015'!$A:$A=$B$11,ROW('Fume Hood Responses Nov 2015'!$A:$A)),ROW(26:26)),4)),"",INDEX('Fume Hood Responses Nov 2015'!$A:$H,SMALL(IF('Fume Hood Responses Nov 2015'!$A:$A=$B$11,ROW('Fume Hood Responses Nov 2015'!$A:$A)),ROW(26:26)),4))</f>
        <v/>
      </c>
      <c r="B44" s="80" t="str">
        <f t="array" ref="B44">IF(ISERROR(INDEX('Fume Hood Responses Nov 2015'!$A:$H,SMALL(IF('Fume Hood Responses Nov 2015'!$A:$A=$B$11,ROW('Fume Hood Responses Nov 2015'!$A:$A)),ROW(26:26)),1)),"",INDEX('Fume Hood Responses Nov 2015'!$A:$H,SMALL(IF('Fume Hood Responses Nov 2015'!$A:$A=$B$11,ROW('Fume Hood Responses Nov 2015'!$A:$A)),ROW(26:26)),1))</f>
        <v/>
      </c>
      <c r="C44" s="81" t="str">
        <f t="array" ref="C44">IF(ISERROR(INDEX('Fume Hood Responses Nov 2015'!$A:$H,SMALL(IF('Fume Hood Responses Nov 2015'!$A:$A=$B$11,ROW('Fume Hood Responses Nov 2015'!$A:$A)),ROW(26:26)),5)),"",INDEX('Fume Hood Responses Nov 2015'!$A:$H,SMALL(IF('Fume Hood Responses Nov 2015'!$A:$A=$B$11,ROW('Fume Hood Responses Nov 2015'!$A:$A)),ROW(26:26)),5))</f>
        <v/>
      </c>
      <c r="D44" s="82" t="str">
        <f t="array" ref="D44">IF(ISERROR(INDEX('Fume Hood Responses Nov 2015'!$A:$H,SMALL(IF('Fume Hood Responses Nov 2015'!$A:$A=$B$11,ROW('Fume Hood Responses Nov 2015'!$A:$A)),ROW(26:26)),6)),"",INDEX('Fume Hood Responses Nov 2015'!$A:$H,SMALL(IF('Fume Hood Responses Nov 2015'!$A:$A=$B$11,ROW('Fume Hood Responses Nov 2015'!$A:$A)),ROW(26:26)),6))</f>
        <v/>
      </c>
      <c r="E44" s="82"/>
      <c r="F44" s="83" t="str">
        <f t="array" ref="F44">IF(ISERROR(INDEX('Fume Hood Responses Nov 2015'!$A:$I,SMALL(IF('Fume Hood Responses Nov 2015'!$A:$A=$B$11,ROW('Fume Hood Responses Nov 2015'!$A:$A)),ROW(26:26)),9)),"",INDEX('Fume Hood Responses Nov 2015'!$A:$I,SMALL(IF('Fume Hood Responses Nov 2015'!$A:$A=$B$11,ROW('Fume Hood Responses Nov 2015'!$A:$A)),ROW(26:26)),9))</f>
        <v/>
      </c>
      <c r="G44" s="84" t="str">
        <f t="array" ref="G44">IF(ISERROR(INDEX('Fume Hood Responses Nov 2015'!$A:$H,SMALL(IF('Fume Hood Responses Nov 2015'!$A:$A=$B$11,ROW('Fume Hood Responses Nov 2015'!$A:$A)),ROW(26:26)),7)),"",INDEX('Fume Hood Responses Nov 2015'!$A:$H,SMALL(IF('Fume Hood Responses Nov 2015'!$A:$A=$B$11,ROW('Fume Hood Responses Nov 2015'!$A:$A)),ROW(26:26)),7))</f>
        <v/>
      </c>
      <c r="H44" s="81" t="str">
        <f t="array" ref="H44">IF(ISERROR(INDEX('Fume Hood Responses Nov 2015'!$A:$H,SMALL(IF('Fume Hood Responses Nov 2015'!$A:$A=$B$11,ROW('Fume Hood Responses Nov 2015'!$A:$A)),ROW(26:26)),8)),"",INDEX('Fume Hood Responses Nov 2015'!$A:$H,SMALL(IF('Fume Hood Responses Nov 2015'!$A:$A=$B$11,ROW('Fume Hood Responses Nov 2015'!$A:$A)),ROW(26:26)),8))</f>
        <v/>
      </c>
    </row>
    <row r="45" spans="1:8" x14ac:dyDescent="0.25">
      <c r="A45" s="80" t="str">
        <f t="array" ref="A45">IF(ISERROR(INDEX('Fume Hood Responses Nov 2015'!$A:$H,SMALL(IF('Fume Hood Responses Nov 2015'!$A:$A=$B$11,ROW('Fume Hood Responses Nov 2015'!$A:$A)),ROW(27:27)),4)),"",INDEX('Fume Hood Responses Nov 2015'!$A:$H,SMALL(IF('Fume Hood Responses Nov 2015'!$A:$A=$B$11,ROW('Fume Hood Responses Nov 2015'!$A:$A)),ROW(27:27)),4))</f>
        <v/>
      </c>
      <c r="B45" s="80" t="str">
        <f t="array" ref="B45">IF(ISERROR(INDEX('Fume Hood Responses Nov 2015'!$A:$H,SMALL(IF('Fume Hood Responses Nov 2015'!$A:$A=$B$11,ROW('Fume Hood Responses Nov 2015'!$A:$A)),ROW(27:27)),1)),"",INDEX('Fume Hood Responses Nov 2015'!$A:$H,SMALL(IF('Fume Hood Responses Nov 2015'!$A:$A=$B$11,ROW('Fume Hood Responses Nov 2015'!$A:$A)),ROW(27:27)),1))</f>
        <v/>
      </c>
      <c r="C45" s="81" t="str">
        <f t="array" ref="C45">IF(ISERROR(INDEX('Fume Hood Responses Nov 2015'!$A:$H,SMALL(IF('Fume Hood Responses Nov 2015'!$A:$A=$B$11,ROW('Fume Hood Responses Nov 2015'!$A:$A)),ROW(27:27)),5)),"",INDEX('Fume Hood Responses Nov 2015'!$A:$H,SMALL(IF('Fume Hood Responses Nov 2015'!$A:$A=$B$11,ROW('Fume Hood Responses Nov 2015'!$A:$A)),ROW(27:27)),5))</f>
        <v/>
      </c>
      <c r="D45" s="82" t="str">
        <f t="array" ref="D45">IF(ISERROR(INDEX('Fume Hood Responses Nov 2015'!$A:$H,SMALL(IF('Fume Hood Responses Nov 2015'!$A:$A=$B$11,ROW('Fume Hood Responses Nov 2015'!$A:$A)),ROW(27:27)),6)),"",INDEX('Fume Hood Responses Nov 2015'!$A:$H,SMALL(IF('Fume Hood Responses Nov 2015'!$A:$A=$B$11,ROW('Fume Hood Responses Nov 2015'!$A:$A)),ROW(27:27)),6))</f>
        <v/>
      </c>
      <c r="E45" s="82"/>
      <c r="F45" s="83" t="str">
        <f t="array" ref="F45">IF(ISERROR(INDEX('Fume Hood Responses Nov 2015'!$A:$I,SMALL(IF('Fume Hood Responses Nov 2015'!$A:$A=$B$11,ROW('Fume Hood Responses Nov 2015'!$A:$A)),ROW(27:27)),9)),"",INDEX('Fume Hood Responses Nov 2015'!$A:$I,SMALL(IF('Fume Hood Responses Nov 2015'!$A:$A=$B$11,ROW('Fume Hood Responses Nov 2015'!$A:$A)),ROW(27:27)),9))</f>
        <v/>
      </c>
      <c r="G45" s="84" t="str">
        <f t="array" ref="G45">IF(ISERROR(INDEX('Fume Hood Responses Nov 2015'!$A:$H,SMALL(IF('Fume Hood Responses Nov 2015'!$A:$A=$B$11,ROW('Fume Hood Responses Nov 2015'!$A:$A)),ROW(27:27)),7)),"",INDEX('Fume Hood Responses Nov 2015'!$A:$H,SMALL(IF('Fume Hood Responses Nov 2015'!$A:$A=$B$11,ROW('Fume Hood Responses Nov 2015'!$A:$A)),ROW(27:27)),7))</f>
        <v/>
      </c>
      <c r="H45" s="81" t="str">
        <f t="array" ref="H45">IF(ISERROR(INDEX('Fume Hood Responses Nov 2015'!$A:$H,SMALL(IF('Fume Hood Responses Nov 2015'!$A:$A=$B$11,ROW('Fume Hood Responses Nov 2015'!$A:$A)),ROW(27:27)),8)),"",INDEX('Fume Hood Responses Nov 2015'!$A:$H,SMALL(IF('Fume Hood Responses Nov 2015'!$A:$A=$B$11,ROW('Fume Hood Responses Nov 2015'!$A:$A)),ROW(27:27)),8))</f>
        <v/>
      </c>
    </row>
    <row r="46" spans="1:8" x14ac:dyDescent="0.25">
      <c r="A46" s="80" t="str">
        <f t="array" ref="A46">IF(ISERROR(INDEX('Fume Hood Responses Nov 2015'!$A:$H,SMALL(IF('Fume Hood Responses Nov 2015'!$A:$A=$B$11,ROW('Fume Hood Responses Nov 2015'!$A:$A)),ROW(28:28)),4)),"",INDEX('Fume Hood Responses Nov 2015'!$A:$H,SMALL(IF('Fume Hood Responses Nov 2015'!$A:$A=$B$11,ROW('Fume Hood Responses Nov 2015'!$A:$A)),ROW(28:28)),4))</f>
        <v/>
      </c>
      <c r="B46" s="80" t="str">
        <f t="array" ref="B46">IF(ISERROR(INDEX('Fume Hood Responses Nov 2015'!$A:$H,SMALL(IF('Fume Hood Responses Nov 2015'!$A:$A=$B$11,ROW('Fume Hood Responses Nov 2015'!$A:$A)),ROW(28:28)),1)),"",INDEX('Fume Hood Responses Nov 2015'!$A:$H,SMALL(IF('Fume Hood Responses Nov 2015'!$A:$A=$B$11,ROW('Fume Hood Responses Nov 2015'!$A:$A)),ROW(28:28)),1))</f>
        <v/>
      </c>
      <c r="C46" s="81" t="str">
        <f t="array" ref="C46">IF(ISERROR(INDEX('Fume Hood Responses Nov 2015'!$A:$H,SMALL(IF('Fume Hood Responses Nov 2015'!$A:$A=$B$11,ROW('Fume Hood Responses Nov 2015'!$A:$A)),ROW(28:28)),5)),"",INDEX('Fume Hood Responses Nov 2015'!$A:$H,SMALL(IF('Fume Hood Responses Nov 2015'!$A:$A=$B$11,ROW('Fume Hood Responses Nov 2015'!$A:$A)),ROW(28:28)),5))</f>
        <v/>
      </c>
      <c r="D46" s="82" t="str">
        <f t="array" ref="D46">IF(ISERROR(INDEX('Fume Hood Responses Nov 2015'!$A:$H,SMALL(IF('Fume Hood Responses Nov 2015'!$A:$A=$B$11,ROW('Fume Hood Responses Nov 2015'!$A:$A)),ROW(28:28)),6)),"",INDEX('Fume Hood Responses Nov 2015'!$A:$H,SMALL(IF('Fume Hood Responses Nov 2015'!$A:$A=$B$11,ROW('Fume Hood Responses Nov 2015'!$A:$A)),ROW(28:28)),6))</f>
        <v/>
      </c>
      <c r="E46" s="82"/>
      <c r="F46" s="83" t="str">
        <f t="array" ref="F46">IF(ISERROR(INDEX('Fume Hood Responses Nov 2015'!$A:$I,SMALL(IF('Fume Hood Responses Nov 2015'!$A:$A=$B$11,ROW('Fume Hood Responses Nov 2015'!$A:$A)),ROW(28:28)),9)),"",INDEX('Fume Hood Responses Nov 2015'!$A:$I,SMALL(IF('Fume Hood Responses Nov 2015'!$A:$A=$B$11,ROW('Fume Hood Responses Nov 2015'!$A:$A)),ROW(28:28)),9))</f>
        <v/>
      </c>
      <c r="G46" s="84" t="str">
        <f t="array" ref="G46">IF(ISERROR(INDEX('Fume Hood Responses Nov 2015'!$A:$H,SMALL(IF('Fume Hood Responses Nov 2015'!$A:$A=$B$11,ROW('Fume Hood Responses Nov 2015'!$A:$A)),ROW(28:28)),7)),"",INDEX('Fume Hood Responses Nov 2015'!$A:$H,SMALL(IF('Fume Hood Responses Nov 2015'!$A:$A=$B$11,ROW('Fume Hood Responses Nov 2015'!$A:$A)),ROW(28:28)),7))</f>
        <v/>
      </c>
      <c r="H46" s="81" t="str">
        <f t="array" ref="H46">IF(ISERROR(INDEX('Fume Hood Responses Nov 2015'!$A:$H,SMALL(IF('Fume Hood Responses Nov 2015'!$A:$A=$B$11,ROW('Fume Hood Responses Nov 2015'!$A:$A)),ROW(28:28)),8)),"",INDEX('Fume Hood Responses Nov 2015'!$A:$H,SMALL(IF('Fume Hood Responses Nov 2015'!$A:$A=$B$11,ROW('Fume Hood Responses Nov 2015'!$A:$A)),ROW(28:28)),8))</f>
        <v/>
      </c>
    </row>
    <row r="47" spans="1:8" x14ac:dyDescent="0.25">
      <c r="A47" s="80" t="str">
        <f t="array" ref="A47">IF(ISERROR(INDEX('Fume Hood Responses Nov 2015'!$A:$H,SMALL(IF('Fume Hood Responses Nov 2015'!$A:$A=$B$11,ROW('Fume Hood Responses Nov 2015'!$A:$A)),ROW(29:29)),4)),"",INDEX('Fume Hood Responses Nov 2015'!$A:$H,SMALL(IF('Fume Hood Responses Nov 2015'!$A:$A=$B$11,ROW('Fume Hood Responses Nov 2015'!$A:$A)),ROW(29:29)),4))</f>
        <v/>
      </c>
      <c r="B47" s="80" t="str">
        <f t="array" ref="B47">IF(ISERROR(INDEX('Fume Hood Responses Nov 2015'!$A:$H,SMALL(IF('Fume Hood Responses Nov 2015'!$A:$A=$B$11,ROW('Fume Hood Responses Nov 2015'!$A:$A)),ROW(29:29)),1)),"",INDEX('Fume Hood Responses Nov 2015'!$A:$H,SMALL(IF('Fume Hood Responses Nov 2015'!$A:$A=$B$11,ROW('Fume Hood Responses Nov 2015'!$A:$A)),ROW(29:29)),1))</f>
        <v/>
      </c>
      <c r="C47" s="81" t="str">
        <f t="array" ref="C47">IF(ISERROR(INDEX('Fume Hood Responses Nov 2015'!$A:$H,SMALL(IF('Fume Hood Responses Nov 2015'!$A:$A=$B$11,ROW('Fume Hood Responses Nov 2015'!$A:$A)),ROW(29:29)),5)),"",INDEX('Fume Hood Responses Nov 2015'!$A:$H,SMALL(IF('Fume Hood Responses Nov 2015'!$A:$A=$B$11,ROW('Fume Hood Responses Nov 2015'!$A:$A)),ROW(29:29)),5))</f>
        <v/>
      </c>
      <c r="D47" s="82" t="str">
        <f t="array" ref="D47">IF(ISERROR(INDEX('Fume Hood Responses Nov 2015'!$A:$H,SMALL(IF('Fume Hood Responses Nov 2015'!$A:$A=$B$11,ROW('Fume Hood Responses Nov 2015'!$A:$A)),ROW(29:29)),6)),"",INDEX('Fume Hood Responses Nov 2015'!$A:$H,SMALL(IF('Fume Hood Responses Nov 2015'!$A:$A=$B$11,ROW('Fume Hood Responses Nov 2015'!$A:$A)),ROW(29:29)),6))</f>
        <v/>
      </c>
      <c r="E47" s="82"/>
      <c r="F47" s="83" t="str">
        <f t="array" ref="F47">IF(ISERROR(INDEX('Fume Hood Responses Nov 2015'!$A:$I,SMALL(IF('Fume Hood Responses Nov 2015'!$A:$A=$B$11,ROW('Fume Hood Responses Nov 2015'!$A:$A)),ROW(29:29)),9)),"",INDEX('Fume Hood Responses Nov 2015'!$A:$I,SMALL(IF('Fume Hood Responses Nov 2015'!$A:$A=$B$11,ROW('Fume Hood Responses Nov 2015'!$A:$A)),ROW(29:29)),9))</f>
        <v/>
      </c>
      <c r="G47" s="84" t="str">
        <f t="array" ref="G47">IF(ISERROR(INDEX('Fume Hood Responses Nov 2015'!$A:$H,SMALL(IF('Fume Hood Responses Nov 2015'!$A:$A=$B$11,ROW('Fume Hood Responses Nov 2015'!$A:$A)),ROW(29:29)),7)),"",INDEX('Fume Hood Responses Nov 2015'!$A:$H,SMALL(IF('Fume Hood Responses Nov 2015'!$A:$A=$B$11,ROW('Fume Hood Responses Nov 2015'!$A:$A)),ROW(29:29)),7))</f>
        <v/>
      </c>
      <c r="H47" s="81" t="str">
        <f t="array" ref="H47">IF(ISERROR(INDEX('Fume Hood Responses Nov 2015'!$A:$H,SMALL(IF('Fume Hood Responses Nov 2015'!$A:$A=$B$11,ROW('Fume Hood Responses Nov 2015'!$A:$A)),ROW(29:29)),8)),"",INDEX('Fume Hood Responses Nov 2015'!$A:$H,SMALL(IF('Fume Hood Responses Nov 2015'!$A:$A=$B$11,ROW('Fume Hood Responses Nov 2015'!$A:$A)),ROW(29:29)),8))</f>
        <v/>
      </c>
    </row>
    <row r="48" spans="1:8" x14ac:dyDescent="0.25">
      <c r="A48" s="80" t="str">
        <f t="array" ref="A48">IF(ISERROR(INDEX('Fume Hood Responses Nov 2015'!$A:$H,SMALL(IF('Fume Hood Responses Nov 2015'!$A:$A=$B$11,ROW('Fume Hood Responses Nov 2015'!$A:$A)),ROW(30:30)),4)),"",INDEX('Fume Hood Responses Nov 2015'!$A:$H,SMALL(IF('Fume Hood Responses Nov 2015'!$A:$A=$B$11,ROW('Fume Hood Responses Nov 2015'!$A:$A)),ROW(30:30)),4))</f>
        <v/>
      </c>
      <c r="B48" s="80" t="str">
        <f t="array" ref="B48">IF(ISERROR(INDEX('Fume Hood Responses Nov 2015'!$A:$H,SMALL(IF('Fume Hood Responses Nov 2015'!$A:$A=$B$11,ROW('Fume Hood Responses Nov 2015'!$A:$A)),ROW(30:30)),1)),"",INDEX('Fume Hood Responses Nov 2015'!$A:$H,SMALL(IF('Fume Hood Responses Nov 2015'!$A:$A=$B$11,ROW('Fume Hood Responses Nov 2015'!$A:$A)),ROW(30:30)),1))</f>
        <v/>
      </c>
      <c r="C48" s="81" t="str">
        <f t="array" ref="C48">IF(ISERROR(INDEX('Fume Hood Responses Nov 2015'!$A:$H,SMALL(IF('Fume Hood Responses Nov 2015'!$A:$A=$B$11,ROW('Fume Hood Responses Nov 2015'!$A:$A)),ROW(30:30)),5)),"",INDEX('Fume Hood Responses Nov 2015'!$A:$H,SMALL(IF('Fume Hood Responses Nov 2015'!$A:$A=$B$11,ROW('Fume Hood Responses Nov 2015'!$A:$A)),ROW(30:30)),5))</f>
        <v/>
      </c>
      <c r="D48" s="82" t="str">
        <f t="array" ref="D48">IF(ISERROR(INDEX('Fume Hood Responses Nov 2015'!$A:$H,SMALL(IF('Fume Hood Responses Nov 2015'!$A:$A=$B$11,ROW('Fume Hood Responses Nov 2015'!$A:$A)),ROW(30:30)),6)),"",INDEX('Fume Hood Responses Nov 2015'!$A:$H,SMALL(IF('Fume Hood Responses Nov 2015'!$A:$A=$B$11,ROW('Fume Hood Responses Nov 2015'!$A:$A)),ROW(30:30)),6))</f>
        <v/>
      </c>
      <c r="E48" s="82"/>
      <c r="F48" s="83" t="str">
        <f t="array" ref="F48">IF(ISERROR(INDEX('Fume Hood Responses Nov 2015'!$A:$I,SMALL(IF('Fume Hood Responses Nov 2015'!$A:$A=$B$11,ROW('Fume Hood Responses Nov 2015'!$A:$A)),ROW(30:30)),9)),"",INDEX('Fume Hood Responses Nov 2015'!$A:$I,SMALL(IF('Fume Hood Responses Nov 2015'!$A:$A=$B$11,ROW('Fume Hood Responses Nov 2015'!$A:$A)),ROW(30:30)),9))</f>
        <v/>
      </c>
      <c r="G48" s="84" t="str">
        <f t="array" ref="G48">IF(ISERROR(INDEX('Fume Hood Responses Nov 2015'!$A:$H,SMALL(IF('Fume Hood Responses Nov 2015'!$A:$A=$B$11,ROW('Fume Hood Responses Nov 2015'!$A:$A)),ROW(30:30)),7)),"",INDEX('Fume Hood Responses Nov 2015'!$A:$H,SMALL(IF('Fume Hood Responses Nov 2015'!$A:$A=$B$11,ROW('Fume Hood Responses Nov 2015'!$A:$A)),ROW(30:30)),7))</f>
        <v/>
      </c>
      <c r="H48" s="81" t="str">
        <f t="array" ref="H48">IF(ISERROR(INDEX('Fume Hood Responses Nov 2015'!$A:$H,SMALL(IF('Fume Hood Responses Nov 2015'!$A:$A=$B$11,ROW('Fume Hood Responses Nov 2015'!$A:$A)),ROW(30:30)),8)),"",INDEX('Fume Hood Responses Nov 2015'!$A:$H,SMALL(IF('Fume Hood Responses Nov 2015'!$A:$A=$B$11,ROW('Fume Hood Responses Nov 2015'!$A:$A)),ROW(30:30)),8))</f>
        <v/>
      </c>
    </row>
    <row r="49" spans="1:8" x14ac:dyDescent="0.25">
      <c r="A49" s="80" t="str">
        <f t="array" ref="A49">IF(ISERROR(INDEX('Fume Hood Responses Nov 2015'!$A:$H,SMALL(IF('Fume Hood Responses Nov 2015'!$A:$A=$B$11,ROW('Fume Hood Responses Nov 2015'!$A:$A)),ROW(31:31)),4)),"",INDEX('Fume Hood Responses Nov 2015'!$A:$H,SMALL(IF('Fume Hood Responses Nov 2015'!$A:$A=$B$11,ROW('Fume Hood Responses Nov 2015'!$A:$A)),ROW(31:31)),4))</f>
        <v/>
      </c>
      <c r="B49" s="80" t="str">
        <f t="array" ref="B49">IF(ISERROR(INDEX('Fume Hood Responses Nov 2015'!$A:$H,SMALL(IF('Fume Hood Responses Nov 2015'!$A:$A=$B$11,ROW('Fume Hood Responses Nov 2015'!$A:$A)),ROW(31:31)),1)),"",INDEX('Fume Hood Responses Nov 2015'!$A:$H,SMALL(IF('Fume Hood Responses Nov 2015'!$A:$A=$B$11,ROW('Fume Hood Responses Nov 2015'!$A:$A)),ROW(31:31)),1))</f>
        <v/>
      </c>
      <c r="C49" s="81" t="str">
        <f t="array" ref="C49">IF(ISERROR(INDEX('Fume Hood Responses Nov 2015'!$A:$H,SMALL(IF('Fume Hood Responses Nov 2015'!$A:$A=$B$11,ROW('Fume Hood Responses Nov 2015'!$A:$A)),ROW(31:31)),5)),"",INDEX('Fume Hood Responses Nov 2015'!$A:$H,SMALL(IF('Fume Hood Responses Nov 2015'!$A:$A=$B$11,ROW('Fume Hood Responses Nov 2015'!$A:$A)),ROW(31:31)),5))</f>
        <v/>
      </c>
      <c r="D49" s="82" t="str">
        <f t="array" ref="D49">IF(ISERROR(INDEX('Fume Hood Responses Nov 2015'!$A:$H,SMALL(IF('Fume Hood Responses Nov 2015'!$A:$A=$B$11,ROW('Fume Hood Responses Nov 2015'!$A:$A)),ROW(31:31)),6)),"",INDEX('Fume Hood Responses Nov 2015'!$A:$H,SMALL(IF('Fume Hood Responses Nov 2015'!$A:$A=$B$11,ROW('Fume Hood Responses Nov 2015'!$A:$A)),ROW(31:31)),6))</f>
        <v/>
      </c>
      <c r="E49" s="82"/>
      <c r="F49" s="83" t="str">
        <f t="array" ref="F49">IF(ISERROR(INDEX('Fume Hood Responses Nov 2015'!$A:$I,SMALL(IF('Fume Hood Responses Nov 2015'!$A:$A=$B$11,ROW('Fume Hood Responses Nov 2015'!$A:$A)),ROW(31:31)),9)),"",INDEX('Fume Hood Responses Nov 2015'!$A:$I,SMALL(IF('Fume Hood Responses Nov 2015'!$A:$A=$B$11,ROW('Fume Hood Responses Nov 2015'!$A:$A)),ROW(31:31)),9))</f>
        <v/>
      </c>
      <c r="G49" s="84" t="str">
        <f t="array" ref="G49">IF(ISERROR(INDEX('Fume Hood Responses Nov 2015'!$A:$H,SMALL(IF('Fume Hood Responses Nov 2015'!$A:$A=$B$11,ROW('Fume Hood Responses Nov 2015'!$A:$A)),ROW(31:31)),7)),"",INDEX('Fume Hood Responses Nov 2015'!$A:$H,SMALL(IF('Fume Hood Responses Nov 2015'!$A:$A=$B$11,ROW('Fume Hood Responses Nov 2015'!$A:$A)),ROW(31:31)),7))</f>
        <v/>
      </c>
      <c r="H49" s="81" t="str">
        <f t="array" ref="H49">IF(ISERROR(INDEX('Fume Hood Responses Nov 2015'!$A:$H,SMALL(IF('Fume Hood Responses Nov 2015'!$A:$A=$B$11,ROW('Fume Hood Responses Nov 2015'!$A:$A)),ROW(31:31)),8)),"",INDEX('Fume Hood Responses Nov 2015'!$A:$H,SMALL(IF('Fume Hood Responses Nov 2015'!$A:$A=$B$11,ROW('Fume Hood Responses Nov 2015'!$A:$A)),ROW(31:31)),8))</f>
        <v/>
      </c>
    </row>
    <row r="50" spans="1:8" x14ac:dyDescent="0.25">
      <c r="A50" s="80" t="str">
        <f t="array" ref="A50">IF(ISERROR(INDEX('Fume Hood Responses Nov 2015'!$A:$H,SMALL(IF('Fume Hood Responses Nov 2015'!$A:$A=$B$11,ROW('Fume Hood Responses Nov 2015'!$A:$A)),ROW(32:32)),4)),"",INDEX('Fume Hood Responses Nov 2015'!$A:$H,SMALL(IF('Fume Hood Responses Nov 2015'!$A:$A=$B$11,ROW('Fume Hood Responses Nov 2015'!$A:$A)),ROW(32:32)),4))</f>
        <v/>
      </c>
      <c r="B50" s="80" t="str">
        <f t="array" ref="B50">IF(ISERROR(INDEX('Fume Hood Responses Nov 2015'!$A:$H,SMALL(IF('Fume Hood Responses Nov 2015'!$A:$A=$B$11,ROW('Fume Hood Responses Nov 2015'!$A:$A)),ROW(32:32)),1)),"",INDEX('Fume Hood Responses Nov 2015'!$A:$H,SMALL(IF('Fume Hood Responses Nov 2015'!$A:$A=$B$11,ROW('Fume Hood Responses Nov 2015'!$A:$A)),ROW(32:32)),1))</f>
        <v/>
      </c>
      <c r="C50" s="81" t="str">
        <f t="array" ref="C50">IF(ISERROR(INDEX('Fume Hood Responses Nov 2015'!$A:$H,SMALL(IF('Fume Hood Responses Nov 2015'!$A:$A=$B$11,ROW('Fume Hood Responses Nov 2015'!$A:$A)),ROW(32:32)),5)),"",INDEX('Fume Hood Responses Nov 2015'!$A:$H,SMALL(IF('Fume Hood Responses Nov 2015'!$A:$A=$B$11,ROW('Fume Hood Responses Nov 2015'!$A:$A)),ROW(32:32)),5))</f>
        <v/>
      </c>
      <c r="D50" s="82" t="str">
        <f t="array" ref="D50">IF(ISERROR(INDEX('Fume Hood Responses Nov 2015'!$A:$H,SMALL(IF('Fume Hood Responses Nov 2015'!$A:$A=$B$11,ROW('Fume Hood Responses Nov 2015'!$A:$A)),ROW(32:32)),6)),"",INDEX('Fume Hood Responses Nov 2015'!$A:$H,SMALL(IF('Fume Hood Responses Nov 2015'!$A:$A=$B$11,ROW('Fume Hood Responses Nov 2015'!$A:$A)),ROW(32:32)),6))</f>
        <v/>
      </c>
      <c r="E50" s="82"/>
      <c r="F50" s="83" t="str">
        <f t="array" ref="F50">IF(ISERROR(INDEX('Fume Hood Responses Nov 2015'!$A:$I,SMALL(IF('Fume Hood Responses Nov 2015'!$A:$A=$B$11,ROW('Fume Hood Responses Nov 2015'!$A:$A)),ROW(32:32)),9)),"",INDEX('Fume Hood Responses Nov 2015'!$A:$I,SMALL(IF('Fume Hood Responses Nov 2015'!$A:$A=$B$11,ROW('Fume Hood Responses Nov 2015'!$A:$A)),ROW(32:32)),9))</f>
        <v/>
      </c>
      <c r="G50" s="84" t="str">
        <f t="array" ref="G50">IF(ISERROR(INDEX('Fume Hood Responses Nov 2015'!$A:$H,SMALL(IF('Fume Hood Responses Nov 2015'!$A:$A=$B$11,ROW('Fume Hood Responses Nov 2015'!$A:$A)),ROW(32:32)),7)),"",INDEX('Fume Hood Responses Nov 2015'!$A:$H,SMALL(IF('Fume Hood Responses Nov 2015'!$A:$A=$B$11,ROW('Fume Hood Responses Nov 2015'!$A:$A)),ROW(32:32)),7))</f>
        <v/>
      </c>
      <c r="H50" s="81" t="str">
        <f t="array" ref="H50">IF(ISERROR(INDEX('Fume Hood Responses Nov 2015'!$A:$H,SMALL(IF('Fume Hood Responses Nov 2015'!$A:$A=$B$11,ROW('Fume Hood Responses Nov 2015'!$A:$A)),ROW(32:32)),8)),"",INDEX('Fume Hood Responses Nov 2015'!$A:$H,SMALL(IF('Fume Hood Responses Nov 2015'!$A:$A=$B$11,ROW('Fume Hood Responses Nov 2015'!$A:$A)),ROW(32:32)),8))</f>
        <v/>
      </c>
    </row>
    <row r="51" spans="1:8" x14ac:dyDescent="0.25">
      <c r="A51" s="80" t="str">
        <f t="array" ref="A51">IF(ISERROR(INDEX('Fume Hood Responses Nov 2015'!$A:$H,SMALL(IF('Fume Hood Responses Nov 2015'!$A:$A=$B$11,ROW('Fume Hood Responses Nov 2015'!$A:$A)),ROW(33:33)),4)),"",INDEX('Fume Hood Responses Nov 2015'!$A:$H,SMALL(IF('Fume Hood Responses Nov 2015'!$A:$A=$B$11,ROW('Fume Hood Responses Nov 2015'!$A:$A)),ROW(33:33)),4))</f>
        <v/>
      </c>
      <c r="B51" s="80" t="str">
        <f t="array" ref="B51">IF(ISERROR(INDEX('Fume Hood Responses Nov 2015'!$A:$H,SMALL(IF('Fume Hood Responses Nov 2015'!$A:$A=$B$11,ROW('Fume Hood Responses Nov 2015'!$A:$A)),ROW(33:33)),1)),"",INDEX('Fume Hood Responses Nov 2015'!$A:$H,SMALL(IF('Fume Hood Responses Nov 2015'!$A:$A=$B$11,ROW('Fume Hood Responses Nov 2015'!$A:$A)),ROW(33:33)),1))</f>
        <v/>
      </c>
      <c r="C51" s="81" t="str">
        <f t="array" ref="C51">IF(ISERROR(INDEX('Fume Hood Responses Nov 2015'!$A:$H,SMALL(IF('Fume Hood Responses Nov 2015'!$A:$A=$B$11,ROW('Fume Hood Responses Nov 2015'!$A:$A)),ROW(33:33)),5)),"",INDEX('Fume Hood Responses Nov 2015'!$A:$H,SMALL(IF('Fume Hood Responses Nov 2015'!$A:$A=$B$11,ROW('Fume Hood Responses Nov 2015'!$A:$A)),ROW(33:33)),5))</f>
        <v/>
      </c>
      <c r="D51" s="82" t="str">
        <f t="array" ref="D51">IF(ISERROR(INDEX('Fume Hood Responses Nov 2015'!$A:$H,SMALL(IF('Fume Hood Responses Nov 2015'!$A:$A=$B$11,ROW('Fume Hood Responses Nov 2015'!$A:$A)),ROW(33:33)),6)),"",INDEX('Fume Hood Responses Nov 2015'!$A:$H,SMALL(IF('Fume Hood Responses Nov 2015'!$A:$A=$B$11,ROW('Fume Hood Responses Nov 2015'!$A:$A)),ROW(33:33)),6))</f>
        <v/>
      </c>
      <c r="E51" s="82"/>
      <c r="F51" s="83" t="str">
        <f t="array" ref="F51">IF(ISERROR(INDEX('Fume Hood Responses Nov 2015'!$A:$I,SMALL(IF('Fume Hood Responses Nov 2015'!$A:$A=$B$11,ROW('Fume Hood Responses Nov 2015'!$A:$A)),ROW(33:33)),9)),"",INDEX('Fume Hood Responses Nov 2015'!$A:$I,SMALL(IF('Fume Hood Responses Nov 2015'!$A:$A=$B$11,ROW('Fume Hood Responses Nov 2015'!$A:$A)),ROW(33:33)),9))</f>
        <v/>
      </c>
      <c r="G51" s="84" t="str">
        <f t="array" ref="G51">IF(ISERROR(INDEX('Fume Hood Responses Nov 2015'!$A:$H,SMALL(IF('Fume Hood Responses Nov 2015'!$A:$A=$B$11,ROW('Fume Hood Responses Nov 2015'!$A:$A)),ROW(33:33)),7)),"",INDEX('Fume Hood Responses Nov 2015'!$A:$H,SMALL(IF('Fume Hood Responses Nov 2015'!$A:$A=$B$11,ROW('Fume Hood Responses Nov 2015'!$A:$A)),ROW(33:33)),7))</f>
        <v/>
      </c>
      <c r="H51" s="81" t="str">
        <f t="array" ref="H51">IF(ISERROR(INDEX('Fume Hood Responses Nov 2015'!$A:$H,SMALL(IF('Fume Hood Responses Nov 2015'!$A:$A=$B$11,ROW('Fume Hood Responses Nov 2015'!$A:$A)),ROW(33:33)),8)),"",INDEX('Fume Hood Responses Nov 2015'!$A:$H,SMALL(IF('Fume Hood Responses Nov 2015'!$A:$A=$B$11,ROW('Fume Hood Responses Nov 2015'!$A:$A)),ROW(33:33)),8))</f>
        <v/>
      </c>
    </row>
    <row r="52" spans="1:8" x14ac:dyDescent="0.25">
      <c r="A52" s="80" t="str">
        <f t="array" ref="A52">IF(ISERROR(INDEX('Fume Hood Responses Nov 2015'!$A:$H,SMALL(IF('Fume Hood Responses Nov 2015'!$A:$A=$B$11,ROW('Fume Hood Responses Nov 2015'!$A:$A)),ROW(34:34)),4)),"",INDEX('Fume Hood Responses Nov 2015'!$A:$H,SMALL(IF('Fume Hood Responses Nov 2015'!$A:$A=$B$11,ROW('Fume Hood Responses Nov 2015'!$A:$A)),ROW(34:34)),4))</f>
        <v/>
      </c>
      <c r="B52" s="80" t="str">
        <f t="array" ref="B52">IF(ISERROR(INDEX('Fume Hood Responses Nov 2015'!$A:$H,SMALL(IF('Fume Hood Responses Nov 2015'!$A:$A=$B$11,ROW('Fume Hood Responses Nov 2015'!$A:$A)),ROW(34:34)),1)),"",INDEX('Fume Hood Responses Nov 2015'!$A:$H,SMALL(IF('Fume Hood Responses Nov 2015'!$A:$A=$B$11,ROW('Fume Hood Responses Nov 2015'!$A:$A)),ROW(34:34)),1))</f>
        <v/>
      </c>
      <c r="C52" s="81" t="str">
        <f t="array" ref="C52">IF(ISERROR(INDEX('Fume Hood Responses Nov 2015'!$A:$H,SMALL(IF('Fume Hood Responses Nov 2015'!$A:$A=$B$11,ROW('Fume Hood Responses Nov 2015'!$A:$A)),ROW(34:34)),5)),"",INDEX('Fume Hood Responses Nov 2015'!$A:$H,SMALL(IF('Fume Hood Responses Nov 2015'!$A:$A=$B$11,ROW('Fume Hood Responses Nov 2015'!$A:$A)),ROW(34:34)),5))</f>
        <v/>
      </c>
      <c r="D52" s="82" t="str">
        <f t="array" ref="D52">IF(ISERROR(INDEX('Fume Hood Responses Nov 2015'!$A:$H,SMALL(IF('Fume Hood Responses Nov 2015'!$A:$A=$B$11,ROW('Fume Hood Responses Nov 2015'!$A:$A)),ROW(34:34)),6)),"",INDEX('Fume Hood Responses Nov 2015'!$A:$H,SMALL(IF('Fume Hood Responses Nov 2015'!$A:$A=$B$11,ROW('Fume Hood Responses Nov 2015'!$A:$A)),ROW(34:34)),6))</f>
        <v/>
      </c>
      <c r="E52" s="82"/>
      <c r="F52" s="83" t="str">
        <f t="array" ref="F52">IF(ISERROR(INDEX('Fume Hood Responses Nov 2015'!$A:$I,SMALL(IF('Fume Hood Responses Nov 2015'!$A:$A=$B$11,ROW('Fume Hood Responses Nov 2015'!$A:$A)),ROW(34:34)),9)),"",INDEX('Fume Hood Responses Nov 2015'!$A:$I,SMALL(IF('Fume Hood Responses Nov 2015'!$A:$A=$B$11,ROW('Fume Hood Responses Nov 2015'!$A:$A)),ROW(34:34)),9))</f>
        <v/>
      </c>
      <c r="G52" s="84" t="str">
        <f t="array" ref="G52">IF(ISERROR(INDEX('Fume Hood Responses Nov 2015'!$A:$H,SMALL(IF('Fume Hood Responses Nov 2015'!$A:$A=$B$11,ROW('Fume Hood Responses Nov 2015'!$A:$A)),ROW(34:34)),7)),"",INDEX('Fume Hood Responses Nov 2015'!$A:$H,SMALL(IF('Fume Hood Responses Nov 2015'!$A:$A=$B$11,ROW('Fume Hood Responses Nov 2015'!$A:$A)),ROW(34:34)),7))</f>
        <v/>
      </c>
      <c r="H52" s="81" t="str">
        <f t="array" ref="H52">IF(ISERROR(INDEX('Fume Hood Responses Nov 2015'!$A:$H,SMALL(IF('Fume Hood Responses Nov 2015'!$A:$A=$B$11,ROW('Fume Hood Responses Nov 2015'!$A:$A)),ROW(34:34)),8)),"",INDEX('Fume Hood Responses Nov 2015'!$A:$H,SMALL(IF('Fume Hood Responses Nov 2015'!$A:$A=$B$11,ROW('Fume Hood Responses Nov 2015'!$A:$A)),ROW(34:34)),8))</f>
        <v/>
      </c>
    </row>
    <row r="53" spans="1:8" x14ac:dyDescent="0.25">
      <c r="A53" s="80" t="str">
        <f t="array" ref="A53">IF(ISERROR(INDEX('Fume Hood Responses Nov 2015'!$A:$H,SMALL(IF('Fume Hood Responses Nov 2015'!$A:$A=$B$11,ROW('Fume Hood Responses Nov 2015'!$A:$A)),ROW(35:35)),4)),"",INDEX('Fume Hood Responses Nov 2015'!$A:$H,SMALL(IF('Fume Hood Responses Nov 2015'!$A:$A=$B$11,ROW('Fume Hood Responses Nov 2015'!$A:$A)),ROW(35:35)),4))</f>
        <v/>
      </c>
      <c r="B53" s="80" t="str">
        <f t="array" ref="B53">IF(ISERROR(INDEX('Fume Hood Responses Nov 2015'!$A:$H,SMALL(IF('Fume Hood Responses Nov 2015'!$A:$A=$B$11,ROW('Fume Hood Responses Nov 2015'!$A:$A)),ROW(35:35)),1)),"",INDEX('Fume Hood Responses Nov 2015'!$A:$H,SMALL(IF('Fume Hood Responses Nov 2015'!$A:$A=$B$11,ROW('Fume Hood Responses Nov 2015'!$A:$A)),ROW(35:35)),1))</f>
        <v/>
      </c>
      <c r="C53" s="81" t="str">
        <f t="array" ref="C53">IF(ISERROR(INDEX('Fume Hood Responses Nov 2015'!$A:$H,SMALL(IF('Fume Hood Responses Nov 2015'!$A:$A=$B$11,ROW('Fume Hood Responses Nov 2015'!$A:$A)),ROW(35:35)),5)),"",INDEX('Fume Hood Responses Nov 2015'!$A:$H,SMALL(IF('Fume Hood Responses Nov 2015'!$A:$A=$B$11,ROW('Fume Hood Responses Nov 2015'!$A:$A)),ROW(35:35)),5))</f>
        <v/>
      </c>
      <c r="D53" s="82" t="str">
        <f t="array" ref="D53">IF(ISERROR(INDEX('Fume Hood Responses Nov 2015'!$A:$H,SMALL(IF('Fume Hood Responses Nov 2015'!$A:$A=$B$11,ROW('Fume Hood Responses Nov 2015'!$A:$A)),ROW(35:35)),6)),"",INDEX('Fume Hood Responses Nov 2015'!$A:$H,SMALL(IF('Fume Hood Responses Nov 2015'!$A:$A=$B$11,ROW('Fume Hood Responses Nov 2015'!$A:$A)),ROW(35:35)),6))</f>
        <v/>
      </c>
      <c r="E53" s="82"/>
      <c r="F53" s="83" t="str">
        <f t="array" ref="F53">IF(ISERROR(INDEX('Fume Hood Responses Nov 2015'!$A:$I,SMALL(IF('Fume Hood Responses Nov 2015'!$A:$A=$B$11,ROW('Fume Hood Responses Nov 2015'!$A:$A)),ROW(35:35)),9)),"",INDEX('Fume Hood Responses Nov 2015'!$A:$I,SMALL(IF('Fume Hood Responses Nov 2015'!$A:$A=$B$11,ROW('Fume Hood Responses Nov 2015'!$A:$A)),ROW(35:35)),9))</f>
        <v/>
      </c>
      <c r="G53" s="84" t="str">
        <f t="array" ref="G53">IF(ISERROR(INDEX('Fume Hood Responses Nov 2015'!$A:$H,SMALL(IF('Fume Hood Responses Nov 2015'!$A:$A=$B$11,ROW('Fume Hood Responses Nov 2015'!$A:$A)),ROW(35:35)),7)),"",INDEX('Fume Hood Responses Nov 2015'!$A:$H,SMALL(IF('Fume Hood Responses Nov 2015'!$A:$A=$B$11,ROW('Fume Hood Responses Nov 2015'!$A:$A)),ROW(35:35)),7))</f>
        <v/>
      </c>
      <c r="H53" s="81" t="str">
        <f t="array" ref="H53">IF(ISERROR(INDEX('Fume Hood Responses Nov 2015'!$A:$H,SMALL(IF('Fume Hood Responses Nov 2015'!$A:$A=$B$11,ROW('Fume Hood Responses Nov 2015'!$A:$A)),ROW(35:35)),8)),"",INDEX('Fume Hood Responses Nov 2015'!$A:$H,SMALL(IF('Fume Hood Responses Nov 2015'!$A:$A=$B$11,ROW('Fume Hood Responses Nov 2015'!$A:$A)),ROW(35:35)),8))</f>
        <v/>
      </c>
    </row>
    <row r="54" spans="1:8" x14ac:dyDescent="0.25">
      <c r="A54" s="80" t="str">
        <f t="array" ref="A54">IF(ISERROR(INDEX('Fume Hood Responses Nov 2015'!$A:$H,SMALL(IF('Fume Hood Responses Nov 2015'!$A:$A=$B$11,ROW('Fume Hood Responses Nov 2015'!$A:$A)),ROW(36:36)),4)),"",INDEX('Fume Hood Responses Nov 2015'!$A:$H,SMALL(IF('Fume Hood Responses Nov 2015'!$A:$A=$B$11,ROW('Fume Hood Responses Nov 2015'!$A:$A)),ROW(36:36)),4))</f>
        <v/>
      </c>
      <c r="B54" s="80" t="str">
        <f t="array" ref="B54">IF(ISERROR(INDEX('Fume Hood Responses Nov 2015'!$A:$H,SMALL(IF('Fume Hood Responses Nov 2015'!$A:$A=$B$11,ROW('Fume Hood Responses Nov 2015'!$A:$A)),ROW(36:36)),1)),"",INDEX('Fume Hood Responses Nov 2015'!$A:$H,SMALL(IF('Fume Hood Responses Nov 2015'!$A:$A=$B$11,ROW('Fume Hood Responses Nov 2015'!$A:$A)),ROW(36:36)),1))</f>
        <v/>
      </c>
      <c r="C54" s="81" t="str">
        <f t="array" ref="C54">IF(ISERROR(INDEX('Fume Hood Responses Nov 2015'!$A:$H,SMALL(IF('Fume Hood Responses Nov 2015'!$A:$A=$B$11,ROW('Fume Hood Responses Nov 2015'!$A:$A)),ROW(36:36)),5)),"",INDEX('Fume Hood Responses Nov 2015'!$A:$H,SMALL(IF('Fume Hood Responses Nov 2015'!$A:$A=$B$11,ROW('Fume Hood Responses Nov 2015'!$A:$A)),ROW(36:36)),5))</f>
        <v/>
      </c>
      <c r="D54" s="82" t="str">
        <f t="array" ref="D54">IF(ISERROR(INDEX('Fume Hood Responses Nov 2015'!$A:$H,SMALL(IF('Fume Hood Responses Nov 2015'!$A:$A=$B$11,ROW('Fume Hood Responses Nov 2015'!$A:$A)),ROW(36:36)),6)),"",INDEX('Fume Hood Responses Nov 2015'!$A:$H,SMALL(IF('Fume Hood Responses Nov 2015'!$A:$A=$B$11,ROW('Fume Hood Responses Nov 2015'!$A:$A)),ROW(36:36)),6))</f>
        <v/>
      </c>
      <c r="E54" s="82"/>
      <c r="F54" s="83" t="str">
        <f t="array" ref="F54">IF(ISERROR(INDEX('Fume Hood Responses Nov 2015'!$A:$I,SMALL(IF('Fume Hood Responses Nov 2015'!$A:$A=$B$11,ROW('Fume Hood Responses Nov 2015'!$A:$A)),ROW(36:36)),9)),"",INDEX('Fume Hood Responses Nov 2015'!$A:$I,SMALL(IF('Fume Hood Responses Nov 2015'!$A:$A=$B$11,ROW('Fume Hood Responses Nov 2015'!$A:$A)),ROW(36:36)),9))</f>
        <v/>
      </c>
      <c r="G54" s="84" t="str">
        <f t="array" ref="G54">IF(ISERROR(INDEX('Fume Hood Responses Nov 2015'!$A:$H,SMALL(IF('Fume Hood Responses Nov 2015'!$A:$A=$B$11,ROW('Fume Hood Responses Nov 2015'!$A:$A)),ROW(36:36)),7)),"",INDEX('Fume Hood Responses Nov 2015'!$A:$H,SMALL(IF('Fume Hood Responses Nov 2015'!$A:$A=$B$11,ROW('Fume Hood Responses Nov 2015'!$A:$A)),ROW(36:36)),7))</f>
        <v/>
      </c>
      <c r="H54" s="81" t="str">
        <f t="array" ref="H54">IF(ISERROR(INDEX('Fume Hood Responses Nov 2015'!$A:$H,SMALL(IF('Fume Hood Responses Nov 2015'!$A:$A=$B$11,ROW('Fume Hood Responses Nov 2015'!$A:$A)),ROW(36:36)),8)),"",INDEX('Fume Hood Responses Nov 2015'!$A:$H,SMALL(IF('Fume Hood Responses Nov 2015'!$A:$A=$B$11,ROW('Fume Hood Responses Nov 2015'!$A:$A)),ROW(36:36)),8))</f>
        <v/>
      </c>
    </row>
    <row r="55" spans="1:8" x14ac:dyDescent="0.25">
      <c r="A55" s="80" t="str">
        <f t="array" ref="A55">IF(ISERROR(INDEX('Fume Hood Responses Nov 2015'!$A:$H,SMALL(IF('Fume Hood Responses Nov 2015'!$A:$A=$B$11,ROW('Fume Hood Responses Nov 2015'!$A:$A)),ROW(37:37)),4)),"",INDEX('Fume Hood Responses Nov 2015'!$A:$H,SMALL(IF('Fume Hood Responses Nov 2015'!$A:$A=$B$11,ROW('Fume Hood Responses Nov 2015'!$A:$A)),ROW(37:37)),4))</f>
        <v/>
      </c>
      <c r="B55" s="80" t="str">
        <f t="array" ref="B55">IF(ISERROR(INDEX('Fume Hood Responses Nov 2015'!$A:$H,SMALL(IF('Fume Hood Responses Nov 2015'!$A:$A=$B$11,ROW('Fume Hood Responses Nov 2015'!$A:$A)),ROW(37:37)),1)),"",INDEX('Fume Hood Responses Nov 2015'!$A:$H,SMALL(IF('Fume Hood Responses Nov 2015'!$A:$A=$B$11,ROW('Fume Hood Responses Nov 2015'!$A:$A)),ROW(37:37)),1))</f>
        <v/>
      </c>
      <c r="C55" s="81" t="str">
        <f t="array" ref="C55">IF(ISERROR(INDEX('Fume Hood Responses Nov 2015'!$A:$H,SMALL(IF('Fume Hood Responses Nov 2015'!$A:$A=$B$11,ROW('Fume Hood Responses Nov 2015'!$A:$A)),ROW(37:37)),5)),"",INDEX('Fume Hood Responses Nov 2015'!$A:$H,SMALL(IF('Fume Hood Responses Nov 2015'!$A:$A=$B$11,ROW('Fume Hood Responses Nov 2015'!$A:$A)),ROW(37:37)),5))</f>
        <v/>
      </c>
      <c r="D55" s="82" t="str">
        <f t="array" ref="D55">IF(ISERROR(INDEX('Fume Hood Responses Nov 2015'!$A:$H,SMALL(IF('Fume Hood Responses Nov 2015'!$A:$A=$B$11,ROW('Fume Hood Responses Nov 2015'!$A:$A)),ROW(37:37)),6)),"",INDEX('Fume Hood Responses Nov 2015'!$A:$H,SMALL(IF('Fume Hood Responses Nov 2015'!$A:$A=$B$11,ROW('Fume Hood Responses Nov 2015'!$A:$A)),ROW(37:37)),6))</f>
        <v/>
      </c>
      <c r="E55" s="82"/>
      <c r="F55" s="83" t="str">
        <f t="array" ref="F55">IF(ISERROR(INDEX('Fume Hood Responses Nov 2015'!$A:$I,SMALL(IF('Fume Hood Responses Nov 2015'!$A:$A=$B$11,ROW('Fume Hood Responses Nov 2015'!$A:$A)),ROW(37:37)),9)),"",INDEX('Fume Hood Responses Nov 2015'!$A:$I,SMALL(IF('Fume Hood Responses Nov 2015'!$A:$A=$B$11,ROW('Fume Hood Responses Nov 2015'!$A:$A)),ROW(37:37)),9))</f>
        <v/>
      </c>
      <c r="G55" s="84" t="str">
        <f t="array" ref="G55">IF(ISERROR(INDEX('Fume Hood Responses Nov 2015'!$A:$H,SMALL(IF('Fume Hood Responses Nov 2015'!$A:$A=$B$11,ROW('Fume Hood Responses Nov 2015'!$A:$A)),ROW(37:37)),7)),"",INDEX('Fume Hood Responses Nov 2015'!$A:$H,SMALL(IF('Fume Hood Responses Nov 2015'!$A:$A=$B$11,ROW('Fume Hood Responses Nov 2015'!$A:$A)),ROW(37:37)),7))</f>
        <v/>
      </c>
      <c r="H55" s="81" t="str">
        <f t="array" ref="H55">IF(ISERROR(INDEX('Fume Hood Responses Nov 2015'!$A:$H,SMALL(IF('Fume Hood Responses Nov 2015'!$A:$A=$B$11,ROW('Fume Hood Responses Nov 2015'!$A:$A)),ROW(37:37)),8)),"",INDEX('Fume Hood Responses Nov 2015'!$A:$H,SMALL(IF('Fume Hood Responses Nov 2015'!$A:$A=$B$11,ROW('Fume Hood Responses Nov 2015'!$A:$A)),ROW(37:37)),8))</f>
        <v/>
      </c>
    </row>
    <row r="56" spans="1:8" x14ac:dyDescent="0.25">
      <c r="A56" s="80" t="str">
        <f t="array" ref="A56">IF(ISERROR(INDEX('Fume Hood Responses Nov 2015'!$A:$H,SMALL(IF('Fume Hood Responses Nov 2015'!$A:$A=$B$11,ROW('Fume Hood Responses Nov 2015'!$A:$A)),ROW(38:38)),4)),"",INDEX('Fume Hood Responses Nov 2015'!$A:$H,SMALL(IF('Fume Hood Responses Nov 2015'!$A:$A=$B$11,ROW('Fume Hood Responses Nov 2015'!$A:$A)),ROW(38:38)),4))</f>
        <v/>
      </c>
      <c r="B56" s="80" t="str">
        <f t="array" ref="B56">IF(ISERROR(INDEX('Fume Hood Responses Nov 2015'!$A:$H,SMALL(IF('Fume Hood Responses Nov 2015'!$A:$A=$B$11,ROW('Fume Hood Responses Nov 2015'!$A:$A)),ROW(38:38)),1)),"",INDEX('Fume Hood Responses Nov 2015'!$A:$H,SMALL(IF('Fume Hood Responses Nov 2015'!$A:$A=$B$11,ROW('Fume Hood Responses Nov 2015'!$A:$A)),ROW(38:38)),1))</f>
        <v/>
      </c>
      <c r="C56" s="81" t="str">
        <f t="array" ref="C56">IF(ISERROR(INDEX('Fume Hood Responses Nov 2015'!$A:$H,SMALL(IF('Fume Hood Responses Nov 2015'!$A:$A=$B$11,ROW('Fume Hood Responses Nov 2015'!$A:$A)),ROW(38:38)),5)),"",INDEX('Fume Hood Responses Nov 2015'!$A:$H,SMALL(IF('Fume Hood Responses Nov 2015'!$A:$A=$B$11,ROW('Fume Hood Responses Nov 2015'!$A:$A)),ROW(38:38)),5))</f>
        <v/>
      </c>
      <c r="D56" s="82" t="str">
        <f t="array" ref="D56">IF(ISERROR(INDEX('Fume Hood Responses Nov 2015'!$A:$H,SMALL(IF('Fume Hood Responses Nov 2015'!$A:$A=$B$11,ROW('Fume Hood Responses Nov 2015'!$A:$A)),ROW(38:38)),6)),"",INDEX('Fume Hood Responses Nov 2015'!$A:$H,SMALL(IF('Fume Hood Responses Nov 2015'!$A:$A=$B$11,ROW('Fume Hood Responses Nov 2015'!$A:$A)),ROW(38:38)),6))</f>
        <v/>
      </c>
      <c r="E56" s="82"/>
      <c r="F56" s="83" t="str">
        <f t="array" ref="F56">IF(ISERROR(INDEX('Fume Hood Responses Nov 2015'!$A:$I,SMALL(IF('Fume Hood Responses Nov 2015'!$A:$A=$B$11,ROW('Fume Hood Responses Nov 2015'!$A:$A)),ROW(38:38)),9)),"",INDEX('Fume Hood Responses Nov 2015'!$A:$I,SMALL(IF('Fume Hood Responses Nov 2015'!$A:$A=$B$11,ROW('Fume Hood Responses Nov 2015'!$A:$A)),ROW(38:38)),9))</f>
        <v/>
      </c>
      <c r="G56" s="84" t="str">
        <f t="array" ref="G56">IF(ISERROR(INDEX('Fume Hood Responses Nov 2015'!$A:$H,SMALL(IF('Fume Hood Responses Nov 2015'!$A:$A=$B$11,ROW('Fume Hood Responses Nov 2015'!$A:$A)),ROW(38:38)),7)),"",INDEX('Fume Hood Responses Nov 2015'!$A:$H,SMALL(IF('Fume Hood Responses Nov 2015'!$A:$A=$B$11,ROW('Fume Hood Responses Nov 2015'!$A:$A)),ROW(38:38)),7))</f>
        <v/>
      </c>
      <c r="H56" s="81" t="str">
        <f t="array" ref="H56">IF(ISERROR(INDEX('Fume Hood Responses Nov 2015'!$A:$H,SMALL(IF('Fume Hood Responses Nov 2015'!$A:$A=$B$11,ROW('Fume Hood Responses Nov 2015'!$A:$A)),ROW(38:38)),8)),"",INDEX('Fume Hood Responses Nov 2015'!$A:$H,SMALL(IF('Fume Hood Responses Nov 2015'!$A:$A=$B$11,ROW('Fume Hood Responses Nov 2015'!$A:$A)),ROW(38:38)),8))</f>
        <v/>
      </c>
    </row>
    <row r="57" spans="1:8" x14ac:dyDescent="0.25">
      <c r="A57" s="80" t="str">
        <f t="array" ref="A57">IF(ISERROR(INDEX('Fume Hood Responses Nov 2015'!$A:$H,SMALL(IF('Fume Hood Responses Nov 2015'!$A:$A=$B$11,ROW('Fume Hood Responses Nov 2015'!$A:$A)),ROW(39:39)),4)),"",INDEX('Fume Hood Responses Nov 2015'!$A:$H,SMALL(IF('Fume Hood Responses Nov 2015'!$A:$A=$B$11,ROW('Fume Hood Responses Nov 2015'!$A:$A)),ROW(39:39)),4))</f>
        <v/>
      </c>
      <c r="B57" s="80" t="str">
        <f t="array" ref="B57">IF(ISERROR(INDEX('Fume Hood Responses Nov 2015'!$A:$H,SMALL(IF('Fume Hood Responses Nov 2015'!$A:$A=$B$11,ROW('Fume Hood Responses Nov 2015'!$A:$A)),ROW(39:39)),1)),"",INDEX('Fume Hood Responses Nov 2015'!$A:$H,SMALL(IF('Fume Hood Responses Nov 2015'!$A:$A=$B$11,ROW('Fume Hood Responses Nov 2015'!$A:$A)),ROW(39:39)),1))</f>
        <v/>
      </c>
      <c r="C57" s="81" t="str">
        <f t="array" ref="C57">IF(ISERROR(INDEX('Fume Hood Responses Nov 2015'!$A:$H,SMALL(IF('Fume Hood Responses Nov 2015'!$A:$A=$B$11,ROW('Fume Hood Responses Nov 2015'!$A:$A)),ROW(39:39)),5)),"",INDEX('Fume Hood Responses Nov 2015'!$A:$H,SMALL(IF('Fume Hood Responses Nov 2015'!$A:$A=$B$11,ROW('Fume Hood Responses Nov 2015'!$A:$A)),ROW(39:39)),5))</f>
        <v/>
      </c>
      <c r="D57" s="82" t="str">
        <f t="array" ref="D57">IF(ISERROR(INDEX('Fume Hood Responses Nov 2015'!$A:$H,SMALL(IF('Fume Hood Responses Nov 2015'!$A:$A=$B$11,ROW('Fume Hood Responses Nov 2015'!$A:$A)),ROW(39:39)),6)),"",INDEX('Fume Hood Responses Nov 2015'!$A:$H,SMALL(IF('Fume Hood Responses Nov 2015'!$A:$A=$B$11,ROW('Fume Hood Responses Nov 2015'!$A:$A)),ROW(39:39)),6))</f>
        <v/>
      </c>
      <c r="E57" s="82"/>
      <c r="F57" s="83" t="str">
        <f t="array" ref="F57">IF(ISERROR(INDEX('Fume Hood Responses Nov 2015'!$A:$I,SMALL(IF('Fume Hood Responses Nov 2015'!$A:$A=$B$11,ROW('Fume Hood Responses Nov 2015'!$A:$A)),ROW(39:39)),9)),"",INDEX('Fume Hood Responses Nov 2015'!$A:$I,SMALL(IF('Fume Hood Responses Nov 2015'!$A:$A=$B$11,ROW('Fume Hood Responses Nov 2015'!$A:$A)),ROW(39:39)),9))</f>
        <v/>
      </c>
      <c r="G57" s="84" t="str">
        <f t="array" ref="G57">IF(ISERROR(INDEX('Fume Hood Responses Nov 2015'!$A:$H,SMALL(IF('Fume Hood Responses Nov 2015'!$A:$A=$B$11,ROW('Fume Hood Responses Nov 2015'!$A:$A)),ROW(39:39)),7)),"",INDEX('Fume Hood Responses Nov 2015'!$A:$H,SMALL(IF('Fume Hood Responses Nov 2015'!$A:$A=$B$11,ROW('Fume Hood Responses Nov 2015'!$A:$A)),ROW(39:39)),7))</f>
        <v/>
      </c>
      <c r="H57" s="81" t="str">
        <f t="array" ref="H57">IF(ISERROR(INDEX('Fume Hood Responses Nov 2015'!$A:$H,SMALL(IF('Fume Hood Responses Nov 2015'!$A:$A=$B$11,ROW('Fume Hood Responses Nov 2015'!$A:$A)),ROW(39:39)),8)),"",INDEX('Fume Hood Responses Nov 2015'!$A:$H,SMALL(IF('Fume Hood Responses Nov 2015'!$A:$A=$B$11,ROW('Fume Hood Responses Nov 2015'!$A:$A)),ROW(39:39)),8))</f>
        <v/>
      </c>
    </row>
    <row r="58" spans="1:8" x14ac:dyDescent="0.25">
      <c r="A58" s="80" t="str">
        <f t="array" ref="A58">IF(ISERROR(INDEX('Fume Hood Responses Nov 2015'!$A:$H,SMALL(IF('Fume Hood Responses Nov 2015'!$A:$A=$B$11,ROW('Fume Hood Responses Nov 2015'!$A:$A)),ROW(40:40)),4)),"",INDEX('Fume Hood Responses Nov 2015'!$A:$H,SMALL(IF('Fume Hood Responses Nov 2015'!$A:$A=$B$11,ROW('Fume Hood Responses Nov 2015'!$A:$A)),ROW(40:40)),4))</f>
        <v/>
      </c>
      <c r="B58" s="80" t="str">
        <f t="array" ref="B58">IF(ISERROR(INDEX('Fume Hood Responses Nov 2015'!$A:$H,SMALL(IF('Fume Hood Responses Nov 2015'!$A:$A=$B$11,ROW('Fume Hood Responses Nov 2015'!$A:$A)),ROW(40:40)),1)),"",INDEX('Fume Hood Responses Nov 2015'!$A:$H,SMALL(IF('Fume Hood Responses Nov 2015'!$A:$A=$B$11,ROW('Fume Hood Responses Nov 2015'!$A:$A)),ROW(40:40)),1))</f>
        <v/>
      </c>
      <c r="C58" s="81" t="str">
        <f t="array" ref="C58">IF(ISERROR(INDEX('Fume Hood Responses Nov 2015'!$A:$H,SMALL(IF('Fume Hood Responses Nov 2015'!$A:$A=$B$11,ROW('Fume Hood Responses Nov 2015'!$A:$A)),ROW(40:40)),5)),"",INDEX('Fume Hood Responses Nov 2015'!$A:$H,SMALL(IF('Fume Hood Responses Nov 2015'!$A:$A=$B$11,ROW('Fume Hood Responses Nov 2015'!$A:$A)),ROW(40:40)),5))</f>
        <v/>
      </c>
      <c r="D58" s="82" t="str">
        <f t="array" ref="D58">IF(ISERROR(INDEX('Fume Hood Responses Nov 2015'!$A:$H,SMALL(IF('Fume Hood Responses Nov 2015'!$A:$A=$B$11,ROW('Fume Hood Responses Nov 2015'!$A:$A)),ROW(40:40)),6)),"",INDEX('Fume Hood Responses Nov 2015'!$A:$H,SMALL(IF('Fume Hood Responses Nov 2015'!$A:$A=$B$11,ROW('Fume Hood Responses Nov 2015'!$A:$A)),ROW(40:40)),6))</f>
        <v/>
      </c>
      <c r="E58" s="82"/>
      <c r="F58" s="83" t="str">
        <f t="array" ref="F58">IF(ISERROR(INDEX('Fume Hood Responses Nov 2015'!$A:$I,SMALL(IF('Fume Hood Responses Nov 2015'!$A:$A=$B$11,ROW('Fume Hood Responses Nov 2015'!$A:$A)),ROW(40:40)),9)),"",INDEX('Fume Hood Responses Nov 2015'!$A:$I,SMALL(IF('Fume Hood Responses Nov 2015'!$A:$A=$B$11,ROW('Fume Hood Responses Nov 2015'!$A:$A)),ROW(40:40)),9))</f>
        <v/>
      </c>
      <c r="G58" s="84" t="str">
        <f t="array" ref="G58">IF(ISERROR(INDEX('Fume Hood Responses Nov 2015'!$A:$H,SMALL(IF('Fume Hood Responses Nov 2015'!$A:$A=$B$11,ROW('Fume Hood Responses Nov 2015'!$A:$A)),ROW(40:40)),7)),"",INDEX('Fume Hood Responses Nov 2015'!$A:$H,SMALL(IF('Fume Hood Responses Nov 2015'!$A:$A=$B$11,ROW('Fume Hood Responses Nov 2015'!$A:$A)),ROW(40:40)),7))</f>
        <v/>
      </c>
      <c r="H58" s="81" t="str">
        <f t="array" ref="H58">IF(ISERROR(INDEX('Fume Hood Responses Nov 2015'!$A:$H,SMALL(IF('Fume Hood Responses Nov 2015'!$A:$A=$B$11,ROW('Fume Hood Responses Nov 2015'!$A:$A)),ROW(40:40)),8)),"",INDEX('Fume Hood Responses Nov 2015'!$A:$H,SMALL(IF('Fume Hood Responses Nov 2015'!$A:$A=$B$11,ROW('Fume Hood Responses Nov 2015'!$A:$A)),ROW(40:40)),8))</f>
        <v/>
      </c>
    </row>
    <row r="59" spans="1:8" x14ac:dyDescent="0.25">
      <c r="A59" s="80" t="str">
        <f t="array" ref="A59">IF(ISERROR(INDEX('Fume Hood Responses Nov 2015'!$A:$H,SMALL(IF('Fume Hood Responses Nov 2015'!$A:$A=$B$11,ROW('Fume Hood Responses Nov 2015'!$A:$A)),ROW(41:41)),4)),"",INDEX('Fume Hood Responses Nov 2015'!$A:$H,SMALL(IF('Fume Hood Responses Nov 2015'!$A:$A=$B$11,ROW('Fume Hood Responses Nov 2015'!$A:$A)),ROW(41:41)),4))</f>
        <v/>
      </c>
      <c r="B59" s="80" t="str">
        <f t="array" ref="B59">IF(ISERROR(INDEX('Fume Hood Responses Nov 2015'!$A:$H,SMALL(IF('Fume Hood Responses Nov 2015'!$A:$A=$B$11,ROW('Fume Hood Responses Nov 2015'!$A:$A)),ROW(41:41)),1)),"",INDEX('Fume Hood Responses Nov 2015'!$A:$H,SMALL(IF('Fume Hood Responses Nov 2015'!$A:$A=$B$11,ROW('Fume Hood Responses Nov 2015'!$A:$A)),ROW(41:41)),1))</f>
        <v/>
      </c>
      <c r="C59" s="81" t="str">
        <f t="array" ref="C59">IF(ISERROR(INDEX('Fume Hood Responses Nov 2015'!$A:$H,SMALL(IF('Fume Hood Responses Nov 2015'!$A:$A=$B$11,ROW('Fume Hood Responses Nov 2015'!$A:$A)),ROW(41:41)),5)),"",INDEX('Fume Hood Responses Nov 2015'!$A:$H,SMALL(IF('Fume Hood Responses Nov 2015'!$A:$A=$B$11,ROW('Fume Hood Responses Nov 2015'!$A:$A)),ROW(41:41)),5))</f>
        <v/>
      </c>
      <c r="D59" s="82" t="str">
        <f t="array" ref="D59">IF(ISERROR(INDEX('Fume Hood Responses Nov 2015'!$A:$H,SMALL(IF('Fume Hood Responses Nov 2015'!$A:$A=$B$11,ROW('Fume Hood Responses Nov 2015'!$A:$A)),ROW(41:41)),6)),"",INDEX('Fume Hood Responses Nov 2015'!$A:$H,SMALL(IF('Fume Hood Responses Nov 2015'!$A:$A=$B$11,ROW('Fume Hood Responses Nov 2015'!$A:$A)),ROW(41:41)),6))</f>
        <v/>
      </c>
      <c r="E59" s="82"/>
      <c r="F59" s="83" t="str">
        <f t="array" ref="F59">IF(ISERROR(INDEX('Fume Hood Responses Nov 2015'!$A:$I,SMALL(IF('Fume Hood Responses Nov 2015'!$A:$A=$B$11,ROW('Fume Hood Responses Nov 2015'!$A:$A)),ROW(41:41)),9)),"",INDEX('Fume Hood Responses Nov 2015'!$A:$I,SMALL(IF('Fume Hood Responses Nov 2015'!$A:$A=$B$11,ROW('Fume Hood Responses Nov 2015'!$A:$A)),ROW(41:41)),9))</f>
        <v/>
      </c>
      <c r="G59" s="84" t="str">
        <f t="array" ref="G59">IF(ISERROR(INDEX('Fume Hood Responses Nov 2015'!$A:$H,SMALL(IF('Fume Hood Responses Nov 2015'!$A:$A=$B$11,ROW('Fume Hood Responses Nov 2015'!$A:$A)),ROW(41:41)),7)),"",INDEX('Fume Hood Responses Nov 2015'!$A:$H,SMALL(IF('Fume Hood Responses Nov 2015'!$A:$A=$B$11,ROW('Fume Hood Responses Nov 2015'!$A:$A)),ROW(41:41)),7))</f>
        <v/>
      </c>
      <c r="H59" s="81" t="str">
        <f t="array" ref="H59">IF(ISERROR(INDEX('Fume Hood Responses Nov 2015'!$A:$H,SMALL(IF('Fume Hood Responses Nov 2015'!$A:$A=$B$11,ROW('Fume Hood Responses Nov 2015'!$A:$A)),ROW(41:41)),8)),"",INDEX('Fume Hood Responses Nov 2015'!$A:$H,SMALL(IF('Fume Hood Responses Nov 2015'!$A:$A=$B$11,ROW('Fume Hood Responses Nov 2015'!$A:$A)),ROW(41:41)),8))</f>
        <v/>
      </c>
    </row>
    <row r="60" spans="1:8" x14ac:dyDescent="0.25">
      <c r="A60" s="80" t="str">
        <f t="array" ref="A60">IF(ISERROR(INDEX('Fume Hood Responses Nov 2015'!$A:$H,SMALL(IF('Fume Hood Responses Nov 2015'!$A:$A=$B$11,ROW('Fume Hood Responses Nov 2015'!$A:$A)),ROW(42:42)),4)),"",INDEX('Fume Hood Responses Nov 2015'!$A:$H,SMALL(IF('Fume Hood Responses Nov 2015'!$A:$A=$B$11,ROW('Fume Hood Responses Nov 2015'!$A:$A)),ROW(42:42)),4))</f>
        <v/>
      </c>
      <c r="B60" s="80" t="str">
        <f t="array" ref="B60">IF(ISERROR(INDEX('Fume Hood Responses Nov 2015'!$A:$H,SMALL(IF('Fume Hood Responses Nov 2015'!$A:$A=$B$11,ROW('Fume Hood Responses Nov 2015'!$A:$A)),ROW(42:42)),1)),"",INDEX('Fume Hood Responses Nov 2015'!$A:$H,SMALL(IF('Fume Hood Responses Nov 2015'!$A:$A=$B$11,ROW('Fume Hood Responses Nov 2015'!$A:$A)),ROW(42:42)),1))</f>
        <v/>
      </c>
      <c r="C60" s="81" t="str">
        <f t="array" ref="C60">IF(ISERROR(INDEX('Fume Hood Responses Nov 2015'!$A:$H,SMALL(IF('Fume Hood Responses Nov 2015'!$A:$A=$B$11,ROW('Fume Hood Responses Nov 2015'!$A:$A)),ROW(42:42)),5)),"",INDEX('Fume Hood Responses Nov 2015'!$A:$H,SMALL(IF('Fume Hood Responses Nov 2015'!$A:$A=$B$11,ROW('Fume Hood Responses Nov 2015'!$A:$A)),ROW(42:42)),5))</f>
        <v/>
      </c>
      <c r="D60" s="82" t="str">
        <f t="array" ref="D60">IF(ISERROR(INDEX('Fume Hood Responses Nov 2015'!$A:$H,SMALL(IF('Fume Hood Responses Nov 2015'!$A:$A=$B$11,ROW('Fume Hood Responses Nov 2015'!$A:$A)),ROW(42:42)),6)),"",INDEX('Fume Hood Responses Nov 2015'!$A:$H,SMALL(IF('Fume Hood Responses Nov 2015'!$A:$A=$B$11,ROW('Fume Hood Responses Nov 2015'!$A:$A)),ROW(42:42)),6))</f>
        <v/>
      </c>
      <c r="E60" s="82"/>
      <c r="F60" s="83" t="str">
        <f t="array" ref="F60">IF(ISERROR(INDEX('Fume Hood Responses Nov 2015'!$A:$I,SMALL(IF('Fume Hood Responses Nov 2015'!$A:$A=$B$11,ROW('Fume Hood Responses Nov 2015'!$A:$A)),ROW(42:42)),9)),"",INDEX('Fume Hood Responses Nov 2015'!$A:$I,SMALL(IF('Fume Hood Responses Nov 2015'!$A:$A=$B$11,ROW('Fume Hood Responses Nov 2015'!$A:$A)),ROW(42:42)),9))</f>
        <v/>
      </c>
      <c r="G60" s="84" t="str">
        <f t="array" ref="G60">IF(ISERROR(INDEX('Fume Hood Responses Nov 2015'!$A:$H,SMALL(IF('Fume Hood Responses Nov 2015'!$A:$A=$B$11,ROW('Fume Hood Responses Nov 2015'!$A:$A)),ROW(42:42)),7)),"",INDEX('Fume Hood Responses Nov 2015'!$A:$H,SMALL(IF('Fume Hood Responses Nov 2015'!$A:$A=$B$11,ROW('Fume Hood Responses Nov 2015'!$A:$A)),ROW(42:42)),7))</f>
        <v/>
      </c>
      <c r="H60" s="81" t="str">
        <f t="array" ref="H60">IF(ISERROR(INDEX('Fume Hood Responses Nov 2015'!$A:$H,SMALL(IF('Fume Hood Responses Nov 2015'!$A:$A=$B$11,ROW('Fume Hood Responses Nov 2015'!$A:$A)),ROW(42:42)),8)),"",INDEX('Fume Hood Responses Nov 2015'!$A:$H,SMALL(IF('Fume Hood Responses Nov 2015'!$A:$A=$B$11,ROW('Fume Hood Responses Nov 2015'!$A:$A)),ROW(42:42)),8))</f>
        <v/>
      </c>
    </row>
    <row r="61" spans="1:8" x14ac:dyDescent="0.25">
      <c r="A61" s="80" t="str">
        <f t="array" ref="A61">IF(ISERROR(INDEX('Fume Hood Responses Nov 2015'!$A:$H,SMALL(IF('Fume Hood Responses Nov 2015'!$A:$A=$B$11,ROW('Fume Hood Responses Nov 2015'!$A:$A)),ROW(43:43)),4)),"",INDEX('Fume Hood Responses Nov 2015'!$A:$H,SMALL(IF('Fume Hood Responses Nov 2015'!$A:$A=$B$11,ROW('Fume Hood Responses Nov 2015'!$A:$A)),ROW(43:43)),4))</f>
        <v/>
      </c>
      <c r="B61" s="80" t="str">
        <f t="array" ref="B61">IF(ISERROR(INDEX('Fume Hood Responses Nov 2015'!$A:$H,SMALL(IF('Fume Hood Responses Nov 2015'!$A:$A=$B$11,ROW('Fume Hood Responses Nov 2015'!$A:$A)),ROW(43:43)),1)),"",INDEX('Fume Hood Responses Nov 2015'!$A:$H,SMALL(IF('Fume Hood Responses Nov 2015'!$A:$A=$B$11,ROW('Fume Hood Responses Nov 2015'!$A:$A)),ROW(43:43)),1))</f>
        <v/>
      </c>
      <c r="C61" s="81" t="str">
        <f t="array" ref="C61">IF(ISERROR(INDEX('Fume Hood Responses Nov 2015'!$A:$H,SMALL(IF('Fume Hood Responses Nov 2015'!$A:$A=$B$11,ROW('Fume Hood Responses Nov 2015'!$A:$A)),ROW(43:43)),5)),"",INDEX('Fume Hood Responses Nov 2015'!$A:$H,SMALL(IF('Fume Hood Responses Nov 2015'!$A:$A=$B$11,ROW('Fume Hood Responses Nov 2015'!$A:$A)),ROW(43:43)),5))</f>
        <v/>
      </c>
      <c r="D61" s="82" t="str">
        <f t="array" ref="D61">IF(ISERROR(INDEX('Fume Hood Responses Nov 2015'!$A:$H,SMALL(IF('Fume Hood Responses Nov 2015'!$A:$A=$B$11,ROW('Fume Hood Responses Nov 2015'!$A:$A)),ROW(43:43)),6)),"",INDEX('Fume Hood Responses Nov 2015'!$A:$H,SMALL(IF('Fume Hood Responses Nov 2015'!$A:$A=$B$11,ROW('Fume Hood Responses Nov 2015'!$A:$A)),ROW(43:43)),6))</f>
        <v/>
      </c>
      <c r="E61" s="82"/>
      <c r="F61" s="83" t="str">
        <f t="array" ref="F61">IF(ISERROR(INDEX('Fume Hood Responses Nov 2015'!$A:$I,SMALL(IF('Fume Hood Responses Nov 2015'!$A:$A=$B$11,ROW('Fume Hood Responses Nov 2015'!$A:$A)),ROW(43:43)),9)),"",INDEX('Fume Hood Responses Nov 2015'!$A:$I,SMALL(IF('Fume Hood Responses Nov 2015'!$A:$A=$B$11,ROW('Fume Hood Responses Nov 2015'!$A:$A)),ROW(43:43)),9))</f>
        <v/>
      </c>
      <c r="G61" s="84" t="str">
        <f t="array" ref="G61">IF(ISERROR(INDEX('Fume Hood Responses Nov 2015'!$A:$H,SMALL(IF('Fume Hood Responses Nov 2015'!$A:$A=$B$11,ROW('Fume Hood Responses Nov 2015'!$A:$A)),ROW(43:43)),7)),"",INDEX('Fume Hood Responses Nov 2015'!$A:$H,SMALL(IF('Fume Hood Responses Nov 2015'!$A:$A=$B$11,ROW('Fume Hood Responses Nov 2015'!$A:$A)),ROW(43:43)),7))</f>
        <v/>
      </c>
      <c r="H61" s="81" t="str">
        <f t="array" ref="H61">IF(ISERROR(INDEX('Fume Hood Responses Nov 2015'!$A:$H,SMALL(IF('Fume Hood Responses Nov 2015'!$A:$A=$B$11,ROW('Fume Hood Responses Nov 2015'!$A:$A)),ROW(43:43)),8)),"",INDEX('Fume Hood Responses Nov 2015'!$A:$H,SMALL(IF('Fume Hood Responses Nov 2015'!$A:$A=$B$11,ROW('Fume Hood Responses Nov 2015'!$A:$A)),ROW(43:43)),8))</f>
        <v/>
      </c>
    </row>
    <row r="62" spans="1:8" x14ac:dyDescent="0.25">
      <c r="A62" s="80" t="str">
        <f t="array" ref="A62">IF(ISERROR(INDEX('Fume Hood Responses Nov 2015'!$A:$H,SMALL(IF('Fume Hood Responses Nov 2015'!$A:$A=$B$11,ROW('Fume Hood Responses Nov 2015'!$A:$A)),ROW(44:44)),4)),"",INDEX('Fume Hood Responses Nov 2015'!$A:$H,SMALL(IF('Fume Hood Responses Nov 2015'!$A:$A=$B$11,ROW('Fume Hood Responses Nov 2015'!$A:$A)),ROW(44:44)),4))</f>
        <v/>
      </c>
      <c r="B62" s="80" t="str">
        <f t="array" ref="B62">IF(ISERROR(INDEX('Fume Hood Responses Nov 2015'!$A:$H,SMALL(IF('Fume Hood Responses Nov 2015'!$A:$A=$B$11,ROW('Fume Hood Responses Nov 2015'!$A:$A)),ROW(44:44)),1)),"",INDEX('Fume Hood Responses Nov 2015'!$A:$H,SMALL(IF('Fume Hood Responses Nov 2015'!$A:$A=$B$11,ROW('Fume Hood Responses Nov 2015'!$A:$A)),ROW(44:44)),1))</f>
        <v/>
      </c>
      <c r="C62" s="81" t="str">
        <f t="array" ref="C62">IF(ISERROR(INDEX('Fume Hood Responses Nov 2015'!$A:$H,SMALL(IF('Fume Hood Responses Nov 2015'!$A:$A=$B$11,ROW('Fume Hood Responses Nov 2015'!$A:$A)),ROW(44:44)),5)),"",INDEX('Fume Hood Responses Nov 2015'!$A:$H,SMALL(IF('Fume Hood Responses Nov 2015'!$A:$A=$B$11,ROW('Fume Hood Responses Nov 2015'!$A:$A)),ROW(44:44)),5))</f>
        <v/>
      </c>
      <c r="D62" s="82" t="str">
        <f t="array" ref="D62">IF(ISERROR(INDEX('Fume Hood Responses Nov 2015'!$A:$H,SMALL(IF('Fume Hood Responses Nov 2015'!$A:$A=$B$11,ROW('Fume Hood Responses Nov 2015'!$A:$A)),ROW(44:44)),6)),"",INDEX('Fume Hood Responses Nov 2015'!$A:$H,SMALL(IF('Fume Hood Responses Nov 2015'!$A:$A=$B$11,ROW('Fume Hood Responses Nov 2015'!$A:$A)),ROW(44:44)),6))</f>
        <v/>
      </c>
      <c r="E62" s="82"/>
      <c r="F62" s="83" t="str">
        <f t="array" ref="F62">IF(ISERROR(INDEX('Fume Hood Responses Nov 2015'!$A:$I,SMALL(IF('Fume Hood Responses Nov 2015'!$A:$A=$B$11,ROW('Fume Hood Responses Nov 2015'!$A:$A)),ROW(44:44)),9)),"",INDEX('Fume Hood Responses Nov 2015'!$A:$I,SMALL(IF('Fume Hood Responses Nov 2015'!$A:$A=$B$11,ROW('Fume Hood Responses Nov 2015'!$A:$A)),ROW(44:44)),9))</f>
        <v/>
      </c>
      <c r="G62" s="84" t="str">
        <f t="array" ref="G62">IF(ISERROR(INDEX('Fume Hood Responses Nov 2015'!$A:$H,SMALL(IF('Fume Hood Responses Nov 2015'!$A:$A=$B$11,ROW('Fume Hood Responses Nov 2015'!$A:$A)),ROW(44:44)),7)),"",INDEX('Fume Hood Responses Nov 2015'!$A:$H,SMALL(IF('Fume Hood Responses Nov 2015'!$A:$A=$B$11,ROW('Fume Hood Responses Nov 2015'!$A:$A)),ROW(44:44)),7))</f>
        <v/>
      </c>
      <c r="H62" s="81" t="str">
        <f t="array" ref="H62">IF(ISERROR(INDEX('Fume Hood Responses Nov 2015'!$A:$H,SMALL(IF('Fume Hood Responses Nov 2015'!$A:$A=$B$11,ROW('Fume Hood Responses Nov 2015'!$A:$A)),ROW(44:44)),8)),"",INDEX('Fume Hood Responses Nov 2015'!$A:$H,SMALL(IF('Fume Hood Responses Nov 2015'!$A:$A=$B$11,ROW('Fume Hood Responses Nov 2015'!$A:$A)),ROW(44:44)),8))</f>
        <v/>
      </c>
    </row>
    <row r="63" spans="1:8" x14ac:dyDescent="0.25">
      <c r="A63" s="80" t="str">
        <f t="array" ref="A63">IF(ISERROR(INDEX('Fume Hood Responses Nov 2015'!$A:$H,SMALL(IF('Fume Hood Responses Nov 2015'!$A:$A=$B$11,ROW('Fume Hood Responses Nov 2015'!$A:$A)),ROW(45:45)),4)),"",INDEX('Fume Hood Responses Nov 2015'!$A:$H,SMALL(IF('Fume Hood Responses Nov 2015'!$A:$A=$B$11,ROW('Fume Hood Responses Nov 2015'!$A:$A)),ROW(45:45)),4))</f>
        <v/>
      </c>
      <c r="B63" s="80" t="str">
        <f t="array" ref="B63">IF(ISERROR(INDEX('Fume Hood Responses Nov 2015'!$A:$H,SMALL(IF('Fume Hood Responses Nov 2015'!$A:$A=$B$11,ROW('Fume Hood Responses Nov 2015'!$A:$A)),ROW(45:45)),1)),"",INDEX('Fume Hood Responses Nov 2015'!$A:$H,SMALL(IF('Fume Hood Responses Nov 2015'!$A:$A=$B$11,ROW('Fume Hood Responses Nov 2015'!$A:$A)),ROW(45:45)),1))</f>
        <v/>
      </c>
      <c r="C63" s="81" t="str">
        <f t="array" ref="C63">IF(ISERROR(INDEX('Fume Hood Responses Nov 2015'!$A:$H,SMALL(IF('Fume Hood Responses Nov 2015'!$A:$A=$B$11,ROW('Fume Hood Responses Nov 2015'!$A:$A)),ROW(45:45)),5)),"",INDEX('Fume Hood Responses Nov 2015'!$A:$H,SMALL(IF('Fume Hood Responses Nov 2015'!$A:$A=$B$11,ROW('Fume Hood Responses Nov 2015'!$A:$A)),ROW(45:45)),5))</f>
        <v/>
      </c>
      <c r="D63" s="82" t="str">
        <f t="array" ref="D63">IF(ISERROR(INDEX('Fume Hood Responses Nov 2015'!$A:$H,SMALL(IF('Fume Hood Responses Nov 2015'!$A:$A=$B$11,ROW('Fume Hood Responses Nov 2015'!$A:$A)),ROW(45:45)),6)),"",INDEX('Fume Hood Responses Nov 2015'!$A:$H,SMALL(IF('Fume Hood Responses Nov 2015'!$A:$A=$B$11,ROW('Fume Hood Responses Nov 2015'!$A:$A)),ROW(45:45)),6))</f>
        <v/>
      </c>
      <c r="E63" s="82"/>
      <c r="F63" s="83" t="str">
        <f t="array" ref="F63">IF(ISERROR(INDEX('Fume Hood Responses Nov 2015'!$A:$I,SMALL(IF('Fume Hood Responses Nov 2015'!$A:$A=$B$11,ROW('Fume Hood Responses Nov 2015'!$A:$A)),ROW(45:45)),9)),"",INDEX('Fume Hood Responses Nov 2015'!$A:$I,SMALL(IF('Fume Hood Responses Nov 2015'!$A:$A=$B$11,ROW('Fume Hood Responses Nov 2015'!$A:$A)),ROW(45:45)),9))</f>
        <v/>
      </c>
      <c r="G63" s="84" t="str">
        <f t="array" ref="G63">IF(ISERROR(INDEX('Fume Hood Responses Nov 2015'!$A:$H,SMALL(IF('Fume Hood Responses Nov 2015'!$A:$A=$B$11,ROW('Fume Hood Responses Nov 2015'!$A:$A)),ROW(45:45)),7)),"",INDEX('Fume Hood Responses Nov 2015'!$A:$H,SMALL(IF('Fume Hood Responses Nov 2015'!$A:$A=$B$11,ROW('Fume Hood Responses Nov 2015'!$A:$A)),ROW(45:45)),7))</f>
        <v/>
      </c>
      <c r="H63" s="81" t="str">
        <f t="array" ref="H63">IF(ISERROR(INDEX('Fume Hood Responses Nov 2015'!$A:$H,SMALL(IF('Fume Hood Responses Nov 2015'!$A:$A=$B$11,ROW('Fume Hood Responses Nov 2015'!$A:$A)),ROW(45:45)),8)),"",INDEX('Fume Hood Responses Nov 2015'!$A:$H,SMALL(IF('Fume Hood Responses Nov 2015'!$A:$A=$B$11,ROW('Fume Hood Responses Nov 2015'!$A:$A)),ROW(45:45)),8))</f>
        <v/>
      </c>
    </row>
    <row r="64" spans="1:8" x14ac:dyDescent="0.25">
      <c r="A64" s="90"/>
      <c r="B64" s="90"/>
      <c r="C64" s="91"/>
      <c r="D64" s="91"/>
      <c r="E64" s="91"/>
      <c r="F64" s="91"/>
      <c r="G64" s="91"/>
      <c r="H64" s="91"/>
    </row>
    <row r="65" spans="1:8" x14ac:dyDescent="0.25">
      <c r="A65" s="85" t="s">
        <v>573</v>
      </c>
      <c r="B65" s="86"/>
      <c r="C65" s="62"/>
      <c r="D65" s="87"/>
      <c r="E65" s="87"/>
      <c r="F65" s="87"/>
      <c r="G65" s="88" t="s">
        <v>574</v>
      </c>
      <c r="H65" s="62"/>
    </row>
    <row r="66" spans="1:8" x14ac:dyDescent="0.25">
      <c r="A66" s="89" t="s">
        <v>575</v>
      </c>
      <c r="B66" s="89"/>
      <c r="C66" s="89"/>
      <c r="D66" s="89"/>
      <c r="E66" s="89"/>
      <c r="F66" s="89"/>
      <c r="G66" s="89"/>
    </row>
    <row r="67" spans="1:8" x14ac:dyDescent="0.25">
      <c r="A67" s="89" t="s">
        <v>576</v>
      </c>
      <c r="B67" s="89"/>
      <c r="C67" s="89"/>
      <c r="D67" s="89"/>
      <c r="E67" s="89"/>
      <c r="F67" s="89"/>
      <c r="G67" s="89"/>
    </row>
    <row r="68" spans="1:8" x14ac:dyDescent="0.25">
      <c r="A68" s="86" t="s">
        <v>577</v>
      </c>
      <c r="B68" s="87"/>
      <c r="C68" s="87"/>
      <c r="D68" s="87"/>
      <c r="E68" s="87"/>
      <c r="F68" s="87"/>
      <c r="G68" s="87"/>
      <c r="H68" s="62" t="s">
        <v>578</v>
      </c>
    </row>
  </sheetData>
  <sheetProtection selectLockedCells="1"/>
  <mergeCells count="7">
    <mergeCell ref="F15:H15"/>
    <mergeCell ref="B10:E10"/>
    <mergeCell ref="G10:H10"/>
    <mergeCell ref="B11:E11"/>
    <mergeCell ref="G11:H11"/>
    <mergeCell ref="F13:H13"/>
    <mergeCell ref="F14:H14"/>
  </mergeCells>
  <dataValidations count="3">
    <dataValidation type="list" errorStyle="warning" allowBlank="1" showInputMessage="1" showErrorMessage="1" errorTitle="Invalid Data" error="Invalid Data" promptTitle="Data Validation" prompt="Please select only the locations listed in the drop-down" sqref="B11:E11">
      <formula1>LocationsList</formula1>
    </dataValidation>
    <dataValidation type="list" allowBlank="1" showInputMessage="1" showErrorMessage="1" sqref="F13:F14">
      <formula1>list2</formula1>
    </dataValidation>
    <dataValidation type="list" allowBlank="1" showInputMessage="1" showErrorMessage="1" sqref="G11:H11">
      <formula1>Provinces</formula1>
    </dataValidation>
  </dataValidations>
  <pageMargins left="0.5" right="0.25" top="0.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2"/>
  <sheetViews>
    <sheetView workbookViewId="0">
      <selection activeCell="D26" sqref="D26"/>
    </sheetView>
  </sheetViews>
  <sheetFormatPr defaultRowHeight="15" x14ac:dyDescent="0.25"/>
  <cols>
    <col min="1" max="1" width="20.140625" bestFit="1" customWidth="1"/>
    <col min="2" max="2" width="9" bestFit="1" customWidth="1"/>
    <col min="3" max="3" width="24.85546875" bestFit="1" customWidth="1"/>
    <col min="4" max="4" width="24.28515625" bestFit="1" customWidth="1"/>
    <col min="5" max="5" width="16.140625" bestFit="1" customWidth="1"/>
    <col min="6" max="6" width="22.28515625" bestFit="1" customWidth="1"/>
    <col min="7" max="7" width="24.28515625" bestFit="1" customWidth="1"/>
    <col min="8" max="8" width="25.85546875" style="92" bestFit="1" customWidth="1"/>
    <col min="9" max="9" width="28.7109375" customWidth="1"/>
    <col min="10" max="10" width="16.5703125" customWidth="1"/>
    <col min="11" max="11" width="16" bestFit="1" customWidth="1"/>
  </cols>
  <sheetData>
    <row r="1" spans="1:11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53" t="s">
        <v>6</v>
      </c>
      <c r="G1" s="54" t="s">
        <v>7</v>
      </c>
      <c r="H1" s="54" t="s">
        <v>8</v>
      </c>
      <c r="I1" s="2" t="s">
        <v>9</v>
      </c>
      <c r="J1" s="55" t="s">
        <v>551</v>
      </c>
      <c r="K1" s="55" t="s">
        <v>552</v>
      </c>
    </row>
    <row r="2" spans="1:11" x14ac:dyDescent="0.25">
      <c r="F2" s="93"/>
    </row>
    <row r="3" spans="1:11" x14ac:dyDescent="0.25">
      <c r="F3" s="93"/>
    </row>
    <row r="4" spans="1:11" x14ac:dyDescent="0.25">
      <c r="F4" s="93"/>
    </row>
    <row r="5" spans="1:11" x14ac:dyDescent="0.25">
      <c r="F5" s="93"/>
    </row>
    <row r="6" spans="1:11" x14ac:dyDescent="0.25">
      <c r="F6" s="93"/>
    </row>
    <row r="7" spans="1:11" x14ac:dyDescent="0.25">
      <c r="F7" s="93"/>
    </row>
    <row r="8" spans="1:11" x14ac:dyDescent="0.25">
      <c r="F8" s="93"/>
    </row>
    <row r="9" spans="1:11" x14ac:dyDescent="0.25">
      <c r="F9" s="93"/>
    </row>
    <row r="10" spans="1:11" x14ac:dyDescent="0.25">
      <c r="F10" s="93"/>
    </row>
    <row r="11" spans="1:11" x14ac:dyDescent="0.25">
      <c r="F11" s="93"/>
    </row>
    <row r="12" spans="1:11" x14ac:dyDescent="0.25">
      <c r="F12" s="93"/>
    </row>
    <row r="13" spans="1:11" x14ac:dyDescent="0.25">
      <c r="F13" s="93"/>
    </row>
    <row r="17" spans="5:5" x14ac:dyDescent="0.25">
      <c r="E17" t="s">
        <v>590</v>
      </c>
    </row>
    <row r="18" spans="5:5" x14ac:dyDescent="0.25">
      <c r="E18" t="s">
        <v>590</v>
      </c>
    </row>
    <row r="19" spans="5:5" x14ac:dyDescent="0.25">
      <c r="E19" t="s">
        <v>590</v>
      </c>
    </row>
    <row r="20" spans="5:5" x14ac:dyDescent="0.25">
      <c r="E20" t="s">
        <v>590</v>
      </c>
    </row>
    <row r="21" spans="5:5" x14ac:dyDescent="0.25">
      <c r="E21" t="s">
        <v>590</v>
      </c>
    </row>
    <row r="22" spans="5:5" x14ac:dyDescent="0.25">
      <c r="E22" t="s">
        <v>590</v>
      </c>
    </row>
    <row r="23" spans="5:5" x14ac:dyDescent="0.25">
      <c r="E23" t="s">
        <v>590</v>
      </c>
    </row>
    <row r="24" spans="5:5" x14ac:dyDescent="0.25">
      <c r="E24" t="s">
        <v>590</v>
      </c>
    </row>
    <row r="25" spans="5:5" x14ac:dyDescent="0.25">
      <c r="E25" t="s">
        <v>590</v>
      </c>
    </row>
    <row r="26" spans="5:5" x14ac:dyDescent="0.25">
      <c r="E26" t="s">
        <v>590</v>
      </c>
    </row>
    <row r="27" spans="5:5" x14ac:dyDescent="0.25">
      <c r="E27" t="s">
        <v>590</v>
      </c>
    </row>
    <row r="28" spans="5:5" x14ac:dyDescent="0.25">
      <c r="E28" t="s">
        <v>590</v>
      </c>
    </row>
    <row r="29" spans="5:5" x14ac:dyDescent="0.25">
      <c r="E29" t="s">
        <v>590</v>
      </c>
    </row>
    <row r="30" spans="5:5" x14ac:dyDescent="0.25">
      <c r="E30" t="s">
        <v>590</v>
      </c>
    </row>
    <row r="31" spans="5:5" x14ac:dyDescent="0.25">
      <c r="E31" t="s">
        <v>590</v>
      </c>
    </row>
    <row r="32" spans="5:5" x14ac:dyDescent="0.25">
      <c r="E32" t="s">
        <v>590</v>
      </c>
    </row>
    <row r="33" spans="5:5" x14ac:dyDescent="0.25">
      <c r="E33" t="s">
        <v>590</v>
      </c>
    </row>
    <row r="34" spans="5:5" x14ac:dyDescent="0.25">
      <c r="E34" t="s">
        <v>590</v>
      </c>
    </row>
    <row r="35" spans="5:5" x14ac:dyDescent="0.25">
      <c r="E35" t="s">
        <v>590</v>
      </c>
    </row>
    <row r="36" spans="5:5" x14ac:dyDescent="0.25">
      <c r="E36" t="s">
        <v>590</v>
      </c>
    </row>
    <row r="37" spans="5:5" x14ac:dyDescent="0.25">
      <c r="E37" t="s">
        <v>590</v>
      </c>
    </row>
    <row r="38" spans="5:5" x14ac:dyDescent="0.25">
      <c r="E38" t="s">
        <v>590</v>
      </c>
    </row>
    <row r="39" spans="5:5" x14ac:dyDescent="0.25">
      <c r="E39" t="s">
        <v>590</v>
      </c>
    </row>
    <row r="40" spans="5:5" x14ac:dyDescent="0.25">
      <c r="E40" t="s">
        <v>590</v>
      </c>
    </row>
    <row r="41" spans="5:5" x14ac:dyDescent="0.25">
      <c r="E41" t="s">
        <v>590</v>
      </c>
    </row>
    <row r="42" spans="5:5" x14ac:dyDescent="0.25">
      <c r="E42" t="s">
        <v>590</v>
      </c>
    </row>
    <row r="43" spans="5:5" x14ac:dyDescent="0.25">
      <c r="E43" t="s">
        <v>590</v>
      </c>
    </row>
    <row r="44" spans="5:5" x14ac:dyDescent="0.25">
      <c r="E44" t="s">
        <v>590</v>
      </c>
    </row>
    <row r="45" spans="5:5" x14ac:dyDescent="0.25">
      <c r="E45" t="s">
        <v>590</v>
      </c>
    </row>
    <row r="46" spans="5:5" x14ac:dyDescent="0.25">
      <c r="E46" t="s">
        <v>590</v>
      </c>
    </row>
    <row r="47" spans="5:5" x14ac:dyDescent="0.25">
      <c r="E47" t="s">
        <v>590</v>
      </c>
    </row>
    <row r="48" spans="5:5" x14ac:dyDescent="0.25">
      <c r="E48" t="s">
        <v>590</v>
      </c>
    </row>
    <row r="49" spans="5:5" x14ac:dyDescent="0.25">
      <c r="E49" t="s">
        <v>590</v>
      </c>
    </row>
    <row r="50" spans="5:5" x14ac:dyDescent="0.25">
      <c r="E50" t="s">
        <v>590</v>
      </c>
    </row>
    <row r="51" spans="5:5" x14ac:dyDescent="0.25">
      <c r="E51" t="s">
        <v>590</v>
      </c>
    </row>
    <row r="52" spans="5:5" x14ac:dyDescent="0.25">
      <c r="E52" t="s">
        <v>590</v>
      </c>
    </row>
  </sheetData>
  <sheetProtection selectLockedCells="1" selectUnlockedCell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361"/>
  <sheetViews>
    <sheetView topLeftCell="A13" workbookViewId="0">
      <selection activeCell="F273" sqref="F273"/>
    </sheetView>
  </sheetViews>
  <sheetFormatPr defaultRowHeight="15" x14ac:dyDescent="0.25"/>
  <cols>
    <col min="1" max="1" width="26.7109375" bestFit="1" customWidth="1"/>
    <col min="2" max="2" width="9" bestFit="1" customWidth="1"/>
    <col min="3" max="3" width="24.85546875" bestFit="1" customWidth="1"/>
    <col min="4" max="4" width="33" bestFit="1" customWidth="1"/>
    <col min="5" max="5" width="16.140625" bestFit="1" customWidth="1"/>
    <col min="6" max="6" width="22.28515625" bestFit="1" customWidth="1"/>
    <col min="7" max="7" width="95" bestFit="1" customWidth="1"/>
    <col min="8" max="8" width="25.85546875" bestFit="1" customWidth="1"/>
    <col min="9" max="9" width="45.28515625" bestFit="1" customWidth="1"/>
  </cols>
  <sheetData>
    <row r="1" spans="1:9" ht="19.5" x14ac:dyDescent="0.25">
      <c r="A1" s="98" t="s">
        <v>0</v>
      </c>
      <c r="B1" s="99"/>
      <c r="C1" s="99"/>
      <c r="D1" s="99"/>
      <c r="E1" s="99"/>
      <c r="F1" s="99"/>
      <c r="G1" s="99"/>
      <c r="H1" s="99"/>
      <c r="I1" s="99"/>
    </row>
    <row r="2" spans="1:9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2" t="s">
        <v>9</v>
      </c>
    </row>
    <row r="3" spans="1:9" x14ac:dyDescent="0.25">
      <c r="A3" s="3" t="s">
        <v>586</v>
      </c>
      <c r="B3" s="4" t="s">
        <v>11</v>
      </c>
      <c r="C3" s="4" t="s">
        <v>12</v>
      </c>
      <c r="D3" s="4" t="s">
        <v>13</v>
      </c>
      <c r="E3" s="4" t="s">
        <v>14</v>
      </c>
      <c r="F3" s="5">
        <v>42209</v>
      </c>
      <c r="G3" s="6" t="s">
        <v>15</v>
      </c>
      <c r="H3" s="7" t="s">
        <v>16</v>
      </c>
      <c r="I3" s="8" t="s">
        <v>17</v>
      </c>
    </row>
    <row r="4" spans="1:9" x14ac:dyDescent="0.25">
      <c r="A4" s="3" t="s">
        <v>586</v>
      </c>
      <c r="B4" s="4" t="s">
        <v>11</v>
      </c>
      <c r="C4" s="4" t="s">
        <v>12</v>
      </c>
      <c r="D4" s="4" t="s">
        <v>13</v>
      </c>
      <c r="E4" s="4" t="s">
        <v>14</v>
      </c>
      <c r="F4" s="5">
        <v>42209</v>
      </c>
      <c r="G4" s="6" t="s">
        <v>18</v>
      </c>
      <c r="H4" s="7" t="s">
        <v>19</v>
      </c>
      <c r="I4" s="8" t="s">
        <v>20</v>
      </c>
    </row>
    <row r="5" spans="1:9" x14ac:dyDescent="0.25">
      <c r="A5" s="3" t="s">
        <v>586</v>
      </c>
      <c r="B5" s="4" t="s">
        <v>11</v>
      </c>
      <c r="C5" s="4" t="s">
        <v>12</v>
      </c>
      <c r="D5" s="4" t="s">
        <v>13</v>
      </c>
      <c r="E5" s="4" t="s">
        <v>14</v>
      </c>
      <c r="F5" s="5">
        <v>42209</v>
      </c>
      <c r="G5" s="6" t="s">
        <v>21</v>
      </c>
      <c r="H5" s="7" t="s">
        <v>22</v>
      </c>
      <c r="I5" s="8" t="s">
        <v>23</v>
      </c>
    </row>
    <row r="6" spans="1:9" x14ac:dyDescent="0.25">
      <c r="A6" s="3" t="s">
        <v>586</v>
      </c>
      <c r="B6" s="4" t="s">
        <v>11</v>
      </c>
      <c r="C6" s="4" t="s">
        <v>12</v>
      </c>
      <c r="D6" s="4" t="s">
        <v>13</v>
      </c>
      <c r="E6" s="4" t="s">
        <v>14</v>
      </c>
      <c r="F6" s="5">
        <v>42209</v>
      </c>
      <c r="G6" s="6" t="s">
        <v>24</v>
      </c>
      <c r="H6" s="7" t="s">
        <v>25</v>
      </c>
      <c r="I6" s="8" t="s">
        <v>26</v>
      </c>
    </row>
    <row r="7" spans="1:9" x14ac:dyDescent="0.25">
      <c r="A7" s="3" t="s">
        <v>586</v>
      </c>
      <c r="B7" s="4" t="s">
        <v>11</v>
      </c>
      <c r="C7" s="4" t="s">
        <v>12</v>
      </c>
      <c r="D7" s="4" t="s">
        <v>13</v>
      </c>
      <c r="E7" s="4" t="s">
        <v>14</v>
      </c>
      <c r="F7" s="5">
        <v>42209</v>
      </c>
      <c r="G7" s="6" t="s">
        <v>27</v>
      </c>
      <c r="H7" s="7" t="s">
        <v>28</v>
      </c>
      <c r="I7" s="8" t="s">
        <v>29</v>
      </c>
    </row>
    <row r="8" spans="1:9" x14ac:dyDescent="0.25">
      <c r="A8" s="3" t="s">
        <v>586</v>
      </c>
      <c r="B8" s="4" t="s">
        <v>11</v>
      </c>
      <c r="C8" s="4" t="s">
        <v>12</v>
      </c>
      <c r="D8" s="4" t="s">
        <v>13</v>
      </c>
      <c r="E8" s="4" t="s">
        <v>14</v>
      </c>
      <c r="F8" s="5">
        <v>42209</v>
      </c>
      <c r="G8" s="6" t="s">
        <v>30</v>
      </c>
      <c r="H8" s="7" t="s">
        <v>31</v>
      </c>
      <c r="I8" s="8" t="s">
        <v>29</v>
      </c>
    </row>
    <row r="9" spans="1:9" x14ac:dyDescent="0.25">
      <c r="A9" s="3" t="s">
        <v>586</v>
      </c>
      <c r="B9" s="4" t="s">
        <v>11</v>
      </c>
      <c r="C9" s="4" t="s">
        <v>12</v>
      </c>
      <c r="D9" s="4" t="s">
        <v>13</v>
      </c>
      <c r="E9" s="4" t="s">
        <v>14</v>
      </c>
      <c r="F9" s="5">
        <v>42209</v>
      </c>
      <c r="G9" s="6" t="s">
        <v>32</v>
      </c>
      <c r="H9" s="7" t="s">
        <v>28</v>
      </c>
      <c r="I9" s="8" t="s">
        <v>29</v>
      </c>
    </row>
    <row r="10" spans="1:9" x14ac:dyDescent="0.25">
      <c r="A10" s="3" t="s">
        <v>586</v>
      </c>
      <c r="B10" s="4" t="s">
        <v>11</v>
      </c>
      <c r="C10" s="4" t="s">
        <v>12</v>
      </c>
      <c r="D10" s="4" t="s">
        <v>13</v>
      </c>
      <c r="E10" s="4" t="s">
        <v>14</v>
      </c>
      <c r="F10" s="5">
        <v>42209</v>
      </c>
      <c r="G10" s="6" t="s">
        <v>23</v>
      </c>
      <c r="H10" s="7" t="s">
        <v>33</v>
      </c>
      <c r="I10" s="8" t="s">
        <v>29</v>
      </c>
    </row>
    <row r="11" spans="1:9" x14ac:dyDescent="0.25">
      <c r="A11" s="3" t="s">
        <v>10</v>
      </c>
      <c r="B11" s="4" t="s">
        <v>11</v>
      </c>
      <c r="C11" s="4" t="s">
        <v>12</v>
      </c>
      <c r="D11" s="4" t="s">
        <v>13</v>
      </c>
      <c r="E11" s="4" t="s">
        <v>14</v>
      </c>
      <c r="F11" s="5">
        <v>42209</v>
      </c>
      <c r="G11" s="6" t="s">
        <v>34</v>
      </c>
      <c r="H11" s="7" t="s">
        <v>35</v>
      </c>
      <c r="I11" s="8" t="s">
        <v>36</v>
      </c>
    </row>
    <row r="12" spans="1:9" x14ac:dyDescent="0.25">
      <c r="A12" s="3" t="s">
        <v>10</v>
      </c>
      <c r="B12" s="4" t="s">
        <v>11</v>
      </c>
      <c r="C12" s="4" t="s">
        <v>12</v>
      </c>
      <c r="D12" s="4" t="s">
        <v>13</v>
      </c>
      <c r="E12" s="4" t="s">
        <v>14</v>
      </c>
      <c r="F12" s="5">
        <v>42209</v>
      </c>
      <c r="G12" s="6" t="s">
        <v>37</v>
      </c>
      <c r="H12" s="7" t="s">
        <v>38</v>
      </c>
      <c r="I12" s="8" t="s">
        <v>39</v>
      </c>
    </row>
    <row r="13" spans="1:9" x14ac:dyDescent="0.25">
      <c r="A13" s="3" t="s">
        <v>10</v>
      </c>
      <c r="B13" s="4" t="s">
        <v>11</v>
      </c>
      <c r="C13" s="4" t="s">
        <v>12</v>
      </c>
      <c r="D13" s="4" t="s">
        <v>13</v>
      </c>
      <c r="E13" s="4" t="s">
        <v>14</v>
      </c>
      <c r="F13" s="5">
        <v>42209</v>
      </c>
      <c r="G13" s="6" t="s">
        <v>40</v>
      </c>
      <c r="H13" s="7" t="s">
        <v>41</v>
      </c>
      <c r="I13" s="8" t="s">
        <v>42</v>
      </c>
    </row>
    <row r="14" spans="1:9" x14ac:dyDescent="0.25">
      <c r="A14" s="3" t="s">
        <v>10</v>
      </c>
      <c r="B14" s="4" t="s">
        <v>11</v>
      </c>
      <c r="C14" s="4" t="s">
        <v>12</v>
      </c>
      <c r="D14" s="4" t="s">
        <v>13</v>
      </c>
      <c r="E14" s="4" t="s">
        <v>14</v>
      </c>
      <c r="F14" s="5">
        <v>42209</v>
      </c>
      <c r="G14" s="6" t="s">
        <v>43</v>
      </c>
      <c r="H14" s="7" t="s">
        <v>44</v>
      </c>
      <c r="I14" s="8" t="s">
        <v>45</v>
      </c>
    </row>
    <row r="15" spans="1:9" x14ac:dyDescent="0.25">
      <c r="A15" s="3" t="s">
        <v>10</v>
      </c>
      <c r="B15" s="4" t="s">
        <v>11</v>
      </c>
      <c r="C15" s="4" t="s">
        <v>12</v>
      </c>
      <c r="D15" s="4" t="s">
        <v>13</v>
      </c>
      <c r="E15" s="4" t="s">
        <v>14</v>
      </c>
      <c r="F15" s="5">
        <v>42209</v>
      </c>
      <c r="G15" s="6" t="s">
        <v>46</v>
      </c>
      <c r="H15" s="7" t="s">
        <v>47</v>
      </c>
      <c r="I15" s="8" t="s">
        <v>48</v>
      </c>
    </row>
    <row r="16" spans="1:9" x14ac:dyDescent="0.25">
      <c r="A16" s="3" t="s">
        <v>10</v>
      </c>
      <c r="B16" s="4" t="s">
        <v>11</v>
      </c>
      <c r="C16" s="4" t="s">
        <v>12</v>
      </c>
      <c r="D16" s="4" t="s">
        <v>13</v>
      </c>
      <c r="E16" s="4" t="s">
        <v>14</v>
      </c>
      <c r="F16" s="5">
        <v>42209</v>
      </c>
      <c r="G16" s="6" t="s">
        <v>49</v>
      </c>
      <c r="H16" s="7" t="s">
        <v>50</v>
      </c>
      <c r="I16" s="8" t="s">
        <v>51</v>
      </c>
    </row>
    <row r="17" spans="1:9" x14ac:dyDescent="0.25">
      <c r="A17" s="3" t="s">
        <v>10</v>
      </c>
      <c r="B17" s="4" t="s">
        <v>11</v>
      </c>
      <c r="C17" s="4" t="s">
        <v>12</v>
      </c>
      <c r="D17" s="9">
        <v>80282333</v>
      </c>
      <c r="E17" s="4" t="s">
        <v>14</v>
      </c>
      <c r="F17" s="5">
        <v>42209</v>
      </c>
      <c r="G17" s="6" t="s">
        <v>52</v>
      </c>
      <c r="H17" s="7" t="s">
        <v>53</v>
      </c>
      <c r="I17" s="8" t="s">
        <v>54</v>
      </c>
    </row>
    <row r="18" spans="1:9" x14ac:dyDescent="0.25">
      <c r="A18" s="3" t="s">
        <v>10</v>
      </c>
      <c r="B18" s="4" t="s">
        <v>11</v>
      </c>
      <c r="C18" s="4" t="s">
        <v>12</v>
      </c>
      <c r="D18" s="9">
        <v>80282333</v>
      </c>
      <c r="E18" s="4" t="s">
        <v>14</v>
      </c>
      <c r="F18" s="5">
        <v>42209</v>
      </c>
      <c r="G18" s="6" t="s">
        <v>55</v>
      </c>
      <c r="H18" s="7" t="s">
        <v>56</v>
      </c>
      <c r="I18" s="8" t="s">
        <v>57</v>
      </c>
    </row>
    <row r="19" spans="1:9" x14ac:dyDescent="0.25">
      <c r="A19" s="3" t="s">
        <v>10</v>
      </c>
      <c r="B19" s="4" t="s">
        <v>11</v>
      </c>
      <c r="C19" s="4" t="s">
        <v>12</v>
      </c>
      <c r="D19" s="9">
        <v>80282333</v>
      </c>
      <c r="E19" s="4" t="s">
        <v>14</v>
      </c>
      <c r="F19" s="5">
        <v>42209</v>
      </c>
      <c r="G19" s="6" t="s">
        <v>58</v>
      </c>
      <c r="H19" s="7" t="s">
        <v>59</v>
      </c>
      <c r="I19" s="8" t="s">
        <v>60</v>
      </c>
    </row>
    <row r="20" spans="1:9" x14ac:dyDescent="0.25">
      <c r="A20" s="3" t="s">
        <v>10</v>
      </c>
      <c r="B20" s="4" t="s">
        <v>11</v>
      </c>
      <c r="C20" s="4" t="s">
        <v>12</v>
      </c>
      <c r="D20" s="9">
        <v>80282333</v>
      </c>
      <c r="E20" s="4" t="s">
        <v>14</v>
      </c>
      <c r="F20" s="5">
        <v>42209</v>
      </c>
      <c r="G20" s="6" t="s">
        <v>61</v>
      </c>
      <c r="H20" s="7" t="s">
        <v>62</v>
      </c>
      <c r="I20" s="8" t="s">
        <v>29</v>
      </c>
    </row>
    <row r="21" spans="1:9" x14ac:dyDescent="0.25">
      <c r="A21" s="3" t="s">
        <v>63</v>
      </c>
      <c r="B21" s="4" t="s">
        <v>64</v>
      </c>
      <c r="C21" s="4" t="s">
        <v>14</v>
      </c>
      <c r="D21" s="4" t="s">
        <v>65</v>
      </c>
      <c r="E21" s="4" t="s">
        <v>65</v>
      </c>
      <c r="F21" s="7" t="s">
        <v>65</v>
      </c>
      <c r="G21" s="10" t="s">
        <v>65</v>
      </c>
      <c r="H21" s="7" t="s">
        <v>65</v>
      </c>
      <c r="I21" s="11" t="s">
        <v>65</v>
      </c>
    </row>
    <row r="22" spans="1:9" x14ac:dyDescent="0.25">
      <c r="A22" s="3" t="s">
        <v>66</v>
      </c>
      <c r="B22" s="4" t="s">
        <v>64</v>
      </c>
      <c r="C22" s="4" t="s">
        <v>12</v>
      </c>
      <c r="D22" s="4" t="s">
        <v>67</v>
      </c>
      <c r="E22" s="4" t="s">
        <v>14</v>
      </c>
      <c r="F22" s="12">
        <v>42346</v>
      </c>
      <c r="G22" s="10" t="s">
        <v>68</v>
      </c>
      <c r="H22" s="7" t="s">
        <v>68</v>
      </c>
      <c r="I22" s="13" t="s">
        <v>69</v>
      </c>
    </row>
    <row r="23" spans="1:9" x14ac:dyDescent="0.25">
      <c r="A23" s="3" t="s">
        <v>70</v>
      </c>
      <c r="B23" s="4" t="s">
        <v>64</v>
      </c>
      <c r="C23" s="4" t="s">
        <v>12</v>
      </c>
      <c r="D23" s="4" t="s">
        <v>71</v>
      </c>
      <c r="E23" s="4" t="s">
        <v>14</v>
      </c>
      <c r="F23" s="12">
        <v>42157</v>
      </c>
      <c r="G23" s="6" t="s">
        <v>72</v>
      </c>
      <c r="H23" s="7" t="s">
        <v>73</v>
      </c>
      <c r="I23" s="14">
        <v>33478</v>
      </c>
    </row>
    <row r="24" spans="1:9" x14ac:dyDescent="0.25">
      <c r="A24" s="3" t="s">
        <v>70</v>
      </c>
      <c r="B24" s="4" t="s">
        <v>64</v>
      </c>
      <c r="C24" s="4" t="s">
        <v>12</v>
      </c>
      <c r="D24" s="4" t="s">
        <v>74</v>
      </c>
      <c r="E24" s="4" t="s">
        <v>14</v>
      </c>
      <c r="F24" s="12">
        <v>42140</v>
      </c>
      <c r="G24" s="6" t="s">
        <v>72</v>
      </c>
      <c r="H24" s="7" t="s">
        <v>75</v>
      </c>
      <c r="I24" s="14">
        <v>33469</v>
      </c>
    </row>
    <row r="25" spans="1:9" x14ac:dyDescent="0.25">
      <c r="A25" s="3" t="s">
        <v>70</v>
      </c>
      <c r="B25" s="4" t="s">
        <v>64</v>
      </c>
      <c r="C25" s="4" t="s">
        <v>12</v>
      </c>
      <c r="D25" s="4" t="s">
        <v>74</v>
      </c>
      <c r="E25" s="4" t="s">
        <v>14</v>
      </c>
      <c r="F25" s="12">
        <v>42140</v>
      </c>
      <c r="G25" s="6" t="s">
        <v>76</v>
      </c>
      <c r="H25" s="7" t="s">
        <v>75</v>
      </c>
      <c r="I25" s="14">
        <v>33478</v>
      </c>
    </row>
    <row r="26" spans="1:9" x14ac:dyDescent="0.25">
      <c r="A26" s="3" t="s">
        <v>70</v>
      </c>
      <c r="B26" s="4" t="s">
        <v>64</v>
      </c>
      <c r="C26" s="4" t="s">
        <v>12</v>
      </c>
      <c r="D26" s="4" t="s">
        <v>74</v>
      </c>
      <c r="E26" s="4" t="s">
        <v>14</v>
      </c>
      <c r="F26" s="12">
        <v>42140</v>
      </c>
      <c r="G26" s="6" t="s">
        <v>77</v>
      </c>
      <c r="H26" s="7" t="s">
        <v>75</v>
      </c>
      <c r="I26" s="14">
        <v>40651</v>
      </c>
    </row>
    <row r="27" spans="1:9" x14ac:dyDescent="0.25">
      <c r="A27" s="3" t="s">
        <v>70</v>
      </c>
      <c r="B27" s="4" t="s">
        <v>64</v>
      </c>
      <c r="C27" s="4" t="s">
        <v>12</v>
      </c>
      <c r="D27" s="4" t="s">
        <v>74</v>
      </c>
      <c r="E27" s="4" t="s">
        <v>14</v>
      </c>
      <c r="F27" s="12">
        <v>42140</v>
      </c>
      <c r="G27" s="6" t="s">
        <v>78</v>
      </c>
      <c r="H27" s="7" t="s">
        <v>75</v>
      </c>
      <c r="I27" s="8" t="s">
        <v>29</v>
      </c>
    </row>
    <row r="28" spans="1:9" x14ac:dyDescent="0.25">
      <c r="A28" s="3" t="s">
        <v>70</v>
      </c>
      <c r="B28" s="4" t="s">
        <v>64</v>
      </c>
      <c r="C28" s="4" t="s">
        <v>12</v>
      </c>
      <c r="D28" s="4" t="s">
        <v>74</v>
      </c>
      <c r="E28" s="4" t="s">
        <v>14</v>
      </c>
      <c r="F28" s="12">
        <v>42140</v>
      </c>
      <c r="G28" s="6" t="s">
        <v>79</v>
      </c>
      <c r="H28" s="7" t="s">
        <v>75</v>
      </c>
      <c r="I28" s="8" t="s">
        <v>29</v>
      </c>
    </row>
    <row r="29" spans="1:9" x14ac:dyDescent="0.25">
      <c r="A29" s="3" t="s">
        <v>80</v>
      </c>
      <c r="B29" s="4" t="s">
        <v>64</v>
      </c>
      <c r="C29" s="4" t="s">
        <v>14</v>
      </c>
      <c r="D29" s="4" t="s">
        <v>65</v>
      </c>
      <c r="E29" s="4" t="s">
        <v>65</v>
      </c>
      <c r="F29" s="7" t="s">
        <v>65</v>
      </c>
      <c r="G29" s="10" t="s">
        <v>65</v>
      </c>
      <c r="H29" s="7" t="s">
        <v>65</v>
      </c>
      <c r="I29" s="7" t="s">
        <v>65</v>
      </c>
    </row>
    <row r="30" spans="1:9" x14ac:dyDescent="0.25">
      <c r="A30" s="3" t="s">
        <v>81</v>
      </c>
      <c r="B30" s="4" t="s">
        <v>64</v>
      </c>
      <c r="C30" s="4" t="s">
        <v>12</v>
      </c>
      <c r="D30" s="4" t="s">
        <v>82</v>
      </c>
      <c r="E30" s="4" t="s">
        <v>14</v>
      </c>
      <c r="F30" s="12">
        <v>42341</v>
      </c>
      <c r="G30" s="15" t="s">
        <v>83</v>
      </c>
      <c r="H30" s="16" t="s">
        <v>84</v>
      </c>
      <c r="I30" s="13" t="s">
        <v>85</v>
      </c>
    </row>
    <row r="31" spans="1:9" x14ac:dyDescent="0.25">
      <c r="A31" s="3" t="s">
        <v>81</v>
      </c>
      <c r="B31" s="4" t="s">
        <v>64</v>
      </c>
      <c r="C31" s="4" t="s">
        <v>12</v>
      </c>
      <c r="D31" s="4" t="s">
        <v>82</v>
      </c>
      <c r="E31" s="4" t="s">
        <v>14</v>
      </c>
      <c r="F31" s="12">
        <v>42341</v>
      </c>
      <c r="G31" s="15" t="s">
        <v>86</v>
      </c>
      <c r="H31" s="16" t="s">
        <v>84</v>
      </c>
      <c r="I31" s="13" t="s">
        <v>85</v>
      </c>
    </row>
    <row r="32" spans="1:9" x14ac:dyDescent="0.25">
      <c r="A32" s="3" t="s">
        <v>81</v>
      </c>
      <c r="B32" s="4" t="s">
        <v>64</v>
      </c>
      <c r="C32" s="4" t="s">
        <v>12</v>
      </c>
      <c r="D32" s="4" t="s">
        <v>82</v>
      </c>
      <c r="E32" s="4" t="s">
        <v>14</v>
      </c>
      <c r="F32" s="12">
        <v>42341</v>
      </c>
      <c r="G32" s="15" t="s">
        <v>87</v>
      </c>
      <c r="H32" s="16" t="s">
        <v>88</v>
      </c>
      <c r="I32" s="13" t="s">
        <v>85</v>
      </c>
    </row>
    <row r="33" spans="1:9" x14ac:dyDescent="0.25">
      <c r="A33" s="3" t="s">
        <v>81</v>
      </c>
      <c r="B33" s="4" t="s">
        <v>64</v>
      </c>
      <c r="C33" s="4" t="s">
        <v>12</v>
      </c>
      <c r="D33" s="4" t="s">
        <v>82</v>
      </c>
      <c r="E33" s="4" t="s">
        <v>14</v>
      </c>
      <c r="F33" s="12">
        <v>42341</v>
      </c>
      <c r="G33" s="15" t="s">
        <v>89</v>
      </c>
      <c r="H33" s="16" t="s">
        <v>84</v>
      </c>
      <c r="I33" s="13" t="s">
        <v>85</v>
      </c>
    </row>
    <row r="34" spans="1:9" x14ac:dyDescent="0.25">
      <c r="A34" s="3" t="s">
        <v>81</v>
      </c>
      <c r="B34" s="4" t="s">
        <v>64</v>
      </c>
      <c r="C34" s="4" t="s">
        <v>12</v>
      </c>
      <c r="D34" s="4" t="s">
        <v>82</v>
      </c>
      <c r="E34" s="4" t="s">
        <v>14</v>
      </c>
      <c r="F34" s="12">
        <v>42341</v>
      </c>
      <c r="G34" s="17" t="s">
        <v>90</v>
      </c>
      <c r="H34" s="16" t="s">
        <v>91</v>
      </c>
      <c r="I34" s="13" t="s">
        <v>85</v>
      </c>
    </row>
    <row r="35" spans="1:9" x14ac:dyDescent="0.25">
      <c r="A35" s="3" t="s">
        <v>81</v>
      </c>
      <c r="B35" s="4" t="s">
        <v>64</v>
      </c>
      <c r="C35" s="4" t="s">
        <v>12</v>
      </c>
      <c r="D35" s="4" t="s">
        <v>82</v>
      </c>
      <c r="E35" s="4" t="s">
        <v>14</v>
      </c>
      <c r="F35" s="12">
        <v>42341</v>
      </c>
      <c r="G35" s="15" t="s">
        <v>92</v>
      </c>
      <c r="H35" s="16" t="s">
        <v>93</v>
      </c>
      <c r="I35" s="13" t="s">
        <v>85</v>
      </c>
    </row>
    <row r="36" spans="1:9" x14ac:dyDescent="0.25">
      <c r="A36" s="3" t="s">
        <v>81</v>
      </c>
      <c r="B36" s="4" t="s">
        <v>64</v>
      </c>
      <c r="C36" s="4" t="s">
        <v>12</v>
      </c>
      <c r="D36" s="4" t="s">
        <v>82</v>
      </c>
      <c r="E36" s="4" t="s">
        <v>14</v>
      </c>
      <c r="F36" s="12">
        <v>42341</v>
      </c>
      <c r="G36" s="15" t="s">
        <v>94</v>
      </c>
      <c r="H36" s="16" t="s">
        <v>95</v>
      </c>
      <c r="I36" s="13" t="s">
        <v>85</v>
      </c>
    </row>
    <row r="37" spans="1:9" x14ac:dyDescent="0.25">
      <c r="A37" s="3" t="s">
        <v>81</v>
      </c>
      <c r="B37" s="4" t="s">
        <v>64</v>
      </c>
      <c r="C37" s="4" t="s">
        <v>12</v>
      </c>
      <c r="D37" s="4" t="s">
        <v>82</v>
      </c>
      <c r="E37" s="4" t="s">
        <v>14</v>
      </c>
      <c r="F37" s="12">
        <v>42341</v>
      </c>
      <c r="G37" s="15" t="s">
        <v>96</v>
      </c>
      <c r="H37" s="16" t="s">
        <v>97</v>
      </c>
      <c r="I37" s="13" t="s">
        <v>85</v>
      </c>
    </row>
    <row r="38" spans="1:9" x14ac:dyDescent="0.25">
      <c r="A38" s="3" t="s">
        <v>81</v>
      </c>
      <c r="B38" s="4" t="s">
        <v>64</v>
      </c>
      <c r="C38" s="4" t="s">
        <v>12</v>
      </c>
      <c r="D38" s="4" t="s">
        <v>82</v>
      </c>
      <c r="E38" s="4" t="s">
        <v>14</v>
      </c>
      <c r="F38" s="12">
        <v>42341</v>
      </c>
      <c r="G38" s="15" t="s">
        <v>98</v>
      </c>
      <c r="H38" s="16" t="s">
        <v>88</v>
      </c>
      <c r="I38" s="13" t="s">
        <v>85</v>
      </c>
    </row>
    <row r="39" spans="1:9" x14ac:dyDescent="0.25">
      <c r="A39" s="3" t="s">
        <v>81</v>
      </c>
      <c r="B39" s="4" t="s">
        <v>64</v>
      </c>
      <c r="C39" s="4" t="s">
        <v>12</v>
      </c>
      <c r="D39" s="4" t="s">
        <v>82</v>
      </c>
      <c r="E39" s="4" t="s">
        <v>14</v>
      </c>
      <c r="F39" s="12">
        <v>42341</v>
      </c>
      <c r="G39" s="15" t="s">
        <v>99</v>
      </c>
      <c r="H39" s="16" t="s">
        <v>91</v>
      </c>
      <c r="I39" s="13" t="s">
        <v>85</v>
      </c>
    </row>
    <row r="40" spans="1:9" x14ac:dyDescent="0.25">
      <c r="A40" s="3" t="s">
        <v>81</v>
      </c>
      <c r="B40" s="4" t="s">
        <v>64</v>
      </c>
      <c r="C40" s="4" t="s">
        <v>12</v>
      </c>
      <c r="D40" s="4" t="s">
        <v>82</v>
      </c>
      <c r="E40" s="4" t="s">
        <v>14</v>
      </c>
      <c r="F40" s="12">
        <v>42341</v>
      </c>
      <c r="G40" s="15" t="s">
        <v>100</v>
      </c>
      <c r="H40" s="16" t="s">
        <v>101</v>
      </c>
      <c r="I40" s="13" t="s">
        <v>85</v>
      </c>
    </row>
    <row r="41" spans="1:9" x14ac:dyDescent="0.25">
      <c r="A41" s="3" t="s">
        <v>81</v>
      </c>
      <c r="B41" s="4" t="s">
        <v>64</v>
      </c>
      <c r="C41" s="4" t="s">
        <v>12</v>
      </c>
      <c r="D41" s="4" t="s">
        <v>82</v>
      </c>
      <c r="E41" s="4" t="s">
        <v>14</v>
      </c>
      <c r="F41" s="12">
        <v>42341</v>
      </c>
      <c r="G41" s="15" t="s">
        <v>102</v>
      </c>
      <c r="H41" s="16" t="s">
        <v>91</v>
      </c>
      <c r="I41" s="13" t="s">
        <v>85</v>
      </c>
    </row>
    <row r="42" spans="1:9" ht="30" x14ac:dyDescent="0.25">
      <c r="A42" s="3" t="s">
        <v>81</v>
      </c>
      <c r="B42" s="4" t="s">
        <v>64</v>
      </c>
      <c r="C42" s="4" t="s">
        <v>12</v>
      </c>
      <c r="D42" s="4" t="s">
        <v>82</v>
      </c>
      <c r="E42" s="4" t="s">
        <v>14</v>
      </c>
      <c r="F42" s="12">
        <v>42341</v>
      </c>
      <c r="G42" s="15" t="s">
        <v>87</v>
      </c>
      <c r="H42" s="16" t="s">
        <v>88</v>
      </c>
      <c r="I42" s="18" t="s">
        <v>103</v>
      </c>
    </row>
    <row r="43" spans="1:9" ht="30" x14ac:dyDescent="0.25">
      <c r="A43" s="3" t="s">
        <v>81</v>
      </c>
      <c r="B43" s="4" t="s">
        <v>64</v>
      </c>
      <c r="C43" s="4" t="s">
        <v>12</v>
      </c>
      <c r="D43" s="4" t="s">
        <v>82</v>
      </c>
      <c r="E43" s="4" t="s">
        <v>14</v>
      </c>
      <c r="F43" s="12">
        <v>42341</v>
      </c>
      <c r="G43" s="15" t="s">
        <v>87</v>
      </c>
      <c r="H43" s="16" t="s">
        <v>104</v>
      </c>
      <c r="I43" s="18" t="s">
        <v>103</v>
      </c>
    </row>
    <row r="44" spans="1:9" ht="30" x14ac:dyDescent="0.25">
      <c r="A44" s="3" t="s">
        <v>81</v>
      </c>
      <c r="B44" s="4" t="s">
        <v>64</v>
      </c>
      <c r="C44" s="4" t="s">
        <v>12</v>
      </c>
      <c r="D44" s="4" t="s">
        <v>82</v>
      </c>
      <c r="E44" s="4" t="s">
        <v>14</v>
      </c>
      <c r="F44" s="12">
        <v>42341</v>
      </c>
      <c r="G44" s="15" t="s">
        <v>105</v>
      </c>
      <c r="H44" s="16" t="s">
        <v>91</v>
      </c>
      <c r="I44" s="18" t="s">
        <v>103</v>
      </c>
    </row>
    <row r="45" spans="1:9" x14ac:dyDescent="0.25">
      <c r="A45" s="3" t="s">
        <v>81</v>
      </c>
      <c r="B45" s="4" t="s">
        <v>64</v>
      </c>
      <c r="C45" s="4" t="s">
        <v>12</v>
      </c>
      <c r="D45" s="4" t="s">
        <v>82</v>
      </c>
      <c r="E45" s="4" t="s">
        <v>14</v>
      </c>
      <c r="F45" s="12">
        <v>42341</v>
      </c>
      <c r="G45" s="15" t="s">
        <v>106</v>
      </c>
      <c r="H45" s="16" t="s">
        <v>91</v>
      </c>
      <c r="I45" s="13" t="s">
        <v>107</v>
      </c>
    </row>
    <row r="46" spans="1:9" x14ac:dyDescent="0.25">
      <c r="A46" s="3" t="s">
        <v>108</v>
      </c>
      <c r="B46" s="4" t="s">
        <v>64</v>
      </c>
      <c r="C46" s="4" t="s">
        <v>14</v>
      </c>
      <c r="D46" s="4" t="s">
        <v>65</v>
      </c>
      <c r="E46" s="4" t="s">
        <v>65</v>
      </c>
      <c r="F46" s="7" t="s">
        <v>65</v>
      </c>
      <c r="G46" s="10" t="s">
        <v>65</v>
      </c>
      <c r="H46" s="7" t="s">
        <v>65</v>
      </c>
      <c r="I46" s="7" t="s">
        <v>65</v>
      </c>
    </row>
    <row r="47" spans="1:9" x14ac:dyDescent="0.25">
      <c r="A47" s="3" t="s">
        <v>109</v>
      </c>
      <c r="B47" s="4" t="s">
        <v>64</v>
      </c>
      <c r="C47" s="4" t="s">
        <v>65</v>
      </c>
      <c r="D47" s="4" t="s">
        <v>65</v>
      </c>
      <c r="E47" s="4" t="s">
        <v>65</v>
      </c>
      <c r="F47" s="7" t="s">
        <v>65</v>
      </c>
      <c r="G47" s="10" t="s">
        <v>65</v>
      </c>
      <c r="H47" s="7" t="s">
        <v>65</v>
      </c>
      <c r="I47" s="7" t="s">
        <v>65</v>
      </c>
    </row>
    <row r="48" spans="1:9" ht="45" x14ac:dyDescent="0.25">
      <c r="A48" s="3" t="s">
        <v>110</v>
      </c>
      <c r="B48" s="4" t="s">
        <v>64</v>
      </c>
      <c r="C48" s="4" t="s">
        <v>12</v>
      </c>
      <c r="D48" s="4" t="s">
        <v>111</v>
      </c>
      <c r="E48" s="4" t="s">
        <v>14</v>
      </c>
      <c r="F48" s="12">
        <v>42128</v>
      </c>
      <c r="G48" s="19" t="s">
        <v>112</v>
      </c>
      <c r="H48" s="16" t="s">
        <v>113</v>
      </c>
      <c r="I48" s="18" t="s">
        <v>114</v>
      </c>
    </row>
    <row r="49" spans="1:9" ht="45" x14ac:dyDescent="0.25">
      <c r="A49" s="3" t="s">
        <v>110</v>
      </c>
      <c r="B49" s="4" t="s">
        <v>64</v>
      </c>
      <c r="C49" s="4" t="s">
        <v>12</v>
      </c>
      <c r="D49" s="4" t="s">
        <v>111</v>
      </c>
      <c r="E49" s="4" t="s">
        <v>14</v>
      </c>
      <c r="F49" s="12">
        <v>42128</v>
      </c>
      <c r="G49" s="20" t="s">
        <v>115</v>
      </c>
      <c r="H49" s="7" t="s">
        <v>65</v>
      </c>
      <c r="I49" s="18" t="s">
        <v>114</v>
      </c>
    </row>
    <row r="50" spans="1:9" ht="45" x14ac:dyDescent="0.25">
      <c r="A50" s="3" t="s">
        <v>110</v>
      </c>
      <c r="B50" s="4" t="s">
        <v>64</v>
      </c>
      <c r="C50" s="4" t="s">
        <v>12</v>
      </c>
      <c r="D50" s="4" t="s">
        <v>111</v>
      </c>
      <c r="E50" s="4" t="s">
        <v>14</v>
      </c>
      <c r="F50" s="12">
        <v>42128</v>
      </c>
      <c r="G50" s="20" t="s">
        <v>116</v>
      </c>
      <c r="H50" s="7" t="s">
        <v>65</v>
      </c>
      <c r="I50" s="18" t="s">
        <v>114</v>
      </c>
    </row>
    <row r="51" spans="1:9" x14ac:dyDescent="0.25">
      <c r="A51" s="3" t="s">
        <v>110</v>
      </c>
      <c r="B51" s="4" t="s">
        <v>64</v>
      </c>
      <c r="C51" s="4" t="s">
        <v>12</v>
      </c>
      <c r="D51" s="4" t="s">
        <v>111</v>
      </c>
      <c r="E51" s="4" t="s">
        <v>14</v>
      </c>
      <c r="F51" s="12">
        <v>42128</v>
      </c>
      <c r="G51" s="20" t="s">
        <v>117</v>
      </c>
      <c r="H51" s="21" t="s">
        <v>118</v>
      </c>
      <c r="I51" s="13" t="s">
        <v>119</v>
      </c>
    </row>
    <row r="52" spans="1:9" x14ac:dyDescent="0.25">
      <c r="A52" s="3" t="s">
        <v>110</v>
      </c>
      <c r="B52" s="4" t="s">
        <v>64</v>
      </c>
      <c r="C52" s="4" t="s">
        <v>12</v>
      </c>
      <c r="D52" s="4" t="s">
        <v>111</v>
      </c>
      <c r="E52" s="4" t="s">
        <v>14</v>
      </c>
      <c r="F52" s="12">
        <v>42128</v>
      </c>
      <c r="G52" s="20" t="s">
        <v>120</v>
      </c>
      <c r="H52" s="7" t="s">
        <v>65</v>
      </c>
      <c r="I52" s="13" t="s">
        <v>119</v>
      </c>
    </row>
    <row r="53" spans="1:9" ht="45" x14ac:dyDescent="0.25">
      <c r="A53" s="3" t="s">
        <v>110</v>
      </c>
      <c r="B53" s="4" t="s">
        <v>64</v>
      </c>
      <c r="C53" s="4" t="s">
        <v>12</v>
      </c>
      <c r="D53" s="4" t="s">
        <v>111</v>
      </c>
      <c r="E53" s="4" t="s">
        <v>14</v>
      </c>
      <c r="F53" s="12">
        <v>42128</v>
      </c>
      <c r="G53" s="20" t="s">
        <v>121</v>
      </c>
      <c r="H53" s="7" t="s">
        <v>65</v>
      </c>
      <c r="I53" s="18" t="s">
        <v>114</v>
      </c>
    </row>
    <row r="54" spans="1:9" ht="45" x14ac:dyDescent="0.25">
      <c r="A54" s="3" t="s">
        <v>110</v>
      </c>
      <c r="B54" s="4" t="s">
        <v>64</v>
      </c>
      <c r="C54" s="4" t="s">
        <v>12</v>
      </c>
      <c r="D54" s="4" t="s">
        <v>111</v>
      </c>
      <c r="E54" s="4" t="s">
        <v>14</v>
      </c>
      <c r="F54" s="12">
        <v>42128</v>
      </c>
      <c r="G54" s="19" t="s">
        <v>122</v>
      </c>
      <c r="H54" s="16" t="s">
        <v>123</v>
      </c>
      <c r="I54" s="18" t="s">
        <v>114</v>
      </c>
    </row>
    <row r="55" spans="1:9" ht="45" x14ac:dyDescent="0.25">
      <c r="A55" s="3" t="s">
        <v>110</v>
      </c>
      <c r="B55" s="4" t="s">
        <v>64</v>
      </c>
      <c r="C55" s="4" t="s">
        <v>12</v>
      </c>
      <c r="D55" s="4" t="s">
        <v>111</v>
      </c>
      <c r="E55" s="4" t="s">
        <v>14</v>
      </c>
      <c r="F55" s="12">
        <v>42128</v>
      </c>
      <c r="G55" s="20" t="s">
        <v>124</v>
      </c>
      <c r="H55" s="21" t="s">
        <v>125</v>
      </c>
      <c r="I55" s="18" t="s">
        <v>114</v>
      </c>
    </row>
    <row r="56" spans="1:9" ht="45" x14ac:dyDescent="0.25">
      <c r="A56" s="3" t="s">
        <v>110</v>
      </c>
      <c r="B56" s="4" t="s">
        <v>64</v>
      </c>
      <c r="C56" s="4" t="s">
        <v>12</v>
      </c>
      <c r="D56" s="4" t="s">
        <v>111</v>
      </c>
      <c r="E56" s="4" t="s">
        <v>14</v>
      </c>
      <c r="F56" s="12">
        <v>42128</v>
      </c>
      <c r="G56" s="20" t="s">
        <v>126</v>
      </c>
      <c r="H56" s="7" t="s">
        <v>65</v>
      </c>
      <c r="I56" s="18" t="s">
        <v>114</v>
      </c>
    </row>
    <row r="57" spans="1:9" ht="45" x14ac:dyDescent="0.25">
      <c r="A57" s="3" t="s">
        <v>110</v>
      </c>
      <c r="B57" s="4" t="s">
        <v>64</v>
      </c>
      <c r="C57" s="4" t="s">
        <v>12</v>
      </c>
      <c r="D57" s="4" t="s">
        <v>111</v>
      </c>
      <c r="E57" s="4" t="s">
        <v>14</v>
      </c>
      <c r="F57" s="12">
        <v>42128</v>
      </c>
      <c r="G57" s="20" t="s">
        <v>127</v>
      </c>
      <c r="H57" s="16" t="s">
        <v>128</v>
      </c>
      <c r="I57" s="18" t="s">
        <v>114</v>
      </c>
    </row>
    <row r="58" spans="1:9" ht="45" x14ac:dyDescent="0.25">
      <c r="A58" s="3" t="s">
        <v>110</v>
      </c>
      <c r="B58" s="4" t="s">
        <v>64</v>
      </c>
      <c r="C58" s="4" t="s">
        <v>12</v>
      </c>
      <c r="D58" s="4" t="s">
        <v>111</v>
      </c>
      <c r="E58" s="4" t="s">
        <v>14</v>
      </c>
      <c r="F58" s="12">
        <v>42128</v>
      </c>
      <c r="G58" s="20" t="s">
        <v>129</v>
      </c>
      <c r="H58" s="16" t="s">
        <v>130</v>
      </c>
      <c r="I58" s="18" t="s">
        <v>114</v>
      </c>
    </row>
    <row r="59" spans="1:9" ht="45" x14ac:dyDescent="0.25">
      <c r="A59" s="3" t="s">
        <v>110</v>
      </c>
      <c r="B59" s="4" t="s">
        <v>64</v>
      </c>
      <c r="C59" s="4" t="s">
        <v>12</v>
      </c>
      <c r="D59" s="4" t="s">
        <v>111</v>
      </c>
      <c r="E59" s="4" t="s">
        <v>14</v>
      </c>
      <c r="F59" s="12">
        <v>42128</v>
      </c>
      <c r="G59" s="20" t="s">
        <v>131</v>
      </c>
      <c r="H59" s="16" t="s">
        <v>113</v>
      </c>
      <c r="I59" s="18" t="s">
        <v>114</v>
      </c>
    </row>
    <row r="60" spans="1:9" ht="45" x14ac:dyDescent="0.25">
      <c r="A60" s="3" t="s">
        <v>110</v>
      </c>
      <c r="B60" s="4" t="s">
        <v>64</v>
      </c>
      <c r="C60" s="4" t="s">
        <v>12</v>
      </c>
      <c r="D60" s="4" t="s">
        <v>111</v>
      </c>
      <c r="E60" s="4" t="s">
        <v>14</v>
      </c>
      <c r="F60" s="12">
        <v>42128</v>
      </c>
      <c r="G60" s="20" t="s">
        <v>132</v>
      </c>
      <c r="H60" s="7" t="s">
        <v>65</v>
      </c>
      <c r="I60" s="18" t="s">
        <v>114</v>
      </c>
    </row>
    <row r="61" spans="1:9" ht="45" x14ac:dyDescent="0.25">
      <c r="A61" s="3" t="s">
        <v>110</v>
      </c>
      <c r="B61" s="4" t="s">
        <v>64</v>
      </c>
      <c r="C61" s="4" t="s">
        <v>12</v>
      </c>
      <c r="D61" s="4" t="s">
        <v>111</v>
      </c>
      <c r="E61" s="4" t="s">
        <v>14</v>
      </c>
      <c r="F61" s="12">
        <v>42128</v>
      </c>
      <c r="G61" s="20" t="s">
        <v>133</v>
      </c>
      <c r="H61" s="16" t="s">
        <v>128</v>
      </c>
      <c r="I61" s="18" t="s">
        <v>114</v>
      </c>
    </row>
    <row r="62" spans="1:9" ht="45" x14ac:dyDescent="0.25">
      <c r="A62" s="3" t="s">
        <v>110</v>
      </c>
      <c r="B62" s="4" t="s">
        <v>64</v>
      </c>
      <c r="C62" s="4" t="s">
        <v>12</v>
      </c>
      <c r="D62" s="4" t="s">
        <v>111</v>
      </c>
      <c r="E62" s="4" t="s">
        <v>14</v>
      </c>
      <c r="F62" s="12">
        <v>42128</v>
      </c>
      <c r="G62" s="20" t="s">
        <v>134</v>
      </c>
      <c r="H62" s="16" t="s">
        <v>135</v>
      </c>
      <c r="I62" s="18" t="s">
        <v>114</v>
      </c>
    </row>
    <row r="63" spans="1:9" ht="45" x14ac:dyDescent="0.25">
      <c r="A63" s="3" t="s">
        <v>110</v>
      </c>
      <c r="B63" s="4" t="s">
        <v>64</v>
      </c>
      <c r="C63" s="4" t="s">
        <v>12</v>
      </c>
      <c r="D63" s="4" t="s">
        <v>111</v>
      </c>
      <c r="E63" s="4" t="s">
        <v>14</v>
      </c>
      <c r="F63" s="12">
        <v>42128</v>
      </c>
      <c r="G63" s="20" t="s">
        <v>136</v>
      </c>
      <c r="H63" s="7" t="s">
        <v>65</v>
      </c>
      <c r="I63" s="18" t="s">
        <v>114</v>
      </c>
    </row>
    <row r="64" spans="1:9" ht="45" x14ac:dyDescent="0.25">
      <c r="A64" s="3" t="s">
        <v>110</v>
      </c>
      <c r="B64" s="4" t="s">
        <v>64</v>
      </c>
      <c r="C64" s="4" t="s">
        <v>12</v>
      </c>
      <c r="D64" s="4" t="s">
        <v>111</v>
      </c>
      <c r="E64" s="4" t="s">
        <v>14</v>
      </c>
      <c r="F64" s="12">
        <v>42128</v>
      </c>
      <c r="G64" s="20" t="s">
        <v>137</v>
      </c>
      <c r="H64" s="7" t="s">
        <v>65</v>
      </c>
      <c r="I64" s="18" t="s">
        <v>114</v>
      </c>
    </row>
    <row r="65" spans="1:9" x14ac:dyDescent="0.25">
      <c r="A65" s="3" t="s">
        <v>138</v>
      </c>
      <c r="B65" s="4" t="s">
        <v>64</v>
      </c>
      <c r="C65" s="4" t="s">
        <v>65</v>
      </c>
      <c r="D65" s="4" t="s">
        <v>65</v>
      </c>
      <c r="E65" s="4" t="s">
        <v>65</v>
      </c>
      <c r="F65" s="7" t="s">
        <v>65</v>
      </c>
      <c r="G65" s="10" t="s">
        <v>65</v>
      </c>
      <c r="H65" s="7" t="s">
        <v>65</v>
      </c>
      <c r="I65" s="7" t="s">
        <v>65</v>
      </c>
    </row>
    <row r="66" spans="1:9" x14ac:dyDescent="0.25">
      <c r="A66" s="3" t="s">
        <v>139</v>
      </c>
      <c r="B66" s="4" t="s">
        <v>64</v>
      </c>
      <c r="C66" s="4" t="s">
        <v>65</v>
      </c>
      <c r="D66" s="4" t="s">
        <v>65</v>
      </c>
      <c r="E66" s="4" t="s">
        <v>65</v>
      </c>
      <c r="F66" s="7" t="s">
        <v>65</v>
      </c>
      <c r="G66" s="10" t="s">
        <v>65</v>
      </c>
      <c r="H66" s="7" t="s">
        <v>65</v>
      </c>
      <c r="I66" s="7" t="s">
        <v>65</v>
      </c>
    </row>
    <row r="67" spans="1:9" x14ac:dyDescent="0.25">
      <c r="A67" s="3" t="s">
        <v>140</v>
      </c>
      <c r="B67" s="4" t="s">
        <v>64</v>
      </c>
      <c r="C67" s="4" t="s">
        <v>12</v>
      </c>
      <c r="D67" s="4" t="s">
        <v>141</v>
      </c>
      <c r="E67" s="4" t="s">
        <v>14</v>
      </c>
      <c r="F67" s="12">
        <v>42128</v>
      </c>
      <c r="G67" s="20" t="s">
        <v>142</v>
      </c>
      <c r="H67" s="16" t="s">
        <v>135</v>
      </c>
      <c r="I67" s="13" t="s">
        <v>143</v>
      </c>
    </row>
    <row r="68" spans="1:9" ht="30" x14ac:dyDescent="0.25">
      <c r="A68" s="3" t="s">
        <v>140</v>
      </c>
      <c r="B68" s="4" t="s">
        <v>64</v>
      </c>
      <c r="C68" s="4" t="s">
        <v>12</v>
      </c>
      <c r="D68" s="4" t="s">
        <v>141</v>
      </c>
      <c r="E68" s="4" t="s">
        <v>14</v>
      </c>
      <c r="F68" s="12">
        <v>42128</v>
      </c>
      <c r="G68" s="20" t="s">
        <v>144</v>
      </c>
      <c r="H68" s="16" t="s">
        <v>145</v>
      </c>
      <c r="I68" s="18" t="s">
        <v>146</v>
      </c>
    </row>
    <row r="69" spans="1:9" ht="30" x14ac:dyDescent="0.25">
      <c r="A69" s="3" t="s">
        <v>140</v>
      </c>
      <c r="B69" s="4" t="s">
        <v>64</v>
      </c>
      <c r="C69" s="4" t="s">
        <v>12</v>
      </c>
      <c r="D69" s="4" t="s">
        <v>141</v>
      </c>
      <c r="E69" s="4" t="s">
        <v>14</v>
      </c>
      <c r="F69" s="12">
        <v>42128</v>
      </c>
      <c r="G69" s="20" t="s">
        <v>147</v>
      </c>
      <c r="H69" s="16" t="s">
        <v>148</v>
      </c>
      <c r="I69" s="18" t="s">
        <v>146</v>
      </c>
    </row>
    <row r="70" spans="1:9" ht="30" x14ac:dyDescent="0.25">
      <c r="A70" s="3" t="s">
        <v>140</v>
      </c>
      <c r="B70" s="4" t="s">
        <v>64</v>
      </c>
      <c r="C70" s="4" t="s">
        <v>12</v>
      </c>
      <c r="D70" s="4" t="s">
        <v>141</v>
      </c>
      <c r="E70" s="4" t="s">
        <v>14</v>
      </c>
      <c r="F70" s="12">
        <v>42128</v>
      </c>
      <c r="G70" s="20" t="s">
        <v>149</v>
      </c>
      <c r="H70" s="16" t="s">
        <v>59</v>
      </c>
      <c r="I70" s="18" t="s">
        <v>146</v>
      </c>
    </row>
    <row r="71" spans="1:9" x14ac:dyDescent="0.25">
      <c r="A71" s="3" t="s">
        <v>150</v>
      </c>
      <c r="B71" s="4" t="s">
        <v>64</v>
      </c>
      <c r="C71" s="22" t="s">
        <v>65</v>
      </c>
      <c r="D71" s="23" t="s">
        <v>65</v>
      </c>
      <c r="E71" s="23" t="s">
        <v>65</v>
      </c>
      <c r="F71" s="7" t="s">
        <v>65</v>
      </c>
      <c r="G71" s="10" t="s">
        <v>65</v>
      </c>
      <c r="H71" s="7" t="s">
        <v>65</v>
      </c>
      <c r="I71" s="7" t="s">
        <v>65</v>
      </c>
    </row>
    <row r="72" spans="1:9" ht="30" x14ac:dyDescent="0.25">
      <c r="A72" s="3" t="s">
        <v>151</v>
      </c>
      <c r="B72" s="4" t="s">
        <v>64</v>
      </c>
      <c r="C72" s="22" t="s">
        <v>12</v>
      </c>
      <c r="D72" s="4" t="s">
        <v>152</v>
      </c>
      <c r="E72" s="4" t="s">
        <v>14</v>
      </c>
      <c r="F72" s="12">
        <v>42128</v>
      </c>
      <c r="G72" s="20" t="s">
        <v>30</v>
      </c>
      <c r="H72" s="24" t="s">
        <v>130</v>
      </c>
      <c r="I72" s="25" t="s">
        <v>153</v>
      </c>
    </row>
    <row r="73" spans="1:9" ht="30" x14ac:dyDescent="0.25">
      <c r="A73" s="3" t="s">
        <v>151</v>
      </c>
      <c r="B73" s="4" t="s">
        <v>64</v>
      </c>
      <c r="C73" s="22" t="s">
        <v>12</v>
      </c>
      <c r="D73" s="4" t="s">
        <v>152</v>
      </c>
      <c r="E73" s="4" t="s">
        <v>14</v>
      </c>
      <c r="F73" s="12">
        <v>42128</v>
      </c>
      <c r="G73" s="19" t="s">
        <v>154</v>
      </c>
      <c r="H73" s="24" t="s">
        <v>155</v>
      </c>
      <c r="I73" s="25" t="s">
        <v>156</v>
      </c>
    </row>
    <row r="74" spans="1:9" x14ac:dyDescent="0.25">
      <c r="A74" s="3" t="s">
        <v>157</v>
      </c>
      <c r="B74" s="4" t="s">
        <v>64</v>
      </c>
      <c r="C74" s="22" t="s">
        <v>65</v>
      </c>
      <c r="D74" s="23" t="s">
        <v>65</v>
      </c>
      <c r="E74" s="23" t="s">
        <v>65</v>
      </c>
      <c r="F74" s="7" t="s">
        <v>65</v>
      </c>
      <c r="G74" s="10" t="s">
        <v>65</v>
      </c>
      <c r="H74" s="7" t="s">
        <v>65</v>
      </c>
      <c r="I74" s="7" t="s">
        <v>65</v>
      </c>
    </row>
    <row r="75" spans="1:9" x14ac:dyDescent="0.25">
      <c r="A75" s="3" t="s">
        <v>158</v>
      </c>
      <c r="B75" s="4" t="s">
        <v>64</v>
      </c>
      <c r="C75" s="22" t="s">
        <v>65</v>
      </c>
      <c r="D75" s="23" t="s">
        <v>65</v>
      </c>
      <c r="E75" s="23" t="s">
        <v>65</v>
      </c>
      <c r="F75" s="7" t="s">
        <v>65</v>
      </c>
      <c r="G75" s="10" t="s">
        <v>65</v>
      </c>
      <c r="H75" s="7" t="s">
        <v>65</v>
      </c>
      <c r="I75" s="7" t="s">
        <v>65</v>
      </c>
    </row>
    <row r="76" spans="1:9" ht="30" x14ac:dyDescent="0.25">
      <c r="A76" s="3" t="s">
        <v>159</v>
      </c>
      <c r="B76" s="4" t="s">
        <v>64</v>
      </c>
      <c r="C76" s="22" t="s">
        <v>12</v>
      </c>
      <c r="D76" s="4" t="s">
        <v>160</v>
      </c>
      <c r="E76" s="23" t="s">
        <v>14</v>
      </c>
      <c r="F76" s="5">
        <v>42128</v>
      </c>
      <c r="G76" s="6" t="s">
        <v>161</v>
      </c>
      <c r="H76" s="7" t="s">
        <v>65</v>
      </c>
      <c r="I76" s="26" t="s">
        <v>162</v>
      </c>
    </row>
    <row r="77" spans="1:9" ht="30" x14ac:dyDescent="0.25">
      <c r="A77" s="3" t="s">
        <v>159</v>
      </c>
      <c r="B77" s="4" t="s">
        <v>64</v>
      </c>
      <c r="C77" s="22" t="s">
        <v>12</v>
      </c>
      <c r="D77" s="4" t="s">
        <v>160</v>
      </c>
      <c r="E77" s="23" t="s">
        <v>14</v>
      </c>
      <c r="F77" s="5">
        <v>42128</v>
      </c>
      <c r="G77" s="6" t="s">
        <v>163</v>
      </c>
      <c r="H77" s="7" t="s">
        <v>65</v>
      </c>
      <c r="I77" s="26" t="s">
        <v>164</v>
      </c>
    </row>
    <row r="78" spans="1:9" x14ac:dyDescent="0.25">
      <c r="A78" s="3" t="s">
        <v>159</v>
      </c>
      <c r="B78" s="4" t="s">
        <v>64</v>
      </c>
      <c r="C78" s="22" t="s">
        <v>12</v>
      </c>
      <c r="D78" s="4" t="s">
        <v>160</v>
      </c>
      <c r="E78" s="23" t="s">
        <v>14</v>
      </c>
      <c r="F78" s="5">
        <v>42128</v>
      </c>
      <c r="G78" s="6" t="s">
        <v>165</v>
      </c>
      <c r="H78" s="7" t="s">
        <v>65</v>
      </c>
      <c r="I78" s="26" t="s">
        <v>166</v>
      </c>
    </row>
    <row r="79" spans="1:9" x14ac:dyDescent="0.25">
      <c r="A79" s="3" t="s">
        <v>159</v>
      </c>
      <c r="B79" s="4" t="s">
        <v>64</v>
      </c>
      <c r="C79" s="22" t="s">
        <v>12</v>
      </c>
      <c r="D79" s="4" t="s">
        <v>160</v>
      </c>
      <c r="E79" s="23" t="s">
        <v>14</v>
      </c>
      <c r="F79" s="5">
        <v>42128</v>
      </c>
      <c r="G79" s="6" t="s">
        <v>167</v>
      </c>
      <c r="H79" s="7" t="s">
        <v>65</v>
      </c>
      <c r="I79" s="26" t="s">
        <v>166</v>
      </c>
    </row>
    <row r="80" spans="1:9" x14ac:dyDescent="0.25">
      <c r="A80" s="3" t="s">
        <v>159</v>
      </c>
      <c r="B80" s="4" t="s">
        <v>64</v>
      </c>
      <c r="C80" s="22" t="s">
        <v>12</v>
      </c>
      <c r="D80" s="4" t="s">
        <v>160</v>
      </c>
      <c r="E80" s="23" t="s">
        <v>14</v>
      </c>
      <c r="F80" s="5">
        <v>42128</v>
      </c>
      <c r="G80" s="6" t="s">
        <v>168</v>
      </c>
      <c r="H80" s="7" t="s">
        <v>65</v>
      </c>
      <c r="I80" s="26" t="s">
        <v>166</v>
      </c>
    </row>
    <row r="81" spans="1:9" ht="30" x14ac:dyDescent="0.25">
      <c r="A81" s="3" t="s">
        <v>159</v>
      </c>
      <c r="B81" s="4" t="s">
        <v>64</v>
      </c>
      <c r="C81" s="22" t="s">
        <v>12</v>
      </c>
      <c r="D81" s="4" t="s">
        <v>169</v>
      </c>
      <c r="E81" s="23" t="s">
        <v>14</v>
      </c>
      <c r="F81" s="5">
        <v>42128</v>
      </c>
      <c r="G81" s="6" t="s">
        <v>170</v>
      </c>
      <c r="H81" s="7" t="s">
        <v>65</v>
      </c>
      <c r="I81" s="26" t="s">
        <v>162</v>
      </c>
    </row>
    <row r="82" spans="1:9" ht="30" x14ac:dyDescent="0.25">
      <c r="A82" s="3" t="s">
        <v>159</v>
      </c>
      <c r="B82" s="4" t="s">
        <v>64</v>
      </c>
      <c r="C82" s="22" t="s">
        <v>12</v>
      </c>
      <c r="D82" s="4" t="s">
        <v>169</v>
      </c>
      <c r="E82" s="23" t="s">
        <v>14</v>
      </c>
      <c r="F82" s="5">
        <v>42128</v>
      </c>
      <c r="G82" s="6" t="s">
        <v>171</v>
      </c>
      <c r="H82" s="7" t="s">
        <v>65</v>
      </c>
      <c r="I82" s="26" t="s">
        <v>162</v>
      </c>
    </row>
    <row r="83" spans="1:9" x14ac:dyDescent="0.25">
      <c r="A83" s="3" t="s">
        <v>159</v>
      </c>
      <c r="B83" s="4" t="s">
        <v>64</v>
      </c>
      <c r="C83" s="22" t="s">
        <v>12</v>
      </c>
      <c r="D83" s="4" t="s">
        <v>169</v>
      </c>
      <c r="E83" s="23" t="s">
        <v>14</v>
      </c>
      <c r="F83" s="5">
        <v>42128</v>
      </c>
      <c r="G83" s="6" t="s">
        <v>165</v>
      </c>
      <c r="H83" s="7" t="s">
        <v>65</v>
      </c>
      <c r="I83" s="26" t="s">
        <v>166</v>
      </c>
    </row>
    <row r="84" spans="1:9" x14ac:dyDescent="0.25">
      <c r="A84" s="3" t="s">
        <v>159</v>
      </c>
      <c r="B84" s="4" t="s">
        <v>64</v>
      </c>
      <c r="C84" s="22" t="s">
        <v>12</v>
      </c>
      <c r="D84" s="4" t="s">
        <v>169</v>
      </c>
      <c r="E84" s="23" t="s">
        <v>14</v>
      </c>
      <c r="F84" s="5">
        <v>42128</v>
      </c>
      <c r="G84" s="6" t="s">
        <v>167</v>
      </c>
      <c r="H84" s="7" t="s">
        <v>65</v>
      </c>
      <c r="I84" s="26" t="s">
        <v>166</v>
      </c>
    </row>
    <row r="85" spans="1:9" x14ac:dyDescent="0.25">
      <c r="A85" s="3" t="s">
        <v>159</v>
      </c>
      <c r="B85" s="4" t="s">
        <v>64</v>
      </c>
      <c r="C85" s="22" t="s">
        <v>12</v>
      </c>
      <c r="D85" s="4" t="s">
        <v>169</v>
      </c>
      <c r="E85" s="23" t="s">
        <v>14</v>
      </c>
      <c r="F85" s="5">
        <v>42128</v>
      </c>
      <c r="G85" s="6" t="s">
        <v>168</v>
      </c>
      <c r="H85" s="7" t="s">
        <v>65</v>
      </c>
      <c r="I85" s="26" t="s">
        <v>166</v>
      </c>
    </row>
    <row r="86" spans="1:9" x14ac:dyDescent="0.25">
      <c r="A86" s="3" t="s">
        <v>159</v>
      </c>
      <c r="B86" s="4" t="s">
        <v>64</v>
      </c>
      <c r="C86" s="22" t="s">
        <v>12</v>
      </c>
      <c r="D86" s="4" t="s">
        <v>172</v>
      </c>
      <c r="E86" s="23" t="s">
        <v>14</v>
      </c>
      <c r="F86" s="5">
        <v>42128</v>
      </c>
      <c r="G86" s="6" t="s">
        <v>173</v>
      </c>
      <c r="H86" s="7" t="s">
        <v>65</v>
      </c>
      <c r="I86" s="8" t="s">
        <v>174</v>
      </c>
    </row>
    <row r="87" spans="1:9" x14ac:dyDescent="0.25">
      <c r="A87" s="3" t="s">
        <v>159</v>
      </c>
      <c r="B87" s="4" t="s">
        <v>64</v>
      </c>
      <c r="C87" s="22" t="s">
        <v>12</v>
      </c>
      <c r="D87" s="4" t="s">
        <v>172</v>
      </c>
      <c r="E87" s="23" t="s">
        <v>14</v>
      </c>
      <c r="F87" s="5">
        <v>42128</v>
      </c>
      <c r="G87" s="27" t="s">
        <v>175</v>
      </c>
      <c r="H87" s="7" t="s">
        <v>65</v>
      </c>
      <c r="I87" s="8" t="s">
        <v>176</v>
      </c>
    </row>
    <row r="88" spans="1:9" x14ac:dyDescent="0.25">
      <c r="A88" s="3" t="s">
        <v>177</v>
      </c>
      <c r="B88" s="4" t="s">
        <v>64</v>
      </c>
      <c r="C88" s="22" t="s">
        <v>65</v>
      </c>
      <c r="D88" s="4" t="s">
        <v>65</v>
      </c>
      <c r="E88" s="23" t="s">
        <v>65</v>
      </c>
      <c r="F88" s="7" t="s">
        <v>65</v>
      </c>
      <c r="G88" s="10" t="s">
        <v>65</v>
      </c>
      <c r="H88" s="7" t="s">
        <v>65</v>
      </c>
      <c r="I88" s="7" t="s">
        <v>65</v>
      </c>
    </row>
    <row r="89" spans="1:9" x14ac:dyDescent="0.25">
      <c r="A89" s="3" t="s">
        <v>178</v>
      </c>
      <c r="B89" s="4" t="s">
        <v>64</v>
      </c>
      <c r="C89" s="22" t="s">
        <v>65</v>
      </c>
      <c r="D89" s="4" t="s">
        <v>65</v>
      </c>
      <c r="E89" s="23" t="s">
        <v>65</v>
      </c>
      <c r="F89" s="7" t="s">
        <v>65</v>
      </c>
      <c r="G89" s="10" t="s">
        <v>65</v>
      </c>
      <c r="H89" s="7" t="s">
        <v>65</v>
      </c>
      <c r="I89" s="7" t="s">
        <v>65</v>
      </c>
    </row>
    <row r="90" spans="1:9" x14ac:dyDescent="0.25">
      <c r="A90" s="3" t="s">
        <v>179</v>
      </c>
      <c r="B90" s="4" t="s">
        <v>64</v>
      </c>
      <c r="C90" s="22" t="s">
        <v>14</v>
      </c>
      <c r="D90" s="4" t="s">
        <v>65</v>
      </c>
      <c r="E90" s="23" t="s">
        <v>65</v>
      </c>
      <c r="F90" s="7" t="s">
        <v>65</v>
      </c>
      <c r="G90" s="10" t="s">
        <v>65</v>
      </c>
      <c r="H90" s="7" t="s">
        <v>65</v>
      </c>
      <c r="I90" s="7" t="s">
        <v>65</v>
      </c>
    </row>
    <row r="91" spans="1:9" x14ac:dyDescent="0.25">
      <c r="A91" s="3" t="s">
        <v>180</v>
      </c>
      <c r="B91" s="4" t="s">
        <v>64</v>
      </c>
      <c r="C91" s="4" t="s">
        <v>14</v>
      </c>
      <c r="D91" s="4" t="s">
        <v>65</v>
      </c>
      <c r="E91" s="23" t="s">
        <v>65</v>
      </c>
      <c r="F91" s="7" t="s">
        <v>65</v>
      </c>
      <c r="G91" s="10" t="s">
        <v>65</v>
      </c>
      <c r="H91" s="7" t="s">
        <v>65</v>
      </c>
      <c r="I91" s="7" t="s">
        <v>65</v>
      </c>
    </row>
    <row r="92" spans="1:9" x14ac:dyDescent="0.25">
      <c r="A92" s="3" t="s">
        <v>181</v>
      </c>
      <c r="B92" s="4" t="s">
        <v>64</v>
      </c>
      <c r="C92" s="22" t="s">
        <v>14</v>
      </c>
      <c r="D92" s="4" t="s">
        <v>65</v>
      </c>
      <c r="E92" s="23" t="s">
        <v>65</v>
      </c>
      <c r="F92" s="7" t="s">
        <v>65</v>
      </c>
      <c r="G92" s="10" t="s">
        <v>65</v>
      </c>
      <c r="H92" s="7" t="s">
        <v>65</v>
      </c>
      <c r="I92" s="7" t="s">
        <v>65</v>
      </c>
    </row>
    <row r="93" spans="1:9" x14ac:dyDescent="0.25">
      <c r="A93" s="3" t="s">
        <v>182</v>
      </c>
      <c r="B93" s="4" t="s">
        <v>64</v>
      </c>
      <c r="C93" s="22" t="s">
        <v>14</v>
      </c>
      <c r="D93" s="4" t="s">
        <v>65</v>
      </c>
      <c r="E93" s="23" t="s">
        <v>65</v>
      </c>
      <c r="F93" s="7" t="s">
        <v>65</v>
      </c>
      <c r="G93" s="10" t="s">
        <v>65</v>
      </c>
      <c r="H93" s="7" t="s">
        <v>65</v>
      </c>
      <c r="I93" s="7" t="s">
        <v>65</v>
      </c>
    </row>
    <row r="94" spans="1:9" x14ac:dyDescent="0.25">
      <c r="A94" s="3" t="s">
        <v>183</v>
      </c>
      <c r="B94" s="4" t="s">
        <v>64</v>
      </c>
      <c r="C94" s="22" t="s">
        <v>14</v>
      </c>
      <c r="D94" s="4" t="s">
        <v>65</v>
      </c>
      <c r="E94" s="23" t="s">
        <v>65</v>
      </c>
      <c r="F94" s="7" t="s">
        <v>65</v>
      </c>
      <c r="G94" s="10" t="s">
        <v>65</v>
      </c>
      <c r="H94" s="7" t="s">
        <v>65</v>
      </c>
      <c r="I94" s="7" t="s">
        <v>65</v>
      </c>
    </row>
    <row r="95" spans="1:9" x14ac:dyDescent="0.25">
      <c r="A95" s="3" t="s">
        <v>184</v>
      </c>
      <c r="B95" s="4" t="s">
        <v>64</v>
      </c>
      <c r="C95" s="22" t="s">
        <v>14</v>
      </c>
      <c r="D95" s="4" t="s">
        <v>65</v>
      </c>
      <c r="E95" s="23" t="s">
        <v>65</v>
      </c>
      <c r="F95" s="7" t="s">
        <v>65</v>
      </c>
      <c r="G95" s="10" t="s">
        <v>65</v>
      </c>
      <c r="H95" s="7" t="s">
        <v>65</v>
      </c>
      <c r="I95" s="7" t="s">
        <v>65</v>
      </c>
    </row>
    <row r="96" spans="1:9" x14ac:dyDescent="0.25">
      <c r="A96" s="3" t="s">
        <v>185</v>
      </c>
      <c r="B96" s="4" t="s">
        <v>64</v>
      </c>
      <c r="C96" s="22" t="s">
        <v>12</v>
      </c>
      <c r="D96" s="4" t="s">
        <v>186</v>
      </c>
      <c r="E96" s="23" t="s">
        <v>12</v>
      </c>
      <c r="F96" s="5">
        <v>42235</v>
      </c>
      <c r="G96" s="28" t="s">
        <v>187</v>
      </c>
      <c r="H96" s="7" t="s">
        <v>188</v>
      </c>
      <c r="I96" s="8" t="s">
        <v>189</v>
      </c>
    </row>
    <row r="97" spans="1:9" x14ac:dyDescent="0.25">
      <c r="A97" s="3" t="s">
        <v>185</v>
      </c>
      <c r="B97" s="4" t="s">
        <v>64</v>
      </c>
      <c r="C97" s="22" t="s">
        <v>12</v>
      </c>
      <c r="D97" s="4" t="s">
        <v>186</v>
      </c>
      <c r="E97" s="23" t="s">
        <v>12</v>
      </c>
      <c r="F97" s="5">
        <v>42235</v>
      </c>
      <c r="G97" s="28" t="s">
        <v>190</v>
      </c>
      <c r="H97" s="7" t="s">
        <v>188</v>
      </c>
      <c r="I97" s="8" t="s">
        <v>191</v>
      </c>
    </row>
    <row r="98" spans="1:9" x14ac:dyDescent="0.25">
      <c r="A98" s="3" t="s">
        <v>185</v>
      </c>
      <c r="B98" s="4" t="s">
        <v>64</v>
      </c>
      <c r="C98" s="22" t="s">
        <v>12</v>
      </c>
      <c r="D98" s="4" t="s">
        <v>186</v>
      </c>
      <c r="E98" s="23" t="s">
        <v>12</v>
      </c>
      <c r="F98" s="5">
        <v>42235</v>
      </c>
      <c r="G98" s="28" t="s">
        <v>192</v>
      </c>
      <c r="H98" s="7" t="s">
        <v>188</v>
      </c>
      <c r="I98" s="8" t="s">
        <v>193</v>
      </c>
    </row>
    <row r="99" spans="1:9" x14ac:dyDescent="0.25">
      <c r="A99" s="3" t="s">
        <v>185</v>
      </c>
      <c r="B99" s="4" t="s">
        <v>64</v>
      </c>
      <c r="C99" s="22" t="s">
        <v>12</v>
      </c>
      <c r="D99" s="4" t="s">
        <v>186</v>
      </c>
      <c r="E99" s="23" t="s">
        <v>12</v>
      </c>
      <c r="F99" s="5">
        <v>42235</v>
      </c>
      <c r="G99" s="28" t="s">
        <v>194</v>
      </c>
      <c r="H99" s="7" t="s">
        <v>188</v>
      </c>
      <c r="I99" s="8" t="s">
        <v>193</v>
      </c>
    </row>
    <row r="100" spans="1:9" x14ac:dyDescent="0.25">
      <c r="A100" s="3" t="s">
        <v>185</v>
      </c>
      <c r="B100" s="4" t="s">
        <v>64</v>
      </c>
      <c r="C100" s="22" t="s">
        <v>12</v>
      </c>
      <c r="D100" s="4" t="s">
        <v>186</v>
      </c>
      <c r="E100" s="23" t="s">
        <v>12</v>
      </c>
      <c r="F100" s="5">
        <v>42235</v>
      </c>
      <c r="G100" s="28" t="s">
        <v>149</v>
      </c>
      <c r="H100" s="7" t="s">
        <v>188</v>
      </c>
      <c r="I100" s="8" t="s">
        <v>195</v>
      </c>
    </row>
    <row r="101" spans="1:9" x14ac:dyDescent="0.25">
      <c r="A101" s="3" t="s">
        <v>185</v>
      </c>
      <c r="B101" s="4" t="s">
        <v>64</v>
      </c>
      <c r="C101" s="22" t="s">
        <v>12</v>
      </c>
      <c r="D101" s="4" t="s">
        <v>196</v>
      </c>
      <c r="E101" s="23" t="s">
        <v>12</v>
      </c>
      <c r="F101" s="5">
        <v>42239</v>
      </c>
      <c r="G101" s="28" t="s">
        <v>149</v>
      </c>
      <c r="H101" s="7" t="s">
        <v>188</v>
      </c>
      <c r="I101" s="8" t="s">
        <v>197</v>
      </c>
    </row>
    <row r="102" spans="1:9" x14ac:dyDescent="0.25">
      <c r="A102" s="3" t="s">
        <v>185</v>
      </c>
      <c r="B102" s="4" t="s">
        <v>64</v>
      </c>
      <c r="C102" s="22" t="s">
        <v>12</v>
      </c>
      <c r="D102" s="4" t="s">
        <v>196</v>
      </c>
      <c r="E102" s="23" t="s">
        <v>12</v>
      </c>
      <c r="F102" s="5">
        <v>42239</v>
      </c>
      <c r="G102" s="28" t="s">
        <v>198</v>
      </c>
      <c r="H102" s="7" t="s">
        <v>199</v>
      </c>
      <c r="I102" s="8" t="s">
        <v>30</v>
      </c>
    </row>
    <row r="103" spans="1:9" x14ac:dyDescent="0.25">
      <c r="A103" s="3" t="s">
        <v>185</v>
      </c>
      <c r="B103" s="4" t="s">
        <v>64</v>
      </c>
      <c r="C103" s="22" t="s">
        <v>12</v>
      </c>
      <c r="D103" s="4" t="s">
        <v>196</v>
      </c>
      <c r="E103" s="23" t="s">
        <v>12</v>
      </c>
      <c r="F103" s="5">
        <v>42239</v>
      </c>
      <c r="G103" s="28" t="s">
        <v>200</v>
      </c>
      <c r="H103" s="7" t="s">
        <v>113</v>
      </c>
      <c r="I103" s="8" t="s">
        <v>201</v>
      </c>
    </row>
    <row r="104" spans="1:9" x14ac:dyDescent="0.25">
      <c r="A104" s="3" t="s">
        <v>185</v>
      </c>
      <c r="B104" s="4" t="s">
        <v>64</v>
      </c>
      <c r="C104" s="22" t="s">
        <v>12</v>
      </c>
      <c r="D104" s="4" t="s">
        <v>196</v>
      </c>
      <c r="E104" s="23" t="s">
        <v>12</v>
      </c>
      <c r="F104" s="5">
        <v>42239</v>
      </c>
      <c r="G104" s="28" t="s">
        <v>202</v>
      </c>
      <c r="H104" s="7" t="s">
        <v>188</v>
      </c>
      <c r="I104" s="8" t="s">
        <v>203</v>
      </c>
    </row>
    <row r="105" spans="1:9" x14ac:dyDescent="0.25">
      <c r="A105" s="3" t="s">
        <v>185</v>
      </c>
      <c r="B105" s="4" t="s">
        <v>64</v>
      </c>
      <c r="C105" s="22" t="s">
        <v>12</v>
      </c>
      <c r="D105" s="4" t="s">
        <v>196</v>
      </c>
      <c r="E105" s="23" t="s">
        <v>12</v>
      </c>
      <c r="F105" s="5">
        <v>42239</v>
      </c>
      <c r="G105" s="28" t="s">
        <v>126</v>
      </c>
      <c r="H105" s="7" t="s">
        <v>188</v>
      </c>
      <c r="I105" s="8" t="s">
        <v>204</v>
      </c>
    </row>
    <row r="106" spans="1:9" x14ac:dyDescent="0.25">
      <c r="A106" s="3" t="s">
        <v>185</v>
      </c>
      <c r="B106" s="4" t="s">
        <v>64</v>
      </c>
      <c r="C106" s="22" t="s">
        <v>12</v>
      </c>
      <c r="D106" s="4" t="s">
        <v>196</v>
      </c>
      <c r="E106" s="23" t="s">
        <v>12</v>
      </c>
      <c r="F106" s="5">
        <v>42239</v>
      </c>
      <c r="G106" s="28" t="s">
        <v>205</v>
      </c>
      <c r="H106" s="7" t="s">
        <v>188</v>
      </c>
      <c r="I106" s="8" t="s">
        <v>206</v>
      </c>
    </row>
    <row r="107" spans="1:9" x14ac:dyDescent="0.25">
      <c r="A107" s="3" t="s">
        <v>185</v>
      </c>
      <c r="B107" s="4" t="s">
        <v>64</v>
      </c>
      <c r="C107" s="22" t="s">
        <v>12</v>
      </c>
      <c r="D107" s="4" t="s">
        <v>196</v>
      </c>
      <c r="E107" s="23" t="s">
        <v>12</v>
      </c>
      <c r="F107" s="5">
        <v>42239</v>
      </c>
      <c r="G107" s="28" t="s">
        <v>207</v>
      </c>
      <c r="H107" s="7" t="s">
        <v>188</v>
      </c>
      <c r="I107" s="8" t="s">
        <v>208</v>
      </c>
    </row>
    <row r="108" spans="1:9" x14ac:dyDescent="0.25">
      <c r="A108" s="3" t="s">
        <v>209</v>
      </c>
      <c r="B108" s="4" t="s">
        <v>64</v>
      </c>
      <c r="C108" s="22" t="s">
        <v>14</v>
      </c>
      <c r="D108" s="4" t="s">
        <v>65</v>
      </c>
      <c r="E108" s="23" t="s">
        <v>65</v>
      </c>
      <c r="F108" s="7" t="s">
        <v>65</v>
      </c>
      <c r="G108" s="10" t="s">
        <v>65</v>
      </c>
      <c r="H108" s="7" t="s">
        <v>65</v>
      </c>
      <c r="I108" s="7" t="s">
        <v>65</v>
      </c>
    </row>
    <row r="109" spans="1:9" x14ac:dyDescent="0.25">
      <c r="A109" s="3" t="s">
        <v>210</v>
      </c>
      <c r="B109" s="4" t="s">
        <v>64</v>
      </c>
      <c r="C109" s="22" t="s">
        <v>14</v>
      </c>
      <c r="D109" s="4" t="s">
        <v>65</v>
      </c>
      <c r="E109" s="23" t="s">
        <v>65</v>
      </c>
      <c r="F109" s="7" t="s">
        <v>65</v>
      </c>
      <c r="G109" s="10" t="s">
        <v>65</v>
      </c>
      <c r="H109" s="7" t="s">
        <v>65</v>
      </c>
      <c r="I109" s="7" t="s">
        <v>65</v>
      </c>
    </row>
    <row r="110" spans="1:9" x14ac:dyDescent="0.25">
      <c r="A110" s="3" t="s">
        <v>211</v>
      </c>
      <c r="B110" s="4" t="s">
        <v>64</v>
      </c>
      <c r="C110" s="22" t="s">
        <v>12</v>
      </c>
      <c r="D110" s="4" t="s">
        <v>212</v>
      </c>
      <c r="E110" s="23" t="s">
        <v>14</v>
      </c>
      <c r="F110" s="5">
        <v>42139</v>
      </c>
      <c r="G110" s="28" t="s">
        <v>213</v>
      </c>
      <c r="H110" s="7" t="s">
        <v>53</v>
      </c>
      <c r="I110" s="8" t="s">
        <v>214</v>
      </c>
    </row>
    <row r="111" spans="1:9" x14ac:dyDescent="0.25">
      <c r="A111" s="3" t="s">
        <v>211</v>
      </c>
      <c r="B111" s="4" t="s">
        <v>64</v>
      </c>
      <c r="C111" s="22" t="s">
        <v>12</v>
      </c>
      <c r="D111" s="4" t="s">
        <v>212</v>
      </c>
      <c r="E111" s="23" t="s">
        <v>14</v>
      </c>
      <c r="F111" s="5">
        <v>42139</v>
      </c>
      <c r="G111" s="28" t="s">
        <v>215</v>
      </c>
      <c r="H111" s="7" t="s">
        <v>128</v>
      </c>
      <c r="I111" s="8" t="s">
        <v>216</v>
      </c>
    </row>
    <row r="112" spans="1:9" x14ac:dyDescent="0.25">
      <c r="A112" s="3" t="s">
        <v>217</v>
      </c>
      <c r="B112" s="4" t="s">
        <v>64</v>
      </c>
      <c r="C112" s="22" t="s">
        <v>12</v>
      </c>
      <c r="D112" s="4" t="s">
        <v>218</v>
      </c>
      <c r="E112" s="23" t="s">
        <v>14</v>
      </c>
      <c r="F112" s="5">
        <v>42139</v>
      </c>
      <c r="G112" s="28" t="s">
        <v>219</v>
      </c>
      <c r="H112" s="7" t="s">
        <v>53</v>
      </c>
      <c r="I112" s="8" t="s">
        <v>220</v>
      </c>
    </row>
    <row r="113" spans="1:9" x14ac:dyDescent="0.25">
      <c r="A113" s="3" t="s">
        <v>217</v>
      </c>
      <c r="B113" s="4" t="s">
        <v>64</v>
      </c>
      <c r="C113" s="22" t="s">
        <v>12</v>
      </c>
      <c r="D113" s="4" t="s">
        <v>218</v>
      </c>
      <c r="E113" s="23" t="s">
        <v>14</v>
      </c>
      <c r="F113" s="5">
        <v>42139</v>
      </c>
      <c r="G113" s="28" t="s">
        <v>215</v>
      </c>
      <c r="H113" s="7" t="s">
        <v>128</v>
      </c>
      <c r="I113" s="8" t="s">
        <v>221</v>
      </c>
    </row>
    <row r="114" spans="1:9" x14ac:dyDescent="0.25">
      <c r="A114" s="3" t="s">
        <v>217</v>
      </c>
      <c r="B114" s="4" t="s">
        <v>64</v>
      </c>
      <c r="C114" s="22" t="s">
        <v>12</v>
      </c>
      <c r="D114" s="4" t="s">
        <v>222</v>
      </c>
      <c r="E114" s="23" t="s">
        <v>14</v>
      </c>
      <c r="F114" s="5">
        <v>42169</v>
      </c>
      <c r="G114" s="28" t="s">
        <v>223</v>
      </c>
      <c r="H114" s="7" t="s">
        <v>123</v>
      </c>
      <c r="I114" s="8" t="s">
        <v>224</v>
      </c>
    </row>
    <row r="115" spans="1:9" x14ac:dyDescent="0.25">
      <c r="A115" s="3" t="s">
        <v>217</v>
      </c>
      <c r="B115" s="4" t="s">
        <v>64</v>
      </c>
      <c r="C115" s="22" t="s">
        <v>12</v>
      </c>
      <c r="D115" s="4" t="s">
        <v>222</v>
      </c>
      <c r="E115" s="23" t="s">
        <v>14</v>
      </c>
      <c r="F115" s="5">
        <v>42169</v>
      </c>
      <c r="G115" s="28" t="s">
        <v>131</v>
      </c>
      <c r="H115" s="7" t="s">
        <v>123</v>
      </c>
      <c r="I115" s="7" t="s">
        <v>65</v>
      </c>
    </row>
    <row r="116" spans="1:9" x14ac:dyDescent="0.25">
      <c r="A116" s="3" t="s">
        <v>217</v>
      </c>
      <c r="B116" s="4" t="s">
        <v>64</v>
      </c>
      <c r="C116" s="22" t="s">
        <v>12</v>
      </c>
      <c r="D116" s="4" t="s">
        <v>222</v>
      </c>
      <c r="E116" s="23" t="s">
        <v>14</v>
      </c>
      <c r="F116" s="5">
        <v>42169</v>
      </c>
      <c r="G116" s="28" t="s">
        <v>225</v>
      </c>
      <c r="H116" s="7" t="s">
        <v>123</v>
      </c>
      <c r="I116" s="8" t="s">
        <v>226</v>
      </c>
    </row>
    <row r="117" spans="1:9" x14ac:dyDescent="0.25">
      <c r="A117" s="3" t="s">
        <v>217</v>
      </c>
      <c r="B117" s="4" t="s">
        <v>64</v>
      </c>
      <c r="C117" s="22" t="s">
        <v>12</v>
      </c>
      <c r="D117" s="4" t="s">
        <v>222</v>
      </c>
      <c r="E117" s="23" t="s">
        <v>14</v>
      </c>
      <c r="F117" s="5">
        <v>42169</v>
      </c>
      <c r="G117" s="28" t="s">
        <v>227</v>
      </c>
      <c r="H117" s="7" t="s">
        <v>123</v>
      </c>
      <c r="I117" s="7" t="s">
        <v>65</v>
      </c>
    </row>
    <row r="118" spans="1:9" x14ac:dyDescent="0.25">
      <c r="A118" s="3" t="s">
        <v>217</v>
      </c>
      <c r="B118" s="4" t="s">
        <v>64</v>
      </c>
      <c r="C118" s="22" t="s">
        <v>12</v>
      </c>
      <c r="D118" s="4" t="s">
        <v>222</v>
      </c>
      <c r="E118" s="23" t="s">
        <v>14</v>
      </c>
      <c r="F118" s="5">
        <v>42169</v>
      </c>
      <c r="G118" s="28" t="s">
        <v>228</v>
      </c>
      <c r="H118" s="7" t="s">
        <v>123</v>
      </c>
      <c r="I118" s="8" t="s">
        <v>226</v>
      </c>
    </row>
    <row r="119" spans="1:9" x14ac:dyDescent="0.25">
      <c r="A119" s="3" t="s">
        <v>217</v>
      </c>
      <c r="B119" s="4" t="s">
        <v>64</v>
      </c>
      <c r="C119" s="22" t="s">
        <v>12</v>
      </c>
      <c r="D119" s="4" t="s">
        <v>222</v>
      </c>
      <c r="E119" s="23" t="s">
        <v>14</v>
      </c>
      <c r="F119" s="5">
        <v>42169</v>
      </c>
      <c r="G119" s="28" t="s">
        <v>229</v>
      </c>
      <c r="H119" s="7" t="s">
        <v>123</v>
      </c>
      <c r="I119" s="8" t="s">
        <v>230</v>
      </c>
    </row>
    <row r="120" spans="1:9" x14ac:dyDescent="0.25">
      <c r="A120" s="3" t="s">
        <v>217</v>
      </c>
      <c r="B120" s="4" t="s">
        <v>64</v>
      </c>
      <c r="C120" s="22" t="s">
        <v>12</v>
      </c>
      <c r="D120" s="4" t="s">
        <v>222</v>
      </c>
      <c r="E120" s="23" t="s">
        <v>14</v>
      </c>
      <c r="F120" s="5">
        <v>42169</v>
      </c>
      <c r="G120" s="28" t="s">
        <v>231</v>
      </c>
      <c r="H120" s="7" t="s">
        <v>123</v>
      </c>
      <c r="I120" s="7" t="s">
        <v>65</v>
      </c>
    </row>
    <row r="121" spans="1:9" x14ac:dyDescent="0.25">
      <c r="A121" s="3" t="s">
        <v>217</v>
      </c>
      <c r="B121" s="4" t="s">
        <v>64</v>
      </c>
      <c r="C121" s="22" t="s">
        <v>12</v>
      </c>
      <c r="D121" s="4" t="s">
        <v>222</v>
      </c>
      <c r="E121" s="23" t="s">
        <v>14</v>
      </c>
      <c r="F121" s="5">
        <v>42169</v>
      </c>
      <c r="G121" s="28" t="s">
        <v>232</v>
      </c>
      <c r="H121" s="7" t="s">
        <v>123</v>
      </c>
      <c r="I121" s="7" t="s">
        <v>65</v>
      </c>
    </row>
    <row r="122" spans="1:9" x14ac:dyDescent="0.25">
      <c r="A122" s="3" t="s">
        <v>217</v>
      </c>
      <c r="B122" s="4" t="s">
        <v>64</v>
      </c>
      <c r="C122" s="22" t="s">
        <v>12</v>
      </c>
      <c r="D122" s="4" t="s">
        <v>222</v>
      </c>
      <c r="E122" s="23" t="s">
        <v>14</v>
      </c>
      <c r="F122" s="5">
        <v>42169</v>
      </c>
      <c r="G122" s="28" t="s">
        <v>233</v>
      </c>
      <c r="H122" s="7" t="s">
        <v>123</v>
      </c>
      <c r="I122" s="7" t="s">
        <v>65</v>
      </c>
    </row>
    <row r="123" spans="1:9" x14ac:dyDescent="0.25">
      <c r="A123" s="3" t="s">
        <v>217</v>
      </c>
      <c r="B123" s="4" t="s">
        <v>64</v>
      </c>
      <c r="C123" s="22" t="s">
        <v>12</v>
      </c>
      <c r="D123" s="4" t="s">
        <v>222</v>
      </c>
      <c r="E123" s="23" t="s">
        <v>14</v>
      </c>
      <c r="F123" s="5">
        <v>42169</v>
      </c>
      <c r="G123" s="28" t="s">
        <v>234</v>
      </c>
      <c r="H123" s="7" t="s">
        <v>123</v>
      </c>
      <c r="I123" s="7" t="s">
        <v>65</v>
      </c>
    </row>
    <row r="124" spans="1:9" x14ac:dyDescent="0.25">
      <c r="A124" s="3" t="s">
        <v>235</v>
      </c>
      <c r="B124" s="4" t="s">
        <v>236</v>
      </c>
      <c r="C124" s="4" t="s">
        <v>237</v>
      </c>
      <c r="D124" s="4" t="s">
        <v>65</v>
      </c>
      <c r="E124" s="23" t="s">
        <v>65</v>
      </c>
      <c r="F124" s="7" t="s">
        <v>65</v>
      </c>
      <c r="G124" s="29" t="s">
        <v>65</v>
      </c>
      <c r="H124" s="7" t="s">
        <v>65</v>
      </c>
      <c r="I124" s="7" t="s">
        <v>65</v>
      </c>
    </row>
    <row r="125" spans="1:9" x14ac:dyDescent="0.25">
      <c r="A125" s="3" t="s">
        <v>238</v>
      </c>
      <c r="B125" s="4" t="s">
        <v>236</v>
      </c>
      <c r="C125" s="4" t="s">
        <v>237</v>
      </c>
      <c r="D125" s="4" t="s">
        <v>65</v>
      </c>
      <c r="E125" s="30" t="s">
        <v>65</v>
      </c>
      <c r="F125" s="7" t="s">
        <v>65</v>
      </c>
      <c r="G125" s="29" t="s">
        <v>65</v>
      </c>
      <c r="H125" s="7" t="s">
        <v>65</v>
      </c>
      <c r="I125" s="7" t="s">
        <v>65</v>
      </c>
    </row>
    <row r="126" spans="1:9" x14ac:dyDescent="0.25">
      <c r="A126" s="3" t="s">
        <v>239</v>
      </c>
      <c r="B126" s="4" t="s">
        <v>236</v>
      </c>
      <c r="C126" s="4" t="s">
        <v>237</v>
      </c>
      <c r="D126" s="4" t="s">
        <v>65</v>
      </c>
      <c r="E126" s="30" t="s">
        <v>65</v>
      </c>
      <c r="F126" s="7" t="s">
        <v>65</v>
      </c>
      <c r="G126" s="29" t="s">
        <v>65</v>
      </c>
      <c r="H126" s="7" t="s">
        <v>65</v>
      </c>
      <c r="I126" s="7" t="s">
        <v>65</v>
      </c>
    </row>
    <row r="127" spans="1:9" x14ac:dyDescent="0.25">
      <c r="A127" s="3" t="s">
        <v>240</v>
      </c>
      <c r="B127" s="4" t="s">
        <v>236</v>
      </c>
      <c r="C127" s="4" t="s">
        <v>237</v>
      </c>
      <c r="D127" s="4" t="s">
        <v>65</v>
      </c>
      <c r="E127" s="30" t="s">
        <v>65</v>
      </c>
      <c r="F127" s="7" t="s">
        <v>65</v>
      </c>
      <c r="G127" s="29" t="s">
        <v>65</v>
      </c>
      <c r="H127" s="31" t="s">
        <v>65</v>
      </c>
      <c r="I127" s="31" t="s">
        <v>65</v>
      </c>
    </row>
    <row r="128" spans="1:9" x14ac:dyDescent="0.25">
      <c r="A128" s="32" t="s">
        <v>241</v>
      </c>
      <c r="B128" s="33" t="s">
        <v>236</v>
      </c>
      <c r="C128" s="34" t="s">
        <v>12</v>
      </c>
      <c r="D128" s="3" t="s">
        <v>242</v>
      </c>
      <c r="E128" s="35" t="s">
        <v>14</v>
      </c>
      <c r="F128" s="36">
        <v>42241</v>
      </c>
      <c r="G128" s="28" t="s">
        <v>243</v>
      </c>
      <c r="H128" s="31" t="s">
        <v>244</v>
      </c>
      <c r="I128" s="37" t="s">
        <v>245</v>
      </c>
    </row>
    <row r="129" spans="1:9" x14ac:dyDescent="0.25">
      <c r="A129" s="32" t="s">
        <v>241</v>
      </c>
      <c r="B129" s="33" t="s">
        <v>236</v>
      </c>
      <c r="C129" s="34" t="s">
        <v>12</v>
      </c>
      <c r="D129" s="3" t="s">
        <v>242</v>
      </c>
      <c r="E129" s="35" t="s">
        <v>14</v>
      </c>
      <c r="F129" s="36">
        <v>42241</v>
      </c>
      <c r="G129" s="28" t="s">
        <v>246</v>
      </c>
      <c r="H129" s="31" t="s">
        <v>247</v>
      </c>
      <c r="I129" s="37" t="s">
        <v>248</v>
      </c>
    </row>
    <row r="130" spans="1:9" x14ac:dyDescent="0.25">
      <c r="A130" s="32" t="s">
        <v>241</v>
      </c>
      <c r="B130" s="33" t="s">
        <v>236</v>
      </c>
      <c r="C130" s="34" t="s">
        <v>12</v>
      </c>
      <c r="D130" s="3" t="s">
        <v>242</v>
      </c>
      <c r="E130" s="35" t="s">
        <v>14</v>
      </c>
      <c r="F130" s="36">
        <v>42241</v>
      </c>
      <c r="G130" s="28" t="s">
        <v>79</v>
      </c>
      <c r="H130" s="31" t="s">
        <v>249</v>
      </c>
      <c r="I130" s="37" t="s">
        <v>250</v>
      </c>
    </row>
    <row r="131" spans="1:9" x14ac:dyDescent="0.25">
      <c r="A131" s="3" t="s">
        <v>251</v>
      </c>
      <c r="B131" s="4" t="s">
        <v>236</v>
      </c>
      <c r="C131" s="33" t="s">
        <v>12</v>
      </c>
      <c r="D131" s="4" t="s">
        <v>252</v>
      </c>
      <c r="E131" s="4" t="s">
        <v>14</v>
      </c>
      <c r="F131" s="12">
        <v>42347</v>
      </c>
      <c r="G131" s="38" t="s">
        <v>253</v>
      </c>
      <c r="H131" s="16" t="s">
        <v>254</v>
      </c>
      <c r="I131" s="18" t="s">
        <v>255</v>
      </c>
    </row>
    <row r="132" spans="1:9" ht="30" x14ac:dyDescent="0.25">
      <c r="A132" s="3" t="s">
        <v>251</v>
      </c>
      <c r="B132" s="4" t="s">
        <v>236</v>
      </c>
      <c r="C132" s="33" t="s">
        <v>12</v>
      </c>
      <c r="D132" s="4" t="s">
        <v>252</v>
      </c>
      <c r="E132" s="4" t="s">
        <v>14</v>
      </c>
      <c r="F132" s="12">
        <v>42347</v>
      </c>
      <c r="G132" s="38" t="s">
        <v>256</v>
      </c>
      <c r="H132" s="16" t="s">
        <v>257</v>
      </c>
      <c r="I132" s="18" t="s">
        <v>258</v>
      </c>
    </row>
    <row r="133" spans="1:9" ht="30" x14ac:dyDescent="0.25">
      <c r="A133" s="3" t="s">
        <v>251</v>
      </c>
      <c r="B133" s="4" t="s">
        <v>236</v>
      </c>
      <c r="C133" s="33" t="s">
        <v>12</v>
      </c>
      <c r="D133" s="4" t="s">
        <v>252</v>
      </c>
      <c r="E133" s="4" t="s">
        <v>14</v>
      </c>
      <c r="F133" s="12">
        <v>42347</v>
      </c>
      <c r="G133" s="38" t="s">
        <v>253</v>
      </c>
      <c r="H133" s="16" t="s">
        <v>259</v>
      </c>
      <c r="I133" s="18" t="s">
        <v>260</v>
      </c>
    </row>
    <row r="134" spans="1:9" ht="30" x14ac:dyDescent="0.25">
      <c r="A134" s="3" t="s">
        <v>251</v>
      </c>
      <c r="B134" s="4" t="s">
        <v>236</v>
      </c>
      <c r="C134" s="33" t="s">
        <v>12</v>
      </c>
      <c r="D134" s="4" t="s">
        <v>252</v>
      </c>
      <c r="E134" s="4" t="s">
        <v>14</v>
      </c>
      <c r="F134" s="12">
        <v>42347</v>
      </c>
      <c r="G134" s="38" t="s">
        <v>261</v>
      </c>
      <c r="H134" s="16" t="s">
        <v>262</v>
      </c>
      <c r="I134" s="18" t="s">
        <v>260</v>
      </c>
    </row>
    <row r="135" spans="1:9" x14ac:dyDescent="0.25">
      <c r="A135" s="3" t="s">
        <v>263</v>
      </c>
      <c r="B135" s="4" t="s">
        <v>236</v>
      </c>
      <c r="C135" s="33" t="s">
        <v>12</v>
      </c>
      <c r="D135" s="4" t="s">
        <v>252</v>
      </c>
      <c r="E135" s="4" t="s">
        <v>14</v>
      </c>
      <c r="F135" s="12">
        <v>42347</v>
      </c>
      <c r="G135" s="38" t="s">
        <v>253</v>
      </c>
      <c r="H135" s="16" t="s">
        <v>254</v>
      </c>
      <c r="I135" s="18" t="s">
        <v>255</v>
      </c>
    </row>
    <row r="136" spans="1:9" ht="30" x14ac:dyDescent="0.25">
      <c r="A136" s="3" t="s">
        <v>263</v>
      </c>
      <c r="B136" s="4" t="s">
        <v>236</v>
      </c>
      <c r="C136" s="33" t="s">
        <v>12</v>
      </c>
      <c r="D136" s="4" t="s">
        <v>252</v>
      </c>
      <c r="E136" s="4" t="s">
        <v>14</v>
      </c>
      <c r="F136" s="12">
        <v>42347</v>
      </c>
      <c r="G136" s="38" t="s">
        <v>256</v>
      </c>
      <c r="H136" s="16" t="s">
        <v>257</v>
      </c>
      <c r="I136" s="18" t="s">
        <v>258</v>
      </c>
    </row>
    <row r="137" spans="1:9" ht="30" x14ac:dyDescent="0.25">
      <c r="A137" s="3" t="s">
        <v>263</v>
      </c>
      <c r="B137" s="4" t="s">
        <v>236</v>
      </c>
      <c r="C137" s="33" t="s">
        <v>12</v>
      </c>
      <c r="D137" s="4" t="s">
        <v>252</v>
      </c>
      <c r="E137" s="4" t="s">
        <v>14</v>
      </c>
      <c r="F137" s="12">
        <v>42347</v>
      </c>
      <c r="G137" s="38" t="s">
        <v>253</v>
      </c>
      <c r="H137" s="16" t="s">
        <v>259</v>
      </c>
      <c r="I137" s="18" t="s">
        <v>260</v>
      </c>
    </row>
    <row r="138" spans="1:9" ht="30" x14ac:dyDescent="0.25">
      <c r="A138" s="3" t="s">
        <v>263</v>
      </c>
      <c r="B138" s="4" t="s">
        <v>236</v>
      </c>
      <c r="C138" s="33" t="s">
        <v>12</v>
      </c>
      <c r="D138" s="4" t="s">
        <v>252</v>
      </c>
      <c r="E138" s="4" t="s">
        <v>14</v>
      </c>
      <c r="F138" s="12">
        <v>42347</v>
      </c>
      <c r="G138" s="38" t="s">
        <v>261</v>
      </c>
      <c r="H138" s="16" t="s">
        <v>262</v>
      </c>
      <c r="I138" s="18" t="s">
        <v>260</v>
      </c>
    </row>
    <row r="139" spans="1:9" x14ac:dyDescent="0.25">
      <c r="A139" s="39" t="s">
        <v>264</v>
      </c>
      <c r="B139" s="40" t="s">
        <v>236</v>
      </c>
      <c r="C139" s="40" t="s">
        <v>12</v>
      </c>
      <c r="D139" s="4" t="s">
        <v>265</v>
      </c>
      <c r="E139" s="4" t="s">
        <v>14</v>
      </c>
      <c r="F139" s="41">
        <v>42041</v>
      </c>
      <c r="G139" s="38" t="s">
        <v>266</v>
      </c>
      <c r="H139" s="4" t="s">
        <v>267</v>
      </c>
      <c r="I139" s="3" t="s">
        <v>268</v>
      </c>
    </row>
    <row r="140" spans="1:9" x14ac:dyDescent="0.25">
      <c r="A140" s="39" t="s">
        <v>264</v>
      </c>
      <c r="B140" s="40" t="s">
        <v>236</v>
      </c>
      <c r="C140" s="40" t="s">
        <v>12</v>
      </c>
      <c r="D140" s="40" t="s">
        <v>269</v>
      </c>
      <c r="E140" s="40" t="s">
        <v>14</v>
      </c>
      <c r="F140" s="42">
        <v>42041</v>
      </c>
      <c r="G140" s="38" t="s">
        <v>270</v>
      </c>
      <c r="H140" s="4" t="s">
        <v>271</v>
      </c>
      <c r="I140" s="3" t="s">
        <v>272</v>
      </c>
    </row>
    <row r="141" spans="1:9" x14ac:dyDescent="0.25">
      <c r="A141" s="39" t="s">
        <v>264</v>
      </c>
      <c r="B141" s="40" t="s">
        <v>236</v>
      </c>
      <c r="C141" s="40" t="s">
        <v>12</v>
      </c>
      <c r="D141" s="40" t="s">
        <v>269</v>
      </c>
      <c r="E141" s="40" t="s">
        <v>14</v>
      </c>
      <c r="F141" s="42">
        <v>42041</v>
      </c>
      <c r="G141" s="38" t="s">
        <v>273</v>
      </c>
      <c r="H141" s="4" t="s">
        <v>274</v>
      </c>
      <c r="I141" s="3" t="s">
        <v>272</v>
      </c>
    </row>
    <row r="142" spans="1:9" x14ac:dyDescent="0.25">
      <c r="A142" s="39" t="s">
        <v>264</v>
      </c>
      <c r="B142" s="40" t="s">
        <v>236</v>
      </c>
      <c r="C142" s="40" t="s">
        <v>12</v>
      </c>
      <c r="D142" s="40" t="s">
        <v>269</v>
      </c>
      <c r="E142" s="40" t="s">
        <v>14</v>
      </c>
      <c r="F142" s="42">
        <v>42041</v>
      </c>
      <c r="G142" s="38" t="s">
        <v>275</v>
      </c>
      <c r="H142" s="4" t="s">
        <v>274</v>
      </c>
      <c r="I142" s="3" t="s">
        <v>272</v>
      </c>
    </row>
    <row r="143" spans="1:9" ht="38.25" x14ac:dyDescent="0.25">
      <c r="A143" s="32" t="s">
        <v>583</v>
      </c>
      <c r="B143" s="33" t="s">
        <v>236</v>
      </c>
      <c r="C143" s="34" t="s">
        <v>12</v>
      </c>
      <c r="D143" s="43" t="s">
        <v>276</v>
      </c>
      <c r="E143" s="40" t="s">
        <v>14</v>
      </c>
      <c r="F143" s="36">
        <v>42186</v>
      </c>
      <c r="G143" s="28" t="s">
        <v>277</v>
      </c>
      <c r="H143" s="31" t="s">
        <v>125</v>
      </c>
      <c r="I143" s="37">
        <v>4370</v>
      </c>
    </row>
    <row r="144" spans="1:9" ht="38.25" x14ac:dyDescent="0.25">
      <c r="A144" s="32" t="s">
        <v>583</v>
      </c>
      <c r="B144" s="33" t="s">
        <v>236</v>
      </c>
      <c r="C144" s="34" t="s">
        <v>12</v>
      </c>
      <c r="D144" s="43" t="s">
        <v>276</v>
      </c>
      <c r="E144" s="40" t="s">
        <v>14</v>
      </c>
      <c r="F144" s="36">
        <v>42186</v>
      </c>
      <c r="G144" s="28" t="s">
        <v>278</v>
      </c>
      <c r="H144" s="31" t="s">
        <v>125</v>
      </c>
      <c r="I144" s="31" t="s">
        <v>65</v>
      </c>
    </row>
    <row r="145" spans="1:9" ht="38.25" x14ac:dyDescent="0.25">
      <c r="A145" s="32" t="s">
        <v>583</v>
      </c>
      <c r="B145" s="33" t="s">
        <v>236</v>
      </c>
      <c r="C145" s="34" t="s">
        <v>12</v>
      </c>
      <c r="D145" s="43" t="s">
        <v>276</v>
      </c>
      <c r="E145" s="40" t="s">
        <v>14</v>
      </c>
      <c r="F145" s="36">
        <v>42186</v>
      </c>
      <c r="G145" s="28" t="s">
        <v>279</v>
      </c>
      <c r="H145" s="31" t="s">
        <v>125</v>
      </c>
      <c r="I145" s="31" t="s">
        <v>65</v>
      </c>
    </row>
    <row r="146" spans="1:9" ht="38.25" x14ac:dyDescent="0.25">
      <c r="A146" s="32" t="s">
        <v>583</v>
      </c>
      <c r="B146" s="33" t="s">
        <v>236</v>
      </c>
      <c r="C146" s="34" t="s">
        <v>12</v>
      </c>
      <c r="D146" s="43" t="s">
        <v>276</v>
      </c>
      <c r="E146" s="40" t="s">
        <v>14</v>
      </c>
      <c r="F146" s="36">
        <v>42186</v>
      </c>
      <c r="G146" s="28" t="s">
        <v>280</v>
      </c>
      <c r="H146" s="31" t="s">
        <v>125</v>
      </c>
      <c r="I146" s="31" t="s">
        <v>65</v>
      </c>
    </row>
    <row r="147" spans="1:9" ht="38.25" x14ac:dyDescent="0.25">
      <c r="A147" s="32" t="s">
        <v>583</v>
      </c>
      <c r="B147" s="33" t="s">
        <v>236</v>
      </c>
      <c r="C147" s="34" t="s">
        <v>12</v>
      </c>
      <c r="D147" s="43" t="s">
        <v>276</v>
      </c>
      <c r="E147" s="40" t="s">
        <v>14</v>
      </c>
      <c r="F147" s="36">
        <v>42186</v>
      </c>
      <c r="G147" s="28" t="s">
        <v>281</v>
      </c>
      <c r="H147" s="31" t="s">
        <v>282</v>
      </c>
      <c r="I147" s="31" t="s">
        <v>65</v>
      </c>
    </row>
    <row r="148" spans="1:9" ht="38.25" x14ac:dyDescent="0.25">
      <c r="A148" s="32" t="s">
        <v>583</v>
      </c>
      <c r="B148" s="33" t="s">
        <v>236</v>
      </c>
      <c r="C148" s="34" t="s">
        <v>12</v>
      </c>
      <c r="D148" s="43" t="s">
        <v>276</v>
      </c>
      <c r="E148" s="40" t="s">
        <v>14</v>
      </c>
      <c r="F148" s="36">
        <v>42186</v>
      </c>
      <c r="G148" s="28" t="s">
        <v>283</v>
      </c>
      <c r="H148" s="31" t="s">
        <v>282</v>
      </c>
      <c r="I148" s="31" t="s">
        <v>65</v>
      </c>
    </row>
    <row r="149" spans="1:9" ht="38.25" x14ac:dyDescent="0.25">
      <c r="A149" s="32" t="s">
        <v>583</v>
      </c>
      <c r="B149" s="33" t="s">
        <v>236</v>
      </c>
      <c r="C149" s="34" t="s">
        <v>12</v>
      </c>
      <c r="D149" s="43" t="s">
        <v>276</v>
      </c>
      <c r="E149" s="40" t="s">
        <v>14</v>
      </c>
      <c r="F149" s="36">
        <v>42186</v>
      </c>
      <c r="G149" s="28" t="s">
        <v>147</v>
      </c>
      <c r="H149" s="31" t="s">
        <v>282</v>
      </c>
      <c r="I149" s="31" t="s">
        <v>65</v>
      </c>
    </row>
    <row r="150" spans="1:9" ht="38.25" x14ac:dyDescent="0.25">
      <c r="A150" s="32" t="s">
        <v>583</v>
      </c>
      <c r="B150" s="33" t="s">
        <v>236</v>
      </c>
      <c r="C150" s="34" t="s">
        <v>12</v>
      </c>
      <c r="D150" s="43" t="s">
        <v>276</v>
      </c>
      <c r="E150" s="40" t="s">
        <v>14</v>
      </c>
      <c r="F150" s="36">
        <v>42186</v>
      </c>
      <c r="G150" s="28" t="s">
        <v>284</v>
      </c>
      <c r="H150" s="31" t="s">
        <v>125</v>
      </c>
      <c r="I150" s="31" t="s">
        <v>65</v>
      </c>
    </row>
    <row r="151" spans="1:9" ht="25.5" x14ac:dyDescent="0.25">
      <c r="A151" s="32" t="s">
        <v>583</v>
      </c>
      <c r="B151" s="33" t="s">
        <v>236</v>
      </c>
      <c r="C151" s="34" t="s">
        <v>12</v>
      </c>
      <c r="D151" s="43" t="s">
        <v>285</v>
      </c>
      <c r="E151" s="40" t="s">
        <v>14</v>
      </c>
      <c r="F151" s="36">
        <v>42040</v>
      </c>
      <c r="G151" s="28" t="s">
        <v>223</v>
      </c>
      <c r="H151" s="31" t="s">
        <v>125</v>
      </c>
      <c r="I151" s="37">
        <v>4368</v>
      </c>
    </row>
    <row r="152" spans="1:9" ht="25.5" x14ac:dyDescent="0.25">
      <c r="A152" s="32" t="s">
        <v>583</v>
      </c>
      <c r="B152" s="33" t="s">
        <v>236</v>
      </c>
      <c r="C152" s="34" t="s">
        <v>12</v>
      </c>
      <c r="D152" s="43" t="s">
        <v>285</v>
      </c>
      <c r="E152" s="40" t="s">
        <v>14</v>
      </c>
      <c r="F152" s="36">
        <v>42040</v>
      </c>
      <c r="G152" s="28" t="s">
        <v>147</v>
      </c>
      <c r="H152" s="31" t="s">
        <v>282</v>
      </c>
      <c r="I152" s="37">
        <v>5078</v>
      </c>
    </row>
    <row r="153" spans="1:9" ht="25.5" x14ac:dyDescent="0.25">
      <c r="A153" s="32" t="s">
        <v>583</v>
      </c>
      <c r="B153" s="33" t="s">
        <v>236</v>
      </c>
      <c r="C153" s="34" t="s">
        <v>12</v>
      </c>
      <c r="D153" s="43" t="s">
        <v>285</v>
      </c>
      <c r="E153" s="40" t="s">
        <v>14</v>
      </c>
      <c r="F153" s="36">
        <v>42040</v>
      </c>
      <c r="G153" s="28" t="s">
        <v>286</v>
      </c>
      <c r="H153" s="31" t="s">
        <v>287</v>
      </c>
      <c r="I153" s="37">
        <v>7006</v>
      </c>
    </row>
    <row r="154" spans="1:9" ht="25.5" x14ac:dyDescent="0.25">
      <c r="A154" s="32" t="s">
        <v>583</v>
      </c>
      <c r="B154" s="33" t="s">
        <v>236</v>
      </c>
      <c r="C154" s="34" t="s">
        <v>12</v>
      </c>
      <c r="D154" s="43" t="s">
        <v>285</v>
      </c>
      <c r="E154" s="40" t="s">
        <v>14</v>
      </c>
      <c r="F154" s="36">
        <v>42040</v>
      </c>
      <c r="G154" s="28" t="s">
        <v>284</v>
      </c>
      <c r="H154" s="31" t="s">
        <v>282</v>
      </c>
      <c r="I154" s="37">
        <v>24186</v>
      </c>
    </row>
    <row r="155" spans="1:9" ht="25.5" x14ac:dyDescent="0.25">
      <c r="A155" s="32" t="s">
        <v>583</v>
      </c>
      <c r="B155" s="33" t="s">
        <v>236</v>
      </c>
      <c r="C155" s="34" t="s">
        <v>12</v>
      </c>
      <c r="D155" s="43" t="s">
        <v>285</v>
      </c>
      <c r="E155" s="40" t="s">
        <v>14</v>
      </c>
      <c r="F155" s="36">
        <v>42040</v>
      </c>
      <c r="G155" s="28" t="s">
        <v>149</v>
      </c>
      <c r="H155" s="31" t="s">
        <v>148</v>
      </c>
      <c r="I155" s="31" t="s">
        <v>65</v>
      </c>
    </row>
    <row r="156" spans="1:9" ht="25.5" x14ac:dyDescent="0.25">
      <c r="A156" s="32" t="s">
        <v>583</v>
      </c>
      <c r="B156" s="33" t="s">
        <v>236</v>
      </c>
      <c r="C156" s="34" t="s">
        <v>12</v>
      </c>
      <c r="D156" s="43" t="s">
        <v>285</v>
      </c>
      <c r="E156" s="40" t="s">
        <v>14</v>
      </c>
      <c r="F156" s="36">
        <v>42040</v>
      </c>
      <c r="G156" s="28" t="s">
        <v>281</v>
      </c>
      <c r="H156" s="31" t="s">
        <v>282</v>
      </c>
      <c r="I156" s="31" t="s">
        <v>65</v>
      </c>
    </row>
    <row r="157" spans="1:9" ht="25.5" x14ac:dyDescent="0.25">
      <c r="A157" s="32" t="s">
        <v>583</v>
      </c>
      <c r="B157" s="33" t="s">
        <v>236</v>
      </c>
      <c r="C157" s="34" t="s">
        <v>12</v>
      </c>
      <c r="D157" s="43" t="s">
        <v>285</v>
      </c>
      <c r="E157" s="40" t="s">
        <v>14</v>
      </c>
      <c r="F157" s="36">
        <v>42040</v>
      </c>
      <c r="G157" s="28" t="s">
        <v>288</v>
      </c>
      <c r="H157" s="31" t="s">
        <v>287</v>
      </c>
      <c r="I157" s="31" t="s">
        <v>65</v>
      </c>
    </row>
    <row r="158" spans="1:9" ht="38.25" x14ac:dyDescent="0.25">
      <c r="A158" s="32" t="s">
        <v>583</v>
      </c>
      <c r="B158" s="33" t="s">
        <v>236</v>
      </c>
      <c r="C158" s="34" t="s">
        <v>12</v>
      </c>
      <c r="D158" s="43" t="s">
        <v>289</v>
      </c>
      <c r="E158" s="40" t="s">
        <v>14</v>
      </c>
      <c r="F158" s="36">
        <v>42040</v>
      </c>
      <c r="G158" s="28" t="s">
        <v>290</v>
      </c>
      <c r="H158" s="31" t="s">
        <v>125</v>
      </c>
      <c r="I158" s="37">
        <v>12012</v>
      </c>
    </row>
    <row r="159" spans="1:9" ht="38.25" x14ac:dyDescent="0.25">
      <c r="A159" s="32" t="s">
        <v>583</v>
      </c>
      <c r="B159" s="33" t="s">
        <v>236</v>
      </c>
      <c r="C159" s="34" t="s">
        <v>12</v>
      </c>
      <c r="D159" s="43" t="s">
        <v>289</v>
      </c>
      <c r="E159" s="40" t="s">
        <v>14</v>
      </c>
      <c r="F159" s="36">
        <v>42040</v>
      </c>
      <c r="G159" s="28" t="s">
        <v>223</v>
      </c>
      <c r="H159" s="31" t="s">
        <v>123</v>
      </c>
      <c r="I159" s="37">
        <v>4246</v>
      </c>
    </row>
    <row r="160" spans="1:9" ht="38.25" x14ac:dyDescent="0.25">
      <c r="A160" s="32" t="s">
        <v>583</v>
      </c>
      <c r="B160" s="33" t="s">
        <v>236</v>
      </c>
      <c r="C160" s="34" t="s">
        <v>12</v>
      </c>
      <c r="D160" s="43" t="s">
        <v>289</v>
      </c>
      <c r="E160" s="40" t="s">
        <v>14</v>
      </c>
      <c r="F160" s="36">
        <v>42040</v>
      </c>
      <c r="G160" s="28" t="s">
        <v>147</v>
      </c>
      <c r="H160" s="31" t="s">
        <v>282</v>
      </c>
      <c r="I160" s="37">
        <v>9125</v>
      </c>
    </row>
    <row r="161" spans="1:9" ht="38.25" x14ac:dyDescent="0.25">
      <c r="A161" s="32" t="s">
        <v>583</v>
      </c>
      <c r="B161" s="33" t="s">
        <v>236</v>
      </c>
      <c r="C161" s="34" t="s">
        <v>12</v>
      </c>
      <c r="D161" s="43" t="s">
        <v>289</v>
      </c>
      <c r="E161" s="40" t="s">
        <v>14</v>
      </c>
      <c r="F161" s="36">
        <v>42040</v>
      </c>
      <c r="G161" s="28" t="s">
        <v>291</v>
      </c>
      <c r="H161" s="31" t="s">
        <v>287</v>
      </c>
      <c r="I161" s="37">
        <v>9113</v>
      </c>
    </row>
    <row r="162" spans="1:9" ht="38.25" x14ac:dyDescent="0.25">
      <c r="A162" s="32" t="s">
        <v>583</v>
      </c>
      <c r="B162" s="33" t="s">
        <v>236</v>
      </c>
      <c r="C162" s="34" t="s">
        <v>12</v>
      </c>
      <c r="D162" s="43" t="s">
        <v>289</v>
      </c>
      <c r="E162" s="40" t="s">
        <v>14</v>
      </c>
      <c r="F162" s="36">
        <v>42040</v>
      </c>
      <c r="G162" s="28" t="s">
        <v>292</v>
      </c>
      <c r="H162" s="31" t="s">
        <v>287</v>
      </c>
      <c r="I162" s="31" t="s">
        <v>65</v>
      </c>
    </row>
    <row r="163" spans="1:9" ht="38.25" x14ac:dyDescent="0.25">
      <c r="A163" s="32" t="s">
        <v>583</v>
      </c>
      <c r="B163" s="33" t="s">
        <v>236</v>
      </c>
      <c r="C163" s="34" t="s">
        <v>12</v>
      </c>
      <c r="D163" s="43" t="s">
        <v>289</v>
      </c>
      <c r="E163" s="40" t="s">
        <v>14</v>
      </c>
      <c r="F163" s="36">
        <v>42040</v>
      </c>
      <c r="G163" s="28" t="s">
        <v>293</v>
      </c>
      <c r="H163" s="31" t="s">
        <v>287</v>
      </c>
      <c r="I163" s="31" t="s">
        <v>65</v>
      </c>
    </row>
    <row r="164" spans="1:9" ht="38.25" x14ac:dyDescent="0.25">
      <c r="A164" s="32" t="s">
        <v>583</v>
      </c>
      <c r="B164" s="33" t="s">
        <v>236</v>
      </c>
      <c r="C164" s="34" t="s">
        <v>12</v>
      </c>
      <c r="D164" s="43" t="s">
        <v>294</v>
      </c>
      <c r="E164" s="40" t="s">
        <v>14</v>
      </c>
      <c r="F164" s="36">
        <v>42278</v>
      </c>
      <c r="G164" s="28" t="s">
        <v>284</v>
      </c>
      <c r="H164" s="31" t="s">
        <v>287</v>
      </c>
      <c r="I164" s="37">
        <v>11594</v>
      </c>
    </row>
    <row r="165" spans="1:9" ht="38.25" x14ac:dyDescent="0.25">
      <c r="A165" s="32" t="s">
        <v>583</v>
      </c>
      <c r="B165" s="33" t="s">
        <v>236</v>
      </c>
      <c r="C165" s="34" t="s">
        <v>12</v>
      </c>
      <c r="D165" s="43" t="s">
        <v>294</v>
      </c>
      <c r="E165" s="40" t="s">
        <v>14</v>
      </c>
      <c r="F165" s="36">
        <v>42278</v>
      </c>
      <c r="G165" s="28" t="s">
        <v>281</v>
      </c>
      <c r="H165" s="31" t="s">
        <v>125</v>
      </c>
      <c r="I165" s="31" t="s">
        <v>65</v>
      </c>
    </row>
    <row r="166" spans="1:9" ht="38.25" x14ac:dyDescent="0.25">
      <c r="A166" s="32" t="s">
        <v>583</v>
      </c>
      <c r="B166" s="33" t="s">
        <v>236</v>
      </c>
      <c r="C166" s="34" t="s">
        <v>12</v>
      </c>
      <c r="D166" s="43" t="s">
        <v>294</v>
      </c>
      <c r="E166" s="40" t="s">
        <v>14</v>
      </c>
      <c r="F166" s="36">
        <v>42278</v>
      </c>
      <c r="G166" s="28" t="s">
        <v>288</v>
      </c>
      <c r="H166" s="31" t="s">
        <v>125</v>
      </c>
      <c r="I166" s="31" t="s">
        <v>65</v>
      </c>
    </row>
    <row r="167" spans="1:9" ht="51" x14ac:dyDescent="0.25">
      <c r="A167" s="32" t="s">
        <v>583</v>
      </c>
      <c r="B167" s="33" t="s">
        <v>236</v>
      </c>
      <c r="C167" s="34" t="s">
        <v>12</v>
      </c>
      <c r="D167" s="43" t="s">
        <v>295</v>
      </c>
      <c r="E167" s="40" t="s">
        <v>14</v>
      </c>
      <c r="F167" s="36">
        <v>42278</v>
      </c>
      <c r="G167" s="28" t="s">
        <v>284</v>
      </c>
      <c r="H167" s="31" t="s">
        <v>123</v>
      </c>
      <c r="I167" s="37">
        <v>24214</v>
      </c>
    </row>
    <row r="168" spans="1:9" ht="51" x14ac:dyDescent="0.25">
      <c r="A168" s="32" t="s">
        <v>583</v>
      </c>
      <c r="B168" s="33" t="s">
        <v>236</v>
      </c>
      <c r="C168" s="34" t="s">
        <v>12</v>
      </c>
      <c r="D168" s="43" t="s">
        <v>295</v>
      </c>
      <c r="E168" s="40" t="s">
        <v>14</v>
      </c>
      <c r="F168" s="36">
        <v>42278</v>
      </c>
      <c r="G168" s="28" t="s">
        <v>147</v>
      </c>
      <c r="H168" s="31" t="s">
        <v>125</v>
      </c>
      <c r="I168" s="37">
        <v>24187</v>
      </c>
    </row>
    <row r="169" spans="1:9" ht="51" x14ac:dyDescent="0.25">
      <c r="A169" s="32" t="s">
        <v>583</v>
      </c>
      <c r="B169" s="33" t="s">
        <v>236</v>
      </c>
      <c r="C169" s="34" t="s">
        <v>12</v>
      </c>
      <c r="D169" s="43" t="s">
        <v>295</v>
      </c>
      <c r="E169" s="40" t="s">
        <v>14</v>
      </c>
      <c r="F169" s="36">
        <v>42278</v>
      </c>
      <c r="G169" s="28" t="s">
        <v>296</v>
      </c>
      <c r="H169" s="31" t="s">
        <v>125</v>
      </c>
      <c r="I169" s="37">
        <v>24186</v>
      </c>
    </row>
    <row r="170" spans="1:9" x14ac:dyDescent="0.25">
      <c r="A170" s="39" t="s">
        <v>297</v>
      </c>
      <c r="B170" s="40" t="s">
        <v>236</v>
      </c>
      <c r="C170" s="40" t="s">
        <v>12</v>
      </c>
      <c r="D170" s="43" t="s">
        <v>298</v>
      </c>
      <c r="E170" s="43" t="s">
        <v>14</v>
      </c>
      <c r="F170" s="44">
        <v>42041</v>
      </c>
      <c r="G170" s="20" t="s">
        <v>299</v>
      </c>
      <c r="H170" s="16" t="s">
        <v>300</v>
      </c>
      <c r="I170" s="13" t="s">
        <v>301</v>
      </c>
    </row>
    <row r="171" spans="1:9" x14ac:dyDescent="0.25">
      <c r="A171" s="39" t="s">
        <v>297</v>
      </c>
      <c r="B171" s="40" t="s">
        <v>236</v>
      </c>
      <c r="C171" s="40" t="s">
        <v>12</v>
      </c>
      <c r="D171" s="43" t="s">
        <v>298</v>
      </c>
      <c r="E171" s="43" t="s">
        <v>14</v>
      </c>
      <c r="F171" s="44">
        <v>42041</v>
      </c>
      <c r="G171" s="20" t="s">
        <v>302</v>
      </c>
      <c r="H171" s="16" t="s">
        <v>303</v>
      </c>
      <c r="I171" s="13" t="s">
        <v>301</v>
      </c>
    </row>
    <row r="172" spans="1:9" x14ac:dyDescent="0.25">
      <c r="A172" s="39" t="s">
        <v>297</v>
      </c>
      <c r="B172" s="40" t="s">
        <v>236</v>
      </c>
      <c r="C172" s="40" t="s">
        <v>12</v>
      </c>
      <c r="D172" s="43" t="s">
        <v>298</v>
      </c>
      <c r="E172" s="43" t="s">
        <v>14</v>
      </c>
      <c r="F172" s="44">
        <v>42041</v>
      </c>
      <c r="G172" s="20" t="s">
        <v>304</v>
      </c>
      <c r="H172" s="16" t="s">
        <v>303</v>
      </c>
      <c r="I172" s="13" t="s">
        <v>301</v>
      </c>
    </row>
    <row r="173" spans="1:9" x14ac:dyDescent="0.25">
      <c r="A173" s="39" t="s">
        <v>297</v>
      </c>
      <c r="B173" s="40" t="s">
        <v>236</v>
      </c>
      <c r="C173" s="40" t="s">
        <v>12</v>
      </c>
      <c r="D173" s="43" t="s">
        <v>298</v>
      </c>
      <c r="E173" s="43" t="s">
        <v>14</v>
      </c>
      <c r="F173" s="44">
        <v>42041</v>
      </c>
      <c r="G173" s="20" t="s">
        <v>305</v>
      </c>
      <c r="H173" s="16" t="s">
        <v>303</v>
      </c>
      <c r="I173" s="13" t="s">
        <v>301</v>
      </c>
    </row>
    <row r="174" spans="1:9" x14ac:dyDescent="0.25">
      <c r="A174" s="39" t="s">
        <v>297</v>
      </c>
      <c r="B174" s="40" t="s">
        <v>236</v>
      </c>
      <c r="C174" s="40" t="s">
        <v>12</v>
      </c>
      <c r="D174" s="43" t="s">
        <v>298</v>
      </c>
      <c r="E174" s="43" t="s">
        <v>14</v>
      </c>
      <c r="F174" s="44">
        <v>42041</v>
      </c>
      <c r="G174" s="45" t="s">
        <v>306</v>
      </c>
      <c r="H174" s="16" t="s">
        <v>303</v>
      </c>
      <c r="I174" s="13" t="s">
        <v>301</v>
      </c>
    </row>
    <row r="175" spans="1:9" x14ac:dyDescent="0.25">
      <c r="A175" s="39" t="s">
        <v>297</v>
      </c>
      <c r="B175" s="40" t="s">
        <v>236</v>
      </c>
      <c r="C175" s="40" t="s">
        <v>12</v>
      </c>
      <c r="D175" s="43" t="s">
        <v>298</v>
      </c>
      <c r="E175" s="43" t="s">
        <v>14</v>
      </c>
      <c r="F175" s="44">
        <v>42041</v>
      </c>
      <c r="G175" s="20" t="s">
        <v>307</v>
      </c>
      <c r="H175" s="16" t="s">
        <v>303</v>
      </c>
      <c r="I175" s="13" t="s">
        <v>301</v>
      </c>
    </row>
    <row r="176" spans="1:9" x14ac:dyDescent="0.25">
      <c r="A176" s="39" t="s">
        <v>297</v>
      </c>
      <c r="B176" s="40" t="s">
        <v>236</v>
      </c>
      <c r="C176" s="40" t="s">
        <v>12</v>
      </c>
      <c r="D176" s="43" t="s">
        <v>298</v>
      </c>
      <c r="E176" s="43" t="s">
        <v>14</v>
      </c>
      <c r="F176" s="44">
        <v>42041</v>
      </c>
      <c r="G176" s="20" t="s">
        <v>308</v>
      </c>
      <c r="H176" s="16" t="s">
        <v>303</v>
      </c>
      <c r="I176" s="13" t="s">
        <v>301</v>
      </c>
    </row>
    <row r="177" spans="1:9" x14ac:dyDescent="0.25">
      <c r="A177" s="39" t="s">
        <v>297</v>
      </c>
      <c r="B177" s="40" t="s">
        <v>236</v>
      </c>
      <c r="C177" s="40" t="s">
        <v>12</v>
      </c>
      <c r="D177" s="43" t="s">
        <v>298</v>
      </c>
      <c r="E177" s="43" t="s">
        <v>14</v>
      </c>
      <c r="F177" s="44">
        <v>42041</v>
      </c>
      <c r="G177" s="20" t="s">
        <v>309</v>
      </c>
      <c r="H177" s="16" t="s">
        <v>303</v>
      </c>
      <c r="I177" s="13" t="s">
        <v>301</v>
      </c>
    </row>
    <row r="178" spans="1:9" x14ac:dyDescent="0.25">
      <c r="A178" s="39" t="s">
        <v>297</v>
      </c>
      <c r="B178" s="40" t="s">
        <v>236</v>
      </c>
      <c r="C178" s="40" t="s">
        <v>12</v>
      </c>
      <c r="D178" s="43" t="s">
        <v>298</v>
      </c>
      <c r="E178" s="43" t="s">
        <v>14</v>
      </c>
      <c r="F178" s="44">
        <v>42041</v>
      </c>
      <c r="G178" s="20" t="s">
        <v>310</v>
      </c>
      <c r="H178" s="16" t="s">
        <v>311</v>
      </c>
      <c r="I178" s="13" t="s">
        <v>312</v>
      </c>
    </row>
    <row r="179" spans="1:9" x14ac:dyDescent="0.25">
      <c r="A179" s="39" t="s">
        <v>297</v>
      </c>
      <c r="B179" s="40" t="s">
        <v>236</v>
      </c>
      <c r="C179" s="40" t="s">
        <v>12</v>
      </c>
      <c r="D179" s="43" t="s">
        <v>298</v>
      </c>
      <c r="E179" s="43" t="s">
        <v>14</v>
      </c>
      <c r="F179" s="44">
        <v>42041</v>
      </c>
      <c r="G179" s="20" t="s">
        <v>243</v>
      </c>
      <c r="H179" s="16" t="s">
        <v>311</v>
      </c>
      <c r="I179" s="13" t="s">
        <v>312</v>
      </c>
    </row>
    <row r="180" spans="1:9" x14ac:dyDescent="0.25">
      <c r="A180" s="39" t="s">
        <v>297</v>
      </c>
      <c r="B180" s="40" t="s">
        <v>236</v>
      </c>
      <c r="C180" s="40" t="s">
        <v>12</v>
      </c>
      <c r="D180" s="43" t="s">
        <v>298</v>
      </c>
      <c r="E180" s="43" t="s">
        <v>14</v>
      </c>
      <c r="F180" s="44">
        <v>42041</v>
      </c>
      <c r="G180" s="20" t="s">
        <v>313</v>
      </c>
      <c r="H180" s="16" t="s">
        <v>311</v>
      </c>
      <c r="I180" s="13" t="s">
        <v>312</v>
      </c>
    </row>
    <row r="181" spans="1:9" x14ac:dyDescent="0.25">
      <c r="A181" s="39" t="s">
        <v>297</v>
      </c>
      <c r="B181" s="40" t="s">
        <v>236</v>
      </c>
      <c r="C181" s="40" t="s">
        <v>12</v>
      </c>
      <c r="D181" s="43" t="s">
        <v>298</v>
      </c>
      <c r="E181" s="43" t="s">
        <v>14</v>
      </c>
      <c r="F181" s="44">
        <v>42041</v>
      </c>
      <c r="G181" s="6" t="s">
        <v>65</v>
      </c>
      <c r="H181" s="7" t="s">
        <v>65</v>
      </c>
      <c r="I181" s="13" t="s">
        <v>314</v>
      </c>
    </row>
    <row r="182" spans="1:9" x14ac:dyDescent="0.25">
      <c r="A182" s="39" t="s">
        <v>297</v>
      </c>
      <c r="B182" s="40" t="s">
        <v>236</v>
      </c>
      <c r="C182" s="40" t="s">
        <v>12</v>
      </c>
      <c r="D182" s="43" t="s">
        <v>298</v>
      </c>
      <c r="E182" s="43" t="s">
        <v>14</v>
      </c>
      <c r="F182" s="44">
        <v>42041</v>
      </c>
      <c r="G182" s="20" t="s">
        <v>315</v>
      </c>
      <c r="H182" s="16" t="s">
        <v>130</v>
      </c>
      <c r="I182" s="13" t="s">
        <v>316</v>
      </c>
    </row>
    <row r="183" spans="1:9" x14ac:dyDescent="0.25">
      <c r="A183" s="39" t="s">
        <v>297</v>
      </c>
      <c r="B183" s="40" t="s">
        <v>236</v>
      </c>
      <c r="C183" s="40" t="s">
        <v>12</v>
      </c>
      <c r="D183" s="43" t="s">
        <v>298</v>
      </c>
      <c r="E183" s="43" t="s">
        <v>14</v>
      </c>
      <c r="F183" s="44">
        <v>42041</v>
      </c>
      <c r="G183" s="20" t="s">
        <v>317</v>
      </c>
      <c r="H183" s="16" t="s">
        <v>130</v>
      </c>
      <c r="I183" s="13" t="s">
        <v>316</v>
      </c>
    </row>
    <row r="184" spans="1:9" ht="63.75" x14ac:dyDescent="0.25">
      <c r="A184" s="3" t="s">
        <v>584</v>
      </c>
      <c r="B184" s="4" t="s">
        <v>236</v>
      </c>
      <c r="C184" s="4" t="s">
        <v>12</v>
      </c>
      <c r="D184" s="46" t="s">
        <v>318</v>
      </c>
      <c r="E184" s="43" t="s">
        <v>14</v>
      </c>
      <c r="F184" s="5">
        <v>42041</v>
      </c>
      <c r="G184" s="20" t="s">
        <v>223</v>
      </c>
      <c r="H184" s="7" t="s">
        <v>319</v>
      </c>
      <c r="I184" s="8">
        <v>9716</v>
      </c>
    </row>
    <row r="185" spans="1:9" ht="63.75" x14ac:dyDescent="0.25">
      <c r="A185" s="3" t="s">
        <v>584</v>
      </c>
      <c r="B185" s="4" t="s">
        <v>236</v>
      </c>
      <c r="C185" s="4" t="s">
        <v>12</v>
      </c>
      <c r="D185" s="46" t="s">
        <v>318</v>
      </c>
      <c r="E185" s="43" t="s">
        <v>14</v>
      </c>
      <c r="F185" s="5">
        <v>42041</v>
      </c>
      <c r="G185" s="20" t="s">
        <v>320</v>
      </c>
      <c r="H185" s="7" t="s">
        <v>321</v>
      </c>
      <c r="I185" s="7" t="s">
        <v>68</v>
      </c>
    </row>
    <row r="186" spans="1:9" x14ac:dyDescent="0.25">
      <c r="A186" s="3" t="s">
        <v>584</v>
      </c>
      <c r="B186" s="4" t="s">
        <v>236</v>
      </c>
      <c r="C186" s="4" t="s">
        <v>12</v>
      </c>
      <c r="D186" s="46" t="s">
        <v>322</v>
      </c>
      <c r="E186" s="43" t="s">
        <v>14</v>
      </c>
      <c r="F186" s="5">
        <v>42041</v>
      </c>
      <c r="G186" s="20" t="s">
        <v>223</v>
      </c>
      <c r="H186" s="7" t="s">
        <v>323</v>
      </c>
      <c r="I186" s="8">
        <v>18735</v>
      </c>
    </row>
    <row r="187" spans="1:9" x14ac:dyDescent="0.25">
      <c r="A187" s="3" t="s">
        <v>584</v>
      </c>
      <c r="B187" s="4" t="s">
        <v>236</v>
      </c>
      <c r="C187" s="4" t="s">
        <v>12</v>
      </c>
      <c r="D187" s="46" t="s">
        <v>322</v>
      </c>
      <c r="E187" s="43" t="s">
        <v>14</v>
      </c>
      <c r="F187" s="5">
        <v>42041</v>
      </c>
      <c r="G187" s="20" t="s">
        <v>284</v>
      </c>
      <c r="H187" s="7" t="s">
        <v>324</v>
      </c>
      <c r="I187" s="8">
        <v>9465</v>
      </c>
    </row>
    <row r="188" spans="1:9" x14ac:dyDescent="0.25">
      <c r="A188" s="3" t="s">
        <v>584</v>
      </c>
      <c r="B188" s="4" t="s">
        <v>236</v>
      </c>
      <c r="C188" s="4" t="s">
        <v>12</v>
      </c>
      <c r="D188" s="46" t="s">
        <v>322</v>
      </c>
      <c r="E188" s="43" t="s">
        <v>14</v>
      </c>
      <c r="F188" s="5">
        <v>42041</v>
      </c>
      <c r="G188" s="20" t="s">
        <v>325</v>
      </c>
      <c r="H188" s="7" t="s">
        <v>326</v>
      </c>
      <c r="I188" s="8">
        <v>21686</v>
      </c>
    </row>
    <row r="189" spans="1:9" x14ac:dyDescent="0.25">
      <c r="A189" s="3" t="s">
        <v>584</v>
      </c>
      <c r="B189" s="4" t="s">
        <v>236</v>
      </c>
      <c r="C189" s="4" t="s">
        <v>12</v>
      </c>
      <c r="D189" s="46" t="s">
        <v>322</v>
      </c>
      <c r="E189" s="43" t="s">
        <v>14</v>
      </c>
      <c r="F189" s="5">
        <v>42041</v>
      </c>
      <c r="G189" s="20" t="s">
        <v>327</v>
      </c>
      <c r="H189" s="7" t="s">
        <v>326</v>
      </c>
      <c r="I189" s="8">
        <v>23793</v>
      </c>
    </row>
    <row r="190" spans="1:9" x14ac:dyDescent="0.25">
      <c r="A190" s="3" t="s">
        <v>584</v>
      </c>
      <c r="B190" s="4" t="s">
        <v>236</v>
      </c>
      <c r="C190" s="4" t="s">
        <v>12</v>
      </c>
      <c r="D190" s="46" t="s">
        <v>322</v>
      </c>
      <c r="E190" s="43" t="s">
        <v>14</v>
      </c>
      <c r="F190" s="5">
        <v>42041</v>
      </c>
      <c r="G190" s="20" t="s">
        <v>328</v>
      </c>
      <c r="H190" s="7" t="s">
        <v>329</v>
      </c>
      <c r="I190" s="8">
        <v>5183</v>
      </c>
    </row>
    <row r="191" spans="1:9" x14ac:dyDescent="0.25">
      <c r="A191" s="3" t="s">
        <v>584</v>
      </c>
      <c r="B191" s="4" t="s">
        <v>236</v>
      </c>
      <c r="C191" s="4" t="s">
        <v>12</v>
      </c>
      <c r="D191" s="46" t="s">
        <v>322</v>
      </c>
      <c r="E191" s="43" t="s">
        <v>14</v>
      </c>
      <c r="F191" s="5">
        <v>42041</v>
      </c>
      <c r="G191" s="20" t="s">
        <v>330</v>
      </c>
      <c r="H191" s="7" t="s">
        <v>329</v>
      </c>
      <c r="I191" s="8" t="s">
        <v>65</v>
      </c>
    </row>
    <row r="192" spans="1:9" ht="25.5" x14ac:dyDescent="0.25">
      <c r="A192" s="3" t="s">
        <v>584</v>
      </c>
      <c r="B192" s="4" t="s">
        <v>236</v>
      </c>
      <c r="C192" s="4" t="s">
        <v>12</v>
      </c>
      <c r="D192" s="46" t="s">
        <v>331</v>
      </c>
      <c r="E192" s="43" t="s">
        <v>14</v>
      </c>
      <c r="F192" s="5">
        <v>42041</v>
      </c>
      <c r="G192" s="20" t="s">
        <v>284</v>
      </c>
      <c r="H192" s="7" t="s">
        <v>130</v>
      </c>
      <c r="I192" s="8">
        <v>5177</v>
      </c>
    </row>
    <row r="193" spans="1:9" ht="25.5" x14ac:dyDescent="0.25">
      <c r="A193" s="3" t="s">
        <v>584</v>
      </c>
      <c r="B193" s="4" t="s">
        <v>236</v>
      </c>
      <c r="C193" s="4" t="s">
        <v>12</v>
      </c>
      <c r="D193" s="46" t="s">
        <v>331</v>
      </c>
      <c r="E193" s="43" t="s">
        <v>14</v>
      </c>
      <c r="F193" s="5">
        <v>42041</v>
      </c>
      <c r="G193" s="20" t="s">
        <v>332</v>
      </c>
      <c r="H193" s="7" t="s">
        <v>333</v>
      </c>
      <c r="I193" s="8">
        <v>5180</v>
      </c>
    </row>
    <row r="194" spans="1:9" ht="25.5" x14ac:dyDescent="0.25">
      <c r="A194" s="3" t="s">
        <v>584</v>
      </c>
      <c r="B194" s="4" t="s">
        <v>236</v>
      </c>
      <c r="C194" s="4" t="s">
        <v>12</v>
      </c>
      <c r="D194" s="46" t="s">
        <v>334</v>
      </c>
      <c r="E194" s="43" t="s">
        <v>14</v>
      </c>
      <c r="F194" s="5">
        <v>42046</v>
      </c>
      <c r="G194" s="20" t="s">
        <v>284</v>
      </c>
      <c r="H194" s="7" t="s">
        <v>326</v>
      </c>
      <c r="I194" s="8" t="s">
        <v>29</v>
      </c>
    </row>
    <row r="195" spans="1:9" ht="25.5" x14ac:dyDescent="0.25">
      <c r="A195" s="3" t="s">
        <v>584</v>
      </c>
      <c r="B195" s="4" t="s">
        <v>236</v>
      </c>
      <c r="C195" s="4" t="s">
        <v>12</v>
      </c>
      <c r="D195" s="46" t="s">
        <v>334</v>
      </c>
      <c r="E195" s="43" t="s">
        <v>14</v>
      </c>
      <c r="F195" s="5">
        <v>42046</v>
      </c>
      <c r="G195" s="20" t="s">
        <v>332</v>
      </c>
      <c r="H195" s="7" t="s">
        <v>319</v>
      </c>
      <c r="I195" s="8" t="s">
        <v>29</v>
      </c>
    </row>
    <row r="196" spans="1:9" ht="25.5" x14ac:dyDescent="0.25">
      <c r="A196" s="3" t="s">
        <v>584</v>
      </c>
      <c r="B196" s="4" t="s">
        <v>236</v>
      </c>
      <c r="C196" s="4" t="s">
        <v>12</v>
      </c>
      <c r="D196" s="46" t="s">
        <v>334</v>
      </c>
      <c r="E196" s="43" t="s">
        <v>14</v>
      </c>
      <c r="F196" s="5">
        <v>42046</v>
      </c>
      <c r="G196" s="20" t="s">
        <v>327</v>
      </c>
      <c r="H196" s="7" t="s">
        <v>335</v>
      </c>
      <c r="I196" s="8" t="s">
        <v>29</v>
      </c>
    </row>
    <row r="197" spans="1:9" ht="25.5" x14ac:dyDescent="0.25">
      <c r="A197" s="3" t="s">
        <v>584</v>
      </c>
      <c r="B197" s="4" t="s">
        <v>236</v>
      </c>
      <c r="C197" s="4" t="s">
        <v>12</v>
      </c>
      <c r="D197" s="46" t="s">
        <v>334</v>
      </c>
      <c r="E197" s="43" t="s">
        <v>14</v>
      </c>
      <c r="F197" s="5">
        <v>42046</v>
      </c>
      <c r="G197" s="20" t="s">
        <v>325</v>
      </c>
      <c r="H197" s="7" t="s">
        <v>335</v>
      </c>
      <c r="I197" s="8" t="s">
        <v>29</v>
      </c>
    </row>
    <row r="198" spans="1:9" ht="25.5" x14ac:dyDescent="0.25">
      <c r="A198" s="3" t="s">
        <v>584</v>
      </c>
      <c r="B198" s="4" t="s">
        <v>236</v>
      </c>
      <c r="C198" s="4" t="s">
        <v>12</v>
      </c>
      <c r="D198" s="46" t="s">
        <v>334</v>
      </c>
      <c r="E198" s="43" t="s">
        <v>14</v>
      </c>
      <c r="F198" s="5">
        <v>42046</v>
      </c>
      <c r="G198" s="20" t="s">
        <v>328</v>
      </c>
      <c r="H198" s="7" t="s">
        <v>336</v>
      </c>
      <c r="I198" s="8" t="s">
        <v>29</v>
      </c>
    </row>
    <row r="199" spans="1:9" ht="25.5" x14ac:dyDescent="0.25">
      <c r="A199" s="3" t="s">
        <v>584</v>
      </c>
      <c r="B199" s="4" t="s">
        <v>236</v>
      </c>
      <c r="C199" s="4" t="s">
        <v>12</v>
      </c>
      <c r="D199" s="46" t="s">
        <v>334</v>
      </c>
      <c r="E199" s="43" t="s">
        <v>14</v>
      </c>
      <c r="F199" s="5">
        <v>42046</v>
      </c>
      <c r="G199" s="20" t="s">
        <v>330</v>
      </c>
      <c r="H199" s="7" t="s">
        <v>336</v>
      </c>
      <c r="I199" s="8" t="s">
        <v>29</v>
      </c>
    </row>
    <row r="200" spans="1:9" x14ac:dyDescent="0.25">
      <c r="A200" s="3" t="s">
        <v>584</v>
      </c>
      <c r="B200" s="4" t="s">
        <v>236</v>
      </c>
      <c r="C200" s="4" t="s">
        <v>12</v>
      </c>
      <c r="D200" s="46" t="s">
        <v>337</v>
      </c>
      <c r="E200" s="43" t="s">
        <v>14</v>
      </c>
      <c r="F200" s="5">
        <v>42046</v>
      </c>
      <c r="G200" s="20" t="s">
        <v>284</v>
      </c>
      <c r="H200" s="7" t="s">
        <v>326</v>
      </c>
      <c r="I200" s="8" t="s">
        <v>29</v>
      </c>
    </row>
    <row r="201" spans="1:9" x14ac:dyDescent="0.25">
      <c r="A201" s="3" t="s">
        <v>584</v>
      </c>
      <c r="B201" s="4" t="s">
        <v>236</v>
      </c>
      <c r="C201" s="4" t="s">
        <v>12</v>
      </c>
      <c r="D201" s="46" t="s">
        <v>337</v>
      </c>
      <c r="E201" s="43" t="s">
        <v>14</v>
      </c>
      <c r="F201" s="5">
        <v>42046</v>
      </c>
      <c r="G201" s="20" t="s">
        <v>338</v>
      </c>
      <c r="H201" s="7" t="s">
        <v>130</v>
      </c>
      <c r="I201" s="8" t="s">
        <v>29</v>
      </c>
    </row>
    <row r="202" spans="1:9" x14ac:dyDescent="0.25">
      <c r="A202" s="3" t="s">
        <v>584</v>
      </c>
      <c r="B202" s="4" t="s">
        <v>236</v>
      </c>
      <c r="C202" s="4" t="s">
        <v>12</v>
      </c>
      <c r="D202" s="46" t="s">
        <v>337</v>
      </c>
      <c r="E202" s="43" t="s">
        <v>14</v>
      </c>
      <c r="F202" s="5">
        <v>42046</v>
      </c>
      <c r="G202" s="20" t="s">
        <v>325</v>
      </c>
      <c r="H202" s="7" t="s">
        <v>339</v>
      </c>
      <c r="I202" s="8" t="s">
        <v>29</v>
      </c>
    </row>
    <row r="203" spans="1:9" x14ac:dyDescent="0.25">
      <c r="A203" s="3" t="s">
        <v>584</v>
      </c>
      <c r="B203" s="4" t="s">
        <v>236</v>
      </c>
      <c r="C203" s="4" t="s">
        <v>12</v>
      </c>
      <c r="D203" s="46" t="s">
        <v>337</v>
      </c>
      <c r="E203" s="43" t="s">
        <v>14</v>
      </c>
      <c r="F203" s="5">
        <v>42046</v>
      </c>
      <c r="G203" s="20" t="s">
        <v>327</v>
      </c>
      <c r="H203" s="7" t="s">
        <v>339</v>
      </c>
      <c r="I203" s="8" t="s">
        <v>29</v>
      </c>
    </row>
    <row r="204" spans="1:9" x14ac:dyDescent="0.25">
      <c r="A204" s="3" t="s">
        <v>584</v>
      </c>
      <c r="B204" s="4" t="s">
        <v>236</v>
      </c>
      <c r="C204" s="4" t="s">
        <v>12</v>
      </c>
      <c r="D204" s="46" t="s">
        <v>337</v>
      </c>
      <c r="E204" s="43" t="s">
        <v>14</v>
      </c>
      <c r="F204" s="5">
        <v>42046</v>
      </c>
      <c r="G204" s="20" t="s">
        <v>328</v>
      </c>
      <c r="H204" s="7" t="s">
        <v>135</v>
      </c>
      <c r="I204" s="8" t="s">
        <v>29</v>
      </c>
    </row>
    <row r="205" spans="1:9" x14ac:dyDescent="0.25">
      <c r="A205" s="3" t="s">
        <v>584</v>
      </c>
      <c r="B205" s="4" t="s">
        <v>236</v>
      </c>
      <c r="C205" s="4" t="s">
        <v>12</v>
      </c>
      <c r="D205" s="46" t="s">
        <v>337</v>
      </c>
      <c r="E205" s="43" t="s">
        <v>14</v>
      </c>
      <c r="F205" s="5">
        <v>42046</v>
      </c>
      <c r="G205" s="20" t="s">
        <v>330</v>
      </c>
      <c r="H205" s="7" t="s">
        <v>135</v>
      </c>
      <c r="I205" s="8" t="s">
        <v>29</v>
      </c>
    </row>
    <row r="206" spans="1:9" x14ac:dyDescent="0.25">
      <c r="A206" s="3" t="s">
        <v>584</v>
      </c>
      <c r="B206" s="4" t="s">
        <v>236</v>
      </c>
      <c r="C206" s="4" t="s">
        <v>12</v>
      </c>
      <c r="D206" s="46" t="s">
        <v>337</v>
      </c>
      <c r="E206" s="43" t="s">
        <v>14</v>
      </c>
      <c r="F206" s="5">
        <v>42046</v>
      </c>
      <c r="G206" s="20" t="s">
        <v>340</v>
      </c>
      <c r="H206" s="7" t="s">
        <v>341</v>
      </c>
      <c r="I206" s="8" t="s">
        <v>29</v>
      </c>
    </row>
    <row r="207" spans="1:9" x14ac:dyDescent="0.25">
      <c r="A207" s="3" t="s">
        <v>584</v>
      </c>
      <c r="B207" s="4" t="s">
        <v>236</v>
      </c>
      <c r="C207" s="4" t="s">
        <v>12</v>
      </c>
      <c r="D207" s="46" t="s">
        <v>337</v>
      </c>
      <c r="E207" s="43" t="s">
        <v>14</v>
      </c>
      <c r="F207" s="5">
        <v>42046</v>
      </c>
      <c r="G207" s="20" t="s">
        <v>342</v>
      </c>
      <c r="H207" s="7" t="s">
        <v>56</v>
      </c>
      <c r="I207" s="8" t="s">
        <v>29</v>
      </c>
    </row>
    <row r="208" spans="1:9" x14ac:dyDescent="0.25">
      <c r="A208" s="3" t="s">
        <v>584</v>
      </c>
      <c r="B208" s="4" t="s">
        <v>236</v>
      </c>
      <c r="C208" s="4" t="s">
        <v>12</v>
      </c>
      <c r="D208" s="46" t="s">
        <v>337</v>
      </c>
      <c r="E208" s="43" t="s">
        <v>14</v>
      </c>
      <c r="F208" s="5">
        <v>42046</v>
      </c>
      <c r="G208" s="20" t="s">
        <v>343</v>
      </c>
      <c r="H208" s="7" t="s">
        <v>339</v>
      </c>
      <c r="I208" s="8" t="s">
        <v>29</v>
      </c>
    </row>
    <row r="209" spans="1:9" x14ac:dyDescent="0.25">
      <c r="A209" s="3" t="s">
        <v>584</v>
      </c>
      <c r="B209" s="4" t="s">
        <v>236</v>
      </c>
      <c r="C209" s="4" t="s">
        <v>12</v>
      </c>
      <c r="D209" s="46" t="s">
        <v>337</v>
      </c>
      <c r="E209" s="43" t="s">
        <v>14</v>
      </c>
      <c r="F209" s="5">
        <v>42046</v>
      </c>
      <c r="G209" s="20" t="s">
        <v>320</v>
      </c>
      <c r="H209" s="7" t="s">
        <v>56</v>
      </c>
      <c r="I209" s="8" t="s">
        <v>29</v>
      </c>
    </row>
    <row r="210" spans="1:9" x14ac:dyDescent="0.25">
      <c r="A210" s="3" t="s">
        <v>584</v>
      </c>
      <c r="B210" s="4" t="s">
        <v>236</v>
      </c>
      <c r="C210" s="4" t="s">
        <v>12</v>
      </c>
      <c r="D210" s="46" t="s">
        <v>337</v>
      </c>
      <c r="E210" s="43" t="s">
        <v>14</v>
      </c>
      <c r="F210" s="5">
        <v>42046</v>
      </c>
      <c r="G210" s="20" t="s">
        <v>344</v>
      </c>
      <c r="H210" s="7" t="s">
        <v>56</v>
      </c>
      <c r="I210" s="8" t="s">
        <v>29</v>
      </c>
    </row>
    <row r="211" spans="1:9" x14ac:dyDescent="0.25">
      <c r="A211" s="3" t="s">
        <v>584</v>
      </c>
      <c r="B211" s="4" t="s">
        <v>236</v>
      </c>
      <c r="C211" s="4" t="s">
        <v>12</v>
      </c>
      <c r="D211" s="46" t="s">
        <v>337</v>
      </c>
      <c r="E211" s="43" t="s">
        <v>14</v>
      </c>
      <c r="F211" s="5">
        <v>42046</v>
      </c>
      <c r="G211" s="20" t="s">
        <v>345</v>
      </c>
      <c r="H211" s="7" t="s">
        <v>341</v>
      </c>
      <c r="I211" s="8" t="s">
        <v>29</v>
      </c>
    </row>
    <row r="212" spans="1:9" x14ac:dyDescent="0.25">
      <c r="A212" s="3" t="s">
        <v>346</v>
      </c>
      <c r="B212" s="4" t="s">
        <v>236</v>
      </c>
      <c r="C212" s="4" t="s">
        <v>14</v>
      </c>
      <c r="D212" s="30" t="s">
        <v>65</v>
      </c>
      <c r="E212" s="30" t="s">
        <v>65</v>
      </c>
      <c r="F212" s="7" t="s">
        <v>65</v>
      </c>
      <c r="G212" s="10" t="s">
        <v>65</v>
      </c>
      <c r="H212" s="7" t="s">
        <v>65</v>
      </c>
      <c r="I212" s="7" t="s">
        <v>65</v>
      </c>
    </row>
    <row r="213" spans="1:9" ht="38.25" x14ac:dyDescent="0.25">
      <c r="A213" s="3" t="s">
        <v>585</v>
      </c>
      <c r="B213" s="33" t="s">
        <v>236</v>
      </c>
      <c r="C213" s="34" t="s">
        <v>12</v>
      </c>
      <c r="D213" s="43" t="s">
        <v>276</v>
      </c>
      <c r="E213" s="40" t="s">
        <v>14</v>
      </c>
      <c r="F213" s="36">
        <v>42186</v>
      </c>
      <c r="G213" s="28" t="s">
        <v>277</v>
      </c>
      <c r="H213" s="31" t="s">
        <v>125</v>
      </c>
      <c r="I213" s="37">
        <v>4370</v>
      </c>
    </row>
    <row r="214" spans="1:9" ht="38.25" x14ac:dyDescent="0.25">
      <c r="A214" s="3" t="s">
        <v>585</v>
      </c>
      <c r="B214" s="33" t="s">
        <v>236</v>
      </c>
      <c r="C214" s="34" t="s">
        <v>12</v>
      </c>
      <c r="D214" s="43" t="s">
        <v>276</v>
      </c>
      <c r="E214" s="40" t="s">
        <v>14</v>
      </c>
      <c r="F214" s="36">
        <v>42186</v>
      </c>
      <c r="G214" s="28" t="s">
        <v>278</v>
      </c>
      <c r="H214" s="31" t="s">
        <v>125</v>
      </c>
      <c r="I214" s="31" t="s">
        <v>65</v>
      </c>
    </row>
    <row r="215" spans="1:9" ht="38.25" x14ac:dyDescent="0.25">
      <c r="A215" s="3" t="s">
        <v>585</v>
      </c>
      <c r="B215" s="33" t="s">
        <v>236</v>
      </c>
      <c r="C215" s="34" t="s">
        <v>12</v>
      </c>
      <c r="D215" s="43" t="s">
        <v>276</v>
      </c>
      <c r="E215" s="40" t="s">
        <v>14</v>
      </c>
      <c r="F215" s="36">
        <v>42186</v>
      </c>
      <c r="G215" s="28" t="s">
        <v>279</v>
      </c>
      <c r="H215" s="31" t="s">
        <v>125</v>
      </c>
      <c r="I215" s="31" t="s">
        <v>65</v>
      </c>
    </row>
    <row r="216" spans="1:9" ht="38.25" x14ac:dyDescent="0.25">
      <c r="A216" s="3" t="s">
        <v>581</v>
      </c>
      <c r="B216" s="33" t="s">
        <v>236</v>
      </c>
      <c r="C216" s="34" t="s">
        <v>12</v>
      </c>
      <c r="D216" s="43" t="s">
        <v>276</v>
      </c>
      <c r="E216" s="40" t="s">
        <v>14</v>
      </c>
      <c r="F216" s="36">
        <v>42186</v>
      </c>
      <c r="G216" s="28" t="s">
        <v>280</v>
      </c>
      <c r="H216" s="31" t="s">
        <v>125</v>
      </c>
      <c r="I216" s="31" t="s">
        <v>65</v>
      </c>
    </row>
    <row r="217" spans="1:9" ht="38.25" x14ac:dyDescent="0.25">
      <c r="A217" s="3" t="s">
        <v>581</v>
      </c>
      <c r="B217" s="33" t="s">
        <v>236</v>
      </c>
      <c r="C217" s="34" t="s">
        <v>12</v>
      </c>
      <c r="D217" s="43" t="s">
        <v>276</v>
      </c>
      <c r="E217" s="40" t="s">
        <v>14</v>
      </c>
      <c r="F217" s="36">
        <v>42186</v>
      </c>
      <c r="G217" s="28" t="s">
        <v>281</v>
      </c>
      <c r="H217" s="31" t="s">
        <v>282</v>
      </c>
      <c r="I217" s="31" t="s">
        <v>65</v>
      </c>
    </row>
    <row r="218" spans="1:9" ht="38.25" x14ac:dyDescent="0.25">
      <c r="A218" s="3" t="s">
        <v>581</v>
      </c>
      <c r="B218" s="33" t="s">
        <v>236</v>
      </c>
      <c r="C218" s="34" t="s">
        <v>12</v>
      </c>
      <c r="D218" s="43" t="s">
        <v>276</v>
      </c>
      <c r="E218" s="40" t="s">
        <v>14</v>
      </c>
      <c r="F218" s="36">
        <v>42186</v>
      </c>
      <c r="G218" s="28" t="s">
        <v>288</v>
      </c>
      <c r="H218" s="31" t="s">
        <v>282</v>
      </c>
      <c r="I218" s="31" t="s">
        <v>65</v>
      </c>
    </row>
    <row r="219" spans="1:9" ht="38.25" x14ac:dyDescent="0.25">
      <c r="A219" s="3" t="s">
        <v>581</v>
      </c>
      <c r="B219" s="33" t="s">
        <v>236</v>
      </c>
      <c r="C219" s="34" t="s">
        <v>12</v>
      </c>
      <c r="D219" s="43" t="s">
        <v>276</v>
      </c>
      <c r="E219" s="40" t="s">
        <v>14</v>
      </c>
      <c r="F219" s="36">
        <v>42186</v>
      </c>
      <c r="G219" s="28" t="s">
        <v>147</v>
      </c>
      <c r="H219" s="31" t="s">
        <v>282</v>
      </c>
      <c r="I219" s="31" t="s">
        <v>65</v>
      </c>
    </row>
    <row r="220" spans="1:9" ht="38.25" x14ac:dyDescent="0.25">
      <c r="A220" s="3" t="s">
        <v>581</v>
      </c>
      <c r="B220" s="33" t="s">
        <v>236</v>
      </c>
      <c r="C220" s="34" t="s">
        <v>12</v>
      </c>
      <c r="D220" s="43" t="s">
        <v>276</v>
      </c>
      <c r="E220" s="40" t="s">
        <v>14</v>
      </c>
      <c r="F220" s="36">
        <v>42186</v>
      </c>
      <c r="G220" s="28" t="s">
        <v>284</v>
      </c>
      <c r="H220" s="31" t="s">
        <v>125</v>
      </c>
      <c r="I220" s="31" t="s">
        <v>65</v>
      </c>
    </row>
    <row r="221" spans="1:9" ht="25.5" x14ac:dyDescent="0.25">
      <c r="A221" s="3" t="s">
        <v>581</v>
      </c>
      <c r="B221" s="33" t="s">
        <v>236</v>
      </c>
      <c r="C221" s="34" t="s">
        <v>12</v>
      </c>
      <c r="D221" s="43" t="s">
        <v>285</v>
      </c>
      <c r="E221" s="40" t="s">
        <v>14</v>
      </c>
      <c r="F221" s="36">
        <v>42040</v>
      </c>
      <c r="G221" s="28" t="s">
        <v>223</v>
      </c>
      <c r="H221" s="31" t="s">
        <v>125</v>
      </c>
      <c r="I221" s="37">
        <v>4368</v>
      </c>
    </row>
    <row r="222" spans="1:9" ht="25.5" x14ac:dyDescent="0.25">
      <c r="A222" s="3" t="s">
        <v>581</v>
      </c>
      <c r="B222" s="33" t="s">
        <v>236</v>
      </c>
      <c r="C222" s="34" t="s">
        <v>12</v>
      </c>
      <c r="D222" s="43" t="s">
        <v>285</v>
      </c>
      <c r="E222" s="40" t="s">
        <v>14</v>
      </c>
      <c r="F222" s="36">
        <v>42040</v>
      </c>
      <c r="G222" s="28" t="s">
        <v>147</v>
      </c>
      <c r="H222" s="31" t="s">
        <v>282</v>
      </c>
      <c r="I222" s="37">
        <v>5078</v>
      </c>
    </row>
    <row r="223" spans="1:9" ht="25.5" x14ac:dyDescent="0.25">
      <c r="A223" s="3" t="s">
        <v>581</v>
      </c>
      <c r="B223" s="33" t="s">
        <v>236</v>
      </c>
      <c r="C223" s="34" t="s">
        <v>12</v>
      </c>
      <c r="D223" s="43" t="s">
        <v>285</v>
      </c>
      <c r="E223" s="40" t="s">
        <v>14</v>
      </c>
      <c r="F223" s="36">
        <v>42040</v>
      </c>
      <c r="G223" s="28" t="s">
        <v>286</v>
      </c>
      <c r="H223" s="31" t="s">
        <v>287</v>
      </c>
      <c r="I223" s="37">
        <v>7006</v>
      </c>
    </row>
    <row r="224" spans="1:9" ht="25.5" x14ac:dyDescent="0.25">
      <c r="A224" s="3" t="s">
        <v>581</v>
      </c>
      <c r="B224" s="33" t="s">
        <v>236</v>
      </c>
      <c r="C224" s="34" t="s">
        <v>12</v>
      </c>
      <c r="D224" s="43" t="s">
        <v>285</v>
      </c>
      <c r="E224" s="40" t="s">
        <v>14</v>
      </c>
      <c r="F224" s="36">
        <v>42040</v>
      </c>
      <c r="G224" s="28" t="s">
        <v>284</v>
      </c>
      <c r="H224" s="31" t="s">
        <v>282</v>
      </c>
      <c r="I224" s="37">
        <v>24186</v>
      </c>
    </row>
    <row r="225" spans="1:9" ht="25.5" x14ac:dyDescent="0.25">
      <c r="A225" s="3" t="s">
        <v>581</v>
      </c>
      <c r="B225" s="33" t="s">
        <v>236</v>
      </c>
      <c r="C225" s="34" t="s">
        <v>12</v>
      </c>
      <c r="D225" s="43" t="s">
        <v>285</v>
      </c>
      <c r="E225" s="40" t="s">
        <v>14</v>
      </c>
      <c r="F225" s="36">
        <v>42040</v>
      </c>
      <c r="G225" s="28" t="s">
        <v>149</v>
      </c>
      <c r="H225" s="31" t="s">
        <v>148</v>
      </c>
      <c r="I225" s="31" t="s">
        <v>65</v>
      </c>
    </row>
    <row r="226" spans="1:9" ht="25.5" x14ac:dyDescent="0.25">
      <c r="A226" s="3" t="s">
        <v>581</v>
      </c>
      <c r="B226" s="33" t="s">
        <v>236</v>
      </c>
      <c r="C226" s="34" t="s">
        <v>12</v>
      </c>
      <c r="D226" s="43" t="s">
        <v>285</v>
      </c>
      <c r="E226" s="40" t="s">
        <v>14</v>
      </c>
      <c r="F226" s="36">
        <v>42040</v>
      </c>
      <c r="G226" s="28" t="s">
        <v>281</v>
      </c>
      <c r="H226" s="31" t="s">
        <v>282</v>
      </c>
      <c r="I226" s="31" t="s">
        <v>65</v>
      </c>
    </row>
    <row r="227" spans="1:9" ht="25.5" x14ac:dyDescent="0.25">
      <c r="A227" s="3" t="s">
        <v>581</v>
      </c>
      <c r="B227" s="33" t="s">
        <v>236</v>
      </c>
      <c r="C227" s="34" t="s">
        <v>12</v>
      </c>
      <c r="D227" s="43" t="s">
        <v>285</v>
      </c>
      <c r="E227" s="40" t="s">
        <v>14</v>
      </c>
      <c r="F227" s="36">
        <v>42040</v>
      </c>
      <c r="G227" s="28" t="s">
        <v>347</v>
      </c>
      <c r="H227" s="31" t="s">
        <v>287</v>
      </c>
      <c r="I227" s="31" t="s">
        <v>65</v>
      </c>
    </row>
    <row r="228" spans="1:9" ht="38.25" x14ac:dyDescent="0.25">
      <c r="A228" s="3" t="s">
        <v>581</v>
      </c>
      <c r="B228" s="33" t="s">
        <v>236</v>
      </c>
      <c r="C228" s="34" t="s">
        <v>12</v>
      </c>
      <c r="D228" s="43" t="s">
        <v>289</v>
      </c>
      <c r="E228" s="40" t="s">
        <v>14</v>
      </c>
      <c r="F228" s="36">
        <v>42040</v>
      </c>
      <c r="G228" s="28" t="s">
        <v>348</v>
      </c>
      <c r="H228" s="31" t="s">
        <v>125</v>
      </c>
      <c r="I228" s="37">
        <v>12012</v>
      </c>
    </row>
    <row r="229" spans="1:9" ht="38.25" x14ac:dyDescent="0.25">
      <c r="A229" s="3" t="s">
        <v>581</v>
      </c>
      <c r="B229" s="33" t="s">
        <v>236</v>
      </c>
      <c r="C229" s="34" t="s">
        <v>12</v>
      </c>
      <c r="D229" s="43" t="s">
        <v>289</v>
      </c>
      <c r="E229" s="40" t="s">
        <v>14</v>
      </c>
      <c r="F229" s="36">
        <v>42040</v>
      </c>
      <c r="G229" s="28" t="s">
        <v>223</v>
      </c>
      <c r="H229" s="31" t="s">
        <v>123</v>
      </c>
      <c r="I229" s="37">
        <v>4246</v>
      </c>
    </row>
    <row r="230" spans="1:9" ht="38.25" x14ac:dyDescent="0.25">
      <c r="A230" s="3" t="s">
        <v>581</v>
      </c>
      <c r="B230" s="33" t="s">
        <v>236</v>
      </c>
      <c r="C230" s="34" t="s">
        <v>12</v>
      </c>
      <c r="D230" s="43" t="s">
        <v>289</v>
      </c>
      <c r="E230" s="40" t="s">
        <v>14</v>
      </c>
      <c r="F230" s="36">
        <v>42040</v>
      </c>
      <c r="G230" s="28" t="s">
        <v>147</v>
      </c>
      <c r="H230" s="31" t="s">
        <v>282</v>
      </c>
      <c r="I230" s="37">
        <v>9125</v>
      </c>
    </row>
    <row r="231" spans="1:9" ht="38.25" x14ac:dyDescent="0.25">
      <c r="A231" s="3" t="s">
        <v>581</v>
      </c>
      <c r="B231" s="33" t="s">
        <v>236</v>
      </c>
      <c r="C231" s="34" t="s">
        <v>12</v>
      </c>
      <c r="D231" s="43" t="s">
        <v>289</v>
      </c>
      <c r="E231" s="40" t="s">
        <v>14</v>
      </c>
      <c r="F231" s="36">
        <v>42040</v>
      </c>
      <c r="G231" s="28" t="s">
        <v>349</v>
      </c>
      <c r="H231" s="31" t="s">
        <v>287</v>
      </c>
      <c r="I231" s="37">
        <v>9113</v>
      </c>
    </row>
    <row r="232" spans="1:9" ht="38.25" x14ac:dyDescent="0.25">
      <c r="A232" s="3" t="s">
        <v>581</v>
      </c>
      <c r="B232" s="33" t="s">
        <v>236</v>
      </c>
      <c r="C232" s="34" t="s">
        <v>12</v>
      </c>
      <c r="D232" s="43" t="s">
        <v>289</v>
      </c>
      <c r="E232" s="40" t="s">
        <v>14</v>
      </c>
      <c r="F232" s="36">
        <v>42040</v>
      </c>
      <c r="G232" s="28" t="s">
        <v>292</v>
      </c>
      <c r="H232" s="31" t="s">
        <v>287</v>
      </c>
      <c r="I232" s="31" t="s">
        <v>65</v>
      </c>
    </row>
    <row r="233" spans="1:9" ht="38.25" x14ac:dyDescent="0.25">
      <c r="A233" s="3" t="s">
        <v>581</v>
      </c>
      <c r="B233" s="33" t="s">
        <v>236</v>
      </c>
      <c r="C233" s="34" t="s">
        <v>12</v>
      </c>
      <c r="D233" s="43" t="s">
        <v>289</v>
      </c>
      <c r="E233" s="40" t="s">
        <v>14</v>
      </c>
      <c r="F233" s="36">
        <v>42040</v>
      </c>
      <c r="G233" s="28" t="s">
        <v>293</v>
      </c>
      <c r="H233" s="31" t="s">
        <v>287</v>
      </c>
      <c r="I233" s="31" t="s">
        <v>65</v>
      </c>
    </row>
    <row r="234" spans="1:9" ht="38.25" x14ac:dyDescent="0.25">
      <c r="A234" s="3" t="s">
        <v>581</v>
      </c>
      <c r="B234" s="33" t="s">
        <v>236</v>
      </c>
      <c r="C234" s="34" t="s">
        <v>12</v>
      </c>
      <c r="D234" s="43" t="s">
        <v>294</v>
      </c>
      <c r="E234" s="40" t="s">
        <v>14</v>
      </c>
      <c r="F234" s="36">
        <v>42278</v>
      </c>
      <c r="G234" s="28" t="s">
        <v>284</v>
      </c>
      <c r="H234" s="31" t="s">
        <v>287</v>
      </c>
      <c r="I234" s="37">
        <v>11594</v>
      </c>
    </row>
    <row r="235" spans="1:9" ht="38.25" x14ac:dyDescent="0.25">
      <c r="A235" s="3" t="s">
        <v>581</v>
      </c>
      <c r="B235" s="33" t="s">
        <v>236</v>
      </c>
      <c r="C235" s="34" t="s">
        <v>12</v>
      </c>
      <c r="D235" s="43" t="s">
        <v>294</v>
      </c>
      <c r="E235" s="40" t="s">
        <v>14</v>
      </c>
      <c r="F235" s="36">
        <v>42278</v>
      </c>
      <c r="G235" s="28" t="s">
        <v>281</v>
      </c>
      <c r="H235" s="31" t="s">
        <v>125</v>
      </c>
      <c r="I235" s="31" t="s">
        <v>65</v>
      </c>
    </row>
    <row r="236" spans="1:9" ht="38.25" x14ac:dyDescent="0.25">
      <c r="A236" s="3" t="s">
        <v>581</v>
      </c>
      <c r="B236" s="33" t="s">
        <v>236</v>
      </c>
      <c r="C236" s="34" t="s">
        <v>12</v>
      </c>
      <c r="D236" s="43" t="s">
        <v>294</v>
      </c>
      <c r="E236" s="40" t="s">
        <v>14</v>
      </c>
      <c r="F236" s="36">
        <v>42278</v>
      </c>
      <c r="G236" s="28" t="s">
        <v>288</v>
      </c>
      <c r="H236" s="31" t="s">
        <v>125</v>
      </c>
      <c r="I236" s="31" t="s">
        <v>65</v>
      </c>
    </row>
    <row r="237" spans="1:9" ht="51" x14ac:dyDescent="0.25">
      <c r="A237" s="3" t="s">
        <v>581</v>
      </c>
      <c r="B237" s="33" t="s">
        <v>236</v>
      </c>
      <c r="C237" s="34" t="s">
        <v>12</v>
      </c>
      <c r="D237" s="43" t="s">
        <v>295</v>
      </c>
      <c r="E237" s="40" t="s">
        <v>14</v>
      </c>
      <c r="F237" s="36">
        <v>42278</v>
      </c>
      <c r="G237" s="28" t="s">
        <v>284</v>
      </c>
      <c r="H237" s="31" t="s">
        <v>123</v>
      </c>
      <c r="I237" s="37">
        <v>24214</v>
      </c>
    </row>
    <row r="238" spans="1:9" ht="51" x14ac:dyDescent="0.25">
      <c r="A238" s="3" t="s">
        <v>581</v>
      </c>
      <c r="B238" s="33" t="s">
        <v>236</v>
      </c>
      <c r="C238" s="34" t="s">
        <v>12</v>
      </c>
      <c r="D238" s="43" t="s">
        <v>295</v>
      </c>
      <c r="E238" s="40" t="s">
        <v>14</v>
      </c>
      <c r="F238" s="36">
        <v>42278</v>
      </c>
      <c r="G238" s="28" t="s">
        <v>147</v>
      </c>
      <c r="H238" s="31" t="s">
        <v>125</v>
      </c>
      <c r="I238" s="37">
        <v>24187</v>
      </c>
    </row>
    <row r="239" spans="1:9" ht="51" x14ac:dyDescent="0.25">
      <c r="A239" s="3" t="s">
        <v>581</v>
      </c>
      <c r="B239" s="33" t="s">
        <v>236</v>
      </c>
      <c r="C239" s="34" t="s">
        <v>12</v>
      </c>
      <c r="D239" s="43" t="s">
        <v>295</v>
      </c>
      <c r="E239" s="40" t="s">
        <v>14</v>
      </c>
      <c r="F239" s="36">
        <v>42278</v>
      </c>
      <c r="G239" s="28" t="s">
        <v>296</v>
      </c>
      <c r="H239" s="31" t="s">
        <v>125</v>
      </c>
      <c r="I239" s="37">
        <v>24186</v>
      </c>
    </row>
    <row r="240" spans="1:9" x14ac:dyDescent="0.25">
      <c r="A240" s="39" t="s">
        <v>350</v>
      </c>
      <c r="B240" s="40" t="s">
        <v>236</v>
      </c>
      <c r="C240" s="40" t="s">
        <v>12</v>
      </c>
      <c r="D240" s="46" t="s">
        <v>351</v>
      </c>
      <c r="E240" s="46" t="s">
        <v>14</v>
      </c>
      <c r="F240" s="47">
        <v>42041</v>
      </c>
      <c r="G240" s="48" t="s">
        <v>352</v>
      </c>
      <c r="H240" s="46" t="s">
        <v>353</v>
      </c>
      <c r="I240" s="13" t="s">
        <v>354</v>
      </c>
    </row>
    <row r="241" spans="1:9" x14ac:dyDescent="0.25">
      <c r="A241" s="39" t="s">
        <v>350</v>
      </c>
      <c r="B241" s="40" t="s">
        <v>236</v>
      </c>
      <c r="C241" s="40" t="s">
        <v>12</v>
      </c>
      <c r="D241" s="46" t="s">
        <v>351</v>
      </c>
      <c r="E241" s="46" t="s">
        <v>14</v>
      </c>
      <c r="F241" s="47">
        <v>42041</v>
      </c>
      <c r="G241" s="48" t="s">
        <v>355</v>
      </c>
      <c r="H241" s="46" t="s">
        <v>356</v>
      </c>
      <c r="I241" s="13" t="s">
        <v>357</v>
      </c>
    </row>
    <row r="242" spans="1:9" x14ac:dyDescent="0.25">
      <c r="A242" s="39" t="s">
        <v>350</v>
      </c>
      <c r="B242" s="40" t="s">
        <v>236</v>
      </c>
      <c r="C242" s="40" t="s">
        <v>12</v>
      </c>
      <c r="D242" s="46" t="s">
        <v>351</v>
      </c>
      <c r="E242" s="46" t="s">
        <v>14</v>
      </c>
      <c r="F242" s="47">
        <v>42041</v>
      </c>
      <c r="G242" s="48" t="s">
        <v>358</v>
      </c>
      <c r="H242" s="46" t="s">
        <v>359</v>
      </c>
      <c r="I242" s="13" t="s">
        <v>357</v>
      </c>
    </row>
    <row r="243" spans="1:9" x14ac:dyDescent="0.25">
      <c r="A243" s="39" t="s">
        <v>350</v>
      </c>
      <c r="B243" s="40" t="s">
        <v>236</v>
      </c>
      <c r="C243" s="40" t="s">
        <v>12</v>
      </c>
      <c r="D243" s="46" t="s">
        <v>351</v>
      </c>
      <c r="E243" s="46" t="s">
        <v>14</v>
      </c>
      <c r="F243" s="47">
        <v>42041</v>
      </c>
      <c r="G243" s="48" t="s">
        <v>360</v>
      </c>
      <c r="H243" s="46" t="s">
        <v>361</v>
      </c>
      <c r="I243" s="13" t="s">
        <v>357</v>
      </c>
    </row>
    <row r="244" spans="1:9" ht="105" x14ac:dyDescent="0.25">
      <c r="A244" s="39" t="s">
        <v>350</v>
      </c>
      <c r="B244" s="40" t="s">
        <v>236</v>
      </c>
      <c r="C244" s="40" t="s">
        <v>12</v>
      </c>
      <c r="D244" s="46" t="s">
        <v>351</v>
      </c>
      <c r="E244" s="46" t="s">
        <v>14</v>
      </c>
      <c r="F244" s="47">
        <v>42041</v>
      </c>
      <c r="G244" s="48" t="s">
        <v>362</v>
      </c>
      <c r="H244" s="46" t="s">
        <v>363</v>
      </c>
      <c r="I244" s="18" t="s">
        <v>364</v>
      </c>
    </row>
    <row r="245" spans="1:9" x14ac:dyDescent="0.25">
      <c r="A245" s="39" t="s">
        <v>350</v>
      </c>
      <c r="B245" s="40" t="s">
        <v>236</v>
      </c>
      <c r="C245" s="40" t="s">
        <v>12</v>
      </c>
      <c r="D245" s="46" t="s">
        <v>351</v>
      </c>
      <c r="E245" s="46" t="s">
        <v>14</v>
      </c>
      <c r="F245" s="47">
        <v>42041</v>
      </c>
      <c r="G245" s="48" t="s">
        <v>365</v>
      </c>
      <c r="H245" s="46" t="s">
        <v>366</v>
      </c>
      <c r="I245" s="11" t="s">
        <v>65</v>
      </c>
    </row>
    <row r="246" spans="1:9" x14ac:dyDescent="0.25">
      <c r="A246" s="39" t="s">
        <v>350</v>
      </c>
      <c r="B246" s="40" t="s">
        <v>236</v>
      </c>
      <c r="C246" s="40" t="s">
        <v>12</v>
      </c>
      <c r="D246" s="46" t="s">
        <v>351</v>
      </c>
      <c r="E246" s="46" t="s">
        <v>14</v>
      </c>
      <c r="F246" s="47">
        <v>42041</v>
      </c>
      <c r="G246" s="48" t="s">
        <v>367</v>
      </c>
      <c r="H246" s="46" t="s">
        <v>274</v>
      </c>
      <c r="I246" s="11" t="s">
        <v>65</v>
      </c>
    </row>
    <row r="247" spans="1:9" x14ac:dyDescent="0.25">
      <c r="A247" s="39" t="s">
        <v>350</v>
      </c>
      <c r="B247" s="40" t="s">
        <v>236</v>
      </c>
      <c r="C247" s="40" t="s">
        <v>12</v>
      </c>
      <c r="D247" s="46" t="s">
        <v>351</v>
      </c>
      <c r="E247" s="46" t="s">
        <v>14</v>
      </c>
      <c r="F247" s="47">
        <v>42041</v>
      </c>
      <c r="G247" s="48" t="s">
        <v>368</v>
      </c>
      <c r="H247" s="46" t="s">
        <v>366</v>
      </c>
      <c r="I247" s="11" t="s">
        <v>65</v>
      </c>
    </row>
    <row r="248" spans="1:9" x14ac:dyDescent="0.25">
      <c r="A248" s="39" t="s">
        <v>350</v>
      </c>
      <c r="B248" s="40" t="s">
        <v>236</v>
      </c>
      <c r="C248" s="40" t="s">
        <v>12</v>
      </c>
      <c r="D248" s="46" t="s">
        <v>369</v>
      </c>
      <c r="E248" s="46" t="s">
        <v>14</v>
      </c>
      <c r="F248" s="47">
        <v>42041</v>
      </c>
      <c r="G248" s="48" t="s">
        <v>352</v>
      </c>
      <c r="H248" s="46" t="s">
        <v>353</v>
      </c>
      <c r="I248" s="13" t="s">
        <v>354</v>
      </c>
    </row>
    <row r="249" spans="1:9" x14ac:dyDescent="0.25">
      <c r="A249" s="39" t="s">
        <v>350</v>
      </c>
      <c r="B249" s="40" t="s">
        <v>236</v>
      </c>
      <c r="C249" s="40" t="s">
        <v>12</v>
      </c>
      <c r="D249" s="46" t="s">
        <v>369</v>
      </c>
      <c r="E249" s="46" t="s">
        <v>14</v>
      </c>
      <c r="F249" s="47">
        <v>42041</v>
      </c>
      <c r="G249" s="48" t="s">
        <v>355</v>
      </c>
      <c r="H249" s="46" t="s">
        <v>356</v>
      </c>
      <c r="I249" s="13" t="s">
        <v>357</v>
      </c>
    </row>
    <row r="250" spans="1:9" x14ac:dyDescent="0.25">
      <c r="A250" s="39" t="s">
        <v>350</v>
      </c>
      <c r="B250" s="40" t="s">
        <v>236</v>
      </c>
      <c r="C250" s="40" t="s">
        <v>12</v>
      </c>
      <c r="D250" s="46" t="s">
        <v>369</v>
      </c>
      <c r="E250" s="46" t="s">
        <v>14</v>
      </c>
      <c r="F250" s="47">
        <v>42041</v>
      </c>
      <c r="G250" s="48" t="s">
        <v>358</v>
      </c>
      <c r="H250" s="46" t="s">
        <v>359</v>
      </c>
      <c r="I250" s="13" t="s">
        <v>357</v>
      </c>
    </row>
    <row r="251" spans="1:9" x14ac:dyDescent="0.25">
      <c r="A251" s="39" t="s">
        <v>350</v>
      </c>
      <c r="B251" s="40" t="s">
        <v>236</v>
      </c>
      <c r="C251" s="40" t="s">
        <v>12</v>
      </c>
      <c r="D251" s="46" t="s">
        <v>369</v>
      </c>
      <c r="E251" s="46" t="s">
        <v>14</v>
      </c>
      <c r="F251" s="47">
        <v>42041</v>
      </c>
      <c r="G251" s="48" t="s">
        <v>360</v>
      </c>
      <c r="H251" s="46" t="s">
        <v>361</v>
      </c>
      <c r="I251" s="13" t="s">
        <v>357</v>
      </c>
    </row>
    <row r="252" spans="1:9" ht="105" x14ac:dyDescent="0.25">
      <c r="A252" s="39" t="s">
        <v>350</v>
      </c>
      <c r="B252" s="40" t="s">
        <v>236</v>
      </c>
      <c r="C252" s="40" t="s">
        <v>12</v>
      </c>
      <c r="D252" s="46" t="s">
        <v>369</v>
      </c>
      <c r="E252" s="46" t="s">
        <v>14</v>
      </c>
      <c r="F252" s="47">
        <v>42041</v>
      </c>
      <c r="G252" s="48" t="s">
        <v>362</v>
      </c>
      <c r="H252" s="46" t="s">
        <v>363</v>
      </c>
      <c r="I252" s="18" t="s">
        <v>364</v>
      </c>
    </row>
    <row r="253" spans="1:9" x14ac:dyDescent="0.25">
      <c r="A253" s="39" t="s">
        <v>350</v>
      </c>
      <c r="B253" s="40" t="s">
        <v>236</v>
      </c>
      <c r="C253" s="40" t="s">
        <v>12</v>
      </c>
      <c r="D253" s="46" t="s">
        <v>369</v>
      </c>
      <c r="E253" s="46" t="s">
        <v>14</v>
      </c>
      <c r="F253" s="47">
        <v>42041</v>
      </c>
      <c r="G253" s="48" t="s">
        <v>365</v>
      </c>
      <c r="H253" s="46" t="s">
        <v>366</v>
      </c>
      <c r="I253" s="7" t="s">
        <v>65</v>
      </c>
    </row>
    <row r="254" spans="1:9" x14ac:dyDescent="0.25">
      <c r="A254" s="39" t="s">
        <v>350</v>
      </c>
      <c r="B254" s="40" t="s">
        <v>236</v>
      </c>
      <c r="C254" s="40" t="s">
        <v>12</v>
      </c>
      <c r="D254" s="46" t="s">
        <v>369</v>
      </c>
      <c r="E254" s="46" t="s">
        <v>14</v>
      </c>
      <c r="F254" s="47">
        <v>42041</v>
      </c>
      <c r="G254" s="48" t="s">
        <v>367</v>
      </c>
      <c r="H254" s="46" t="s">
        <v>274</v>
      </c>
      <c r="I254" s="7" t="s">
        <v>65</v>
      </c>
    </row>
    <row r="255" spans="1:9" x14ac:dyDescent="0.25">
      <c r="A255" s="39" t="s">
        <v>350</v>
      </c>
      <c r="B255" s="40" t="s">
        <v>236</v>
      </c>
      <c r="C255" s="40" t="s">
        <v>12</v>
      </c>
      <c r="D255" s="46" t="s">
        <v>369</v>
      </c>
      <c r="E255" s="46" t="s">
        <v>14</v>
      </c>
      <c r="F255" s="47">
        <v>42041</v>
      </c>
      <c r="G255" s="48" t="s">
        <v>368</v>
      </c>
      <c r="H255" s="46" t="s">
        <v>366</v>
      </c>
      <c r="I255" s="7" t="s">
        <v>65</v>
      </c>
    </row>
    <row r="256" spans="1:9" x14ac:dyDescent="0.25">
      <c r="A256" s="39" t="s">
        <v>370</v>
      </c>
      <c r="B256" s="40" t="s">
        <v>236</v>
      </c>
      <c r="C256" s="40" t="s">
        <v>12</v>
      </c>
      <c r="D256" s="43" t="s">
        <v>371</v>
      </c>
      <c r="E256" s="43" t="s">
        <v>14</v>
      </c>
      <c r="F256" s="42">
        <v>42040</v>
      </c>
      <c r="G256" s="48" t="s">
        <v>372</v>
      </c>
      <c r="H256" s="46" t="s">
        <v>104</v>
      </c>
      <c r="I256" s="13" t="s">
        <v>373</v>
      </c>
    </row>
    <row r="257" spans="1:9" x14ac:dyDescent="0.25">
      <c r="A257" s="39" t="s">
        <v>370</v>
      </c>
      <c r="B257" s="40" t="s">
        <v>236</v>
      </c>
      <c r="C257" s="40" t="s">
        <v>12</v>
      </c>
      <c r="D257" s="43" t="s">
        <v>371</v>
      </c>
      <c r="E257" s="43" t="s">
        <v>14</v>
      </c>
      <c r="F257" s="42">
        <v>42040</v>
      </c>
      <c r="G257" s="48" t="s">
        <v>374</v>
      </c>
      <c r="H257" s="46" t="s">
        <v>375</v>
      </c>
      <c r="I257" s="13" t="s">
        <v>376</v>
      </c>
    </row>
    <row r="258" spans="1:9" x14ac:dyDescent="0.25">
      <c r="A258" s="39" t="s">
        <v>370</v>
      </c>
      <c r="B258" s="40" t="s">
        <v>236</v>
      </c>
      <c r="C258" s="40" t="s">
        <v>12</v>
      </c>
      <c r="D258" s="43" t="s">
        <v>371</v>
      </c>
      <c r="E258" s="43" t="s">
        <v>14</v>
      </c>
      <c r="F258" s="42">
        <v>42040</v>
      </c>
      <c r="G258" s="48" t="s">
        <v>147</v>
      </c>
      <c r="H258" s="46" t="s">
        <v>377</v>
      </c>
      <c r="I258" s="13" t="s">
        <v>378</v>
      </c>
    </row>
    <row r="259" spans="1:9" x14ac:dyDescent="0.25">
      <c r="A259" s="39" t="s">
        <v>370</v>
      </c>
      <c r="B259" s="40" t="s">
        <v>236</v>
      </c>
      <c r="C259" s="40" t="s">
        <v>12</v>
      </c>
      <c r="D259" s="43" t="s">
        <v>371</v>
      </c>
      <c r="E259" s="43" t="s">
        <v>14</v>
      </c>
      <c r="F259" s="42">
        <v>42040</v>
      </c>
      <c r="G259" s="48" t="s">
        <v>379</v>
      </c>
      <c r="H259" s="46" t="s">
        <v>377</v>
      </c>
      <c r="I259" s="13" t="s">
        <v>378</v>
      </c>
    </row>
    <row r="260" spans="1:9" x14ac:dyDescent="0.25">
      <c r="A260" s="39" t="s">
        <v>370</v>
      </c>
      <c r="B260" s="40" t="s">
        <v>236</v>
      </c>
      <c r="C260" s="40" t="s">
        <v>12</v>
      </c>
      <c r="D260" s="43" t="s">
        <v>371</v>
      </c>
      <c r="E260" s="43" t="s">
        <v>14</v>
      </c>
      <c r="F260" s="42">
        <v>42040</v>
      </c>
      <c r="G260" s="48" t="s">
        <v>380</v>
      </c>
      <c r="H260" s="46" t="s">
        <v>377</v>
      </c>
      <c r="I260" s="13" t="s">
        <v>378</v>
      </c>
    </row>
    <row r="261" spans="1:9" x14ac:dyDescent="0.25">
      <c r="A261" s="39" t="s">
        <v>370</v>
      </c>
      <c r="B261" s="40" t="s">
        <v>236</v>
      </c>
      <c r="C261" s="40" t="s">
        <v>12</v>
      </c>
      <c r="D261" s="43" t="s">
        <v>371</v>
      </c>
      <c r="E261" s="43" t="s">
        <v>14</v>
      </c>
      <c r="F261" s="42">
        <v>42040</v>
      </c>
      <c r="G261" s="48" t="s">
        <v>190</v>
      </c>
      <c r="H261" s="46" t="s">
        <v>377</v>
      </c>
      <c r="I261" s="13" t="s">
        <v>378</v>
      </c>
    </row>
    <row r="262" spans="1:9" x14ac:dyDescent="0.25">
      <c r="A262" s="39" t="s">
        <v>370</v>
      </c>
      <c r="B262" s="40" t="s">
        <v>236</v>
      </c>
      <c r="C262" s="40" t="s">
        <v>12</v>
      </c>
      <c r="D262" s="46" t="s">
        <v>381</v>
      </c>
      <c r="E262" s="46" t="s">
        <v>14</v>
      </c>
      <c r="F262" s="41">
        <v>42040</v>
      </c>
      <c r="G262" s="48" t="s">
        <v>382</v>
      </c>
      <c r="H262" s="46" t="s">
        <v>382</v>
      </c>
      <c r="I262" s="13" t="s">
        <v>382</v>
      </c>
    </row>
    <row r="263" spans="1:9" x14ac:dyDescent="0.25">
      <c r="A263" s="49" t="s">
        <v>383</v>
      </c>
      <c r="B263" s="4" t="s">
        <v>236</v>
      </c>
      <c r="C263" s="22" t="s">
        <v>14</v>
      </c>
      <c r="D263" s="50" t="s">
        <v>65</v>
      </c>
      <c r="E263" s="50" t="s">
        <v>65</v>
      </c>
      <c r="F263" s="7" t="s">
        <v>65</v>
      </c>
      <c r="G263" s="51" t="s">
        <v>65</v>
      </c>
      <c r="H263" s="50" t="s">
        <v>65</v>
      </c>
      <c r="I263" s="7" t="s">
        <v>65</v>
      </c>
    </row>
    <row r="264" spans="1:9" x14ac:dyDescent="0.25">
      <c r="A264" s="49" t="s">
        <v>384</v>
      </c>
      <c r="B264" s="4" t="s">
        <v>236</v>
      </c>
      <c r="C264" s="4" t="s">
        <v>14</v>
      </c>
      <c r="D264" s="50" t="s">
        <v>65</v>
      </c>
      <c r="E264" s="50" t="s">
        <v>65</v>
      </c>
      <c r="F264" s="7" t="s">
        <v>65</v>
      </c>
      <c r="G264" s="51" t="s">
        <v>65</v>
      </c>
      <c r="H264" s="50" t="s">
        <v>65</v>
      </c>
      <c r="I264" s="7" t="s">
        <v>65</v>
      </c>
    </row>
    <row r="265" spans="1:9" x14ac:dyDescent="0.25">
      <c r="A265" s="49" t="s">
        <v>385</v>
      </c>
      <c r="B265" s="4" t="s">
        <v>236</v>
      </c>
      <c r="C265" s="4" t="s">
        <v>14</v>
      </c>
      <c r="D265" s="50" t="s">
        <v>65</v>
      </c>
      <c r="E265" s="50" t="s">
        <v>65</v>
      </c>
      <c r="F265" s="7" t="s">
        <v>65</v>
      </c>
      <c r="G265" s="51" t="s">
        <v>65</v>
      </c>
      <c r="H265" s="50" t="s">
        <v>65</v>
      </c>
      <c r="I265" s="7" t="s">
        <v>65</v>
      </c>
    </row>
    <row r="266" spans="1:9" x14ac:dyDescent="0.25">
      <c r="A266" s="49" t="s">
        <v>386</v>
      </c>
      <c r="B266" s="4" t="s">
        <v>236</v>
      </c>
      <c r="C266" s="4" t="s">
        <v>14</v>
      </c>
      <c r="D266" s="50" t="s">
        <v>65</v>
      </c>
      <c r="E266" s="30" t="s">
        <v>65</v>
      </c>
      <c r="F266" s="7" t="s">
        <v>65</v>
      </c>
      <c r="G266" s="10" t="s">
        <v>65</v>
      </c>
      <c r="H266" s="7" t="s">
        <v>65</v>
      </c>
      <c r="I266" s="7" t="s">
        <v>65</v>
      </c>
    </row>
    <row r="267" spans="1:9" x14ac:dyDescent="0.25">
      <c r="A267" s="49" t="s">
        <v>387</v>
      </c>
      <c r="B267" s="4" t="s">
        <v>236</v>
      </c>
      <c r="C267" s="4" t="s">
        <v>14</v>
      </c>
      <c r="D267" s="50" t="s">
        <v>65</v>
      </c>
      <c r="E267" s="30" t="s">
        <v>65</v>
      </c>
      <c r="F267" s="7" t="s">
        <v>65</v>
      </c>
      <c r="G267" s="10" t="s">
        <v>65</v>
      </c>
      <c r="H267" s="7" t="s">
        <v>65</v>
      </c>
      <c r="I267" s="7" t="s">
        <v>65</v>
      </c>
    </row>
    <row r="268" spans="1:9" x14ac:dyDescent="0.25">
      <c r="A268" s="49" t="s">
        <v>388</v>
      </c>
      <c r="B268" s="4" t="s">
        <v>236</v>
      </c>
      <c r="C268" s="4" t="s">
        <v>14</v>
      </c>
      <c r="D268" s="50" t="s">
        <v>65</v>
      </c>
      <c r="E268" s="30" t="s">
        <v>65</v>
      </c>
      <c r="F268" s="7" t="s">
        <v>65</v>
      </c>
      <c r="G268" s="10" t="s">
        <v>65</v>
      </c>
      <c r="H268" s="7" t="s">
        <v>65</v>
      </c>
      <c r="I268" s="7" t="s">
        <v>65</v>
      </c>
    </row>
    <row r="269" spans="1:9" x14ac:dyDescent="0.25">
      <c r="A269" s="49" t="s">
        <v>582</v>
      </c>
      <c r="B269" s="4" t="s">
        <v>236</v>
      </c>
      <c r="C269" s="4" t="s">
        <v>12</v>
      </c>
      <c r="D269" s="50" t="s">
        <v>389</v>
      </c>
      <c r="E269" s="43" t="s">
        <v>14</v>
      </c>
      <c r="F269" s="7" t="s">
        <v>65</v>
      </c>
      <c r="G269" s="48" t="s">
        <v>390</v>
      </c>
      <c r="H269" s="7" t="s">
        <v>391</v>
      </c>
      <c r="I269" s="8" t="s">
        <v>392</v>
      </c>
    </row>
    <row r="270" spans="1:9" x14ac:dyDescent="0.25">
      <c r="A270" s="49" t="s">
        <v>582</v>
      </c>
      <c r="B270" s="4" t="s">
        <v>236</v>
      </c>
      <c r="C270" s="4" t="s">
        <v>12</v>
      </c>
      <c r="D270" s="50" t="s">
        <v>389</v>
      </c>
      <c r="E270" s="43" t="s">
        <v>14</v>
      </c>
      <c r="F270" s="7" t="s">
        <v>65</v>
      </c>
      <c r="G270" s="48" t="s">
        <v>393</v>
      </c>
      <c r="H270" s="7" t="s">
        <v>394</v>
      </c>
      <c r="I270" s="8" t="s">
        <v>395</v>
      </c>
    </row>
    <row r="271" spans="1:9" x14ac:dyDescent="0.25">
      <c r="A271" s="49" t="s">
        <v>582</v>
      </c>
      <c r="B271" s="4" t="s">
        <v>236</v>
      </c>
      <c r="C271" s="4" t="s">
        <v>12</v>
      </c>
      <c r="D271" s="50" t="s">
        <v>389</v>
      </c>
      <c r="E271" s="43" t="s">
        <v>14</v>
      </c>
      <c r="F271" s="7" t="s">
        <v>65</v>
      </c>
      <c r="G271" s="48" t="s">
        <v>396</v>
      </c>
      <c r="H271" s="7" t="s">
        <v>394</v>
      </c>
      <c r="I271" s="8" t="s">
        <v>397</v>
      </c>
    </row>
    <row r="272" spans="1:9" x14ac:dyDescent="0.25">
      <c r="A272" s="49" t="s">
        <v>582</v>
      </c>
      <c r="B272" s="4" t="s">
        <v>236</v>
      </c>
      <c r="C272" s="4" t="s">
        <v>12</v>
      </c>
      <c r="D272" s="50" t="s">
        <v>389</v>
      </c>
      <c r="E272" s="43" t="s">
        <v>14</v>
      </c>
      <c r="F272" s="7" t="s">
        <v>65</v>
      </c>
      <c r="G272" s="48" t="s">
        <v>398</v>
      </c>
      <c r="H272" s="7" t="s">
        <v>394</v>
      </c>
      <c r="I272" s="8" t="s">
        <v>399</v>
      </c>
    </row>
    <row r="273" spans="1:9" x14ac:dyDescent="0.25">
      <c r="A273" s="49" t="s">
        <v>582</v>
      </c>
      <c r="B273" s="4" t="s">
        <v>236</v>
      </c>
      <c r="C273" s="4" t="s">
        <v>12</v>
      </c>
      <c r="D273" s="50" t="s">
        <v>389</v>
      </c>
      <c r="E273" s="43" t="s">
        <v>14</v>
      </c>
      <c r="F273" s="7" t="s">
        <v>65</v>
      </c>
      <c r="G273" s="48" t="s">
        <v>400</v>
      </c>
      <c r="H273" s="7" t="s">
        <v>391</v>
      </c>
      <c r="I273" s="8" t="s">
        <v>401</v>
      </c>
    </row>
    <row r="274" spans="1:9" x14ac:dyDescent="0.25">
      <c r="A274" s="49" t="s">
        <v>582</v>
      </c>
      <c r="B274" s="4" t="s">
        <v>236</v>
      </c>
      <c r="C274" s="4" t="s">
        <v>12</v>
      </c>
      <c r="D274" s="50" t="s">
        <v>389</v>
      </c>
      <c r="E274" s="43" t="s">
        <v>14</v>
      </c>
      <c r="F274" s="7" t="s">
        <v>65</v>
      </c>
      <c r="G274" s="48" t="s">
        <v>402</v>
      </c>
      <c r="H274" s="7" t="s">
        <v>391</v>
      </c>
      <c r="I274" s="8" t="s">
        <v>403</v>
      </c>
    </row>
    <row r="275" spans="1:9" x14ac:dyDescent="0.25">
      <c r="A275" s="49" t="s">
        <v>582</v>
      </c>
      <c r="B275" s="4" t="s">
        <v>236</v>
      </c>
      <c r="C275" s="4" t="s">
        <v>12</v>
      </c>
      <c r="D275" s="50" t="s">
        <v>389</v>
      </c>
      <c r="E275" s="43" t="s">
        <v>14</v>
      </c>
      <c r="F275" s="7" t="s">
        <v>65</v>
      </c>
      <c r="G275" s="48" t="s">
        <v>404</v>
      </c>
      <c r="H275" s="7" t="s">
        <v>391</v>
      </c>
      <c r="I275" s="8" t="s">
        <v>405</v>
      </c>
    </row>
    <row r="276" spans="1:9" x14ac:dyDescent="0.25">
      <c r="A276" s="49" t="s">
        <v>582</v>
      </c>
      <c r="B276" s="4" t="s">
        <v>236</v>
      </c>
      <c r="C276" s="4" t="s">
        <v>12</v>
      </c>
      <c r="D276" s="50" t="s">
        <v>389</v>
      </c>
      <c r="E276" s="43" t="s">
        <v>14</v>
      </c>
      <c r="F276" s="7" t="s">
        <v>65</v>
      </c>
      <c r="G276" s="48" t="s">
        <v>406</v>
      </c>
      <c r="H276" s="7" t="s">
        <v>394</v>
      </c>
      <c r="I276" s="8" t="s">
        <v>407</v>
      </c>
    </row>
    <row r="277" spans="1:9" x14ac:dyDescent="0.25">
      <c r="A277" s="49" t="s">
        <v>582</v>
      </c>
      <c r="B277" s="4" t="s">
        <v>236</v>
      </c>
      <c r="C277" s="4" t="s">
        <v>12</v>
      </c>
      <c r="D277" s="50" t="s">
        <v>389</v>
      </c>
      <c r="E277" s="43" t="s">
        <v>14</v>
      </c>
      <c r="F277" s="7" t="s">
        <v>65</v>
      </c>
      <c r="G277" s="48" t="s">
        <v>408</v>
      </c>
      <c r="H277" s="7" t="s">
        <v>394</v>
      </c>
      <c r="I277" s="8" t="s">
        <v>409</v>
      </c>
    </row>
    <row r="278" spans="1:9" x14ac:dyDescent="0.25">
      <c r="A278" s="49" t="s">
        <v>582</v>
      </c>
      <c r="B278" s="4" t="s">
        <v>236</v>
      </c>
      <c r="C278" s="4" t="s">
        <v>12</v>
      </c>
      <c r="D278" s="50" t="s">
        <v>389</v>
      </c>
      <c r="E278" s="43" t="s">
        <v>14</v>
      </c>
      <c r="F278" s="7" t="s">
        <v>65</v>
      </c>
      <c r="G278" s="48" t="s">
        <v>410</v>
      </c>
      <c r="H278" s="7" t="s">
        <v>394</v>
      </c>
      <c r="I278" s="8" t="s">
        <v>411</v>
      </c>
    </row>
    <row r="279" spans="1:9" x14ac:dyDescent="0.25">
      <c r="A279" s="49" t="s">
        <v>582</v>
      </c>
      <c r="B279" s="4" t="s">
        <v>236</v>
      </c>
      <c r="C279" s="4" t="s">
        <v>12</v>
      </c>
      <c r="D279" s="50" t="s">
        <v>389</v>
      </c>
      <c r="E279" s="43" t="s">
        <v>14</v>
      </c>
      <c r="F279" s="7" t="s">
        <v>65</v>
      </c>
      <c r="G279" s="48" t="s">
        <v>412</v>
      </c>
      <c r="H279" s="7" t="s">
        <v>394</v>
      </c>
      <c r="I279" s="8" t="s">
        <v>413</v>
      </c>
    </row>
    <row r="280" spans="1:9" x14ac:dyDescent="0.25">
      <c r="A280" s="49" t="s">
        <v>582</v>
      </c>
      <c r="B280" s="4" t="s">
        <v>236</v>
      </c>
      <c r="C280" s="4" t="s">
        <v>12</v>
      </c>
      <c r="D280" s="50" t="s">
        <v>389</v>
      </c>
      <c r="E280" s="43" t="s">
        <v>14</v>
      </c>
      <c r="F280" s="7" t="s">
        <v>65</v>
      </c>
      <c r="G280" s="48" t="s">
        <v>414</v>
      </c>
      <c r="H280" s="7" t="s">
        <v>394</v>
      </c>
      <c r="I280" s="8" t="s">
        <v>415</v>
      </c>
    </row>
    <row r="281" spans="1:9" x14ac:dyDescent="0.25">
      <c r="A281" s="49" t="s">
        <v>582</v>
      </c>
      <c r="B281" s="4" t="s">
        <v>236</v>
      </c>
      <c r="C281" s="4" t="s">
        <v>12</v>
      </c>
      <c r="D281" s="50" t="s">
        <v>389</v>
      </c>
      <c r="E281" s="43" t="s">
        <v>14</v>
      </c>
      <c r="F281" s="7" t="s">
        <v>65</v>
      </c>
      <c r="G281" s="48" t="s">
        <v>416</v>
      </c>
      <c r="H281" s="7" t="s">
        <v>391</v>
      </c>
      <c r="I281" s="8" t="s">
        <v>417</v>
      </c>
    </row>
    <row r="282" spans="1:9" x14ac:dyDescent="0.25">
      <c r="A282" s="49" t="s">
        <v>582</v>
      </c>
      <c r="B282" s="4" t="s">
        <v>236</v>
      </c>
      <c r="C282" s="4" t="s">
        <v>12</v>
      </c>
      <c r="D282" s="50" t="s">
        <v>389</v>
      </c>
      <c r="E282" s="43" t="s">
        <v>14</v>
      </c>
      <c r="F282" s="7" t="s">
        <v>65</v>
      </c>
      <c r="G282" s="48" t="s">
        <v>418</v>
      </c>
      <c r="H282" s="7" t="s">
        <v>391</v>
      </c>
      <c r="I282" s="8" t="s">
        <v>419</v>
      </c>
    </row>
    <row r="283" spans="1:9" x14ac:dyDescent="0.25">
      <c r="A283" s="49" t="s">
        <v>582</v>
      </c>
      <c r="B283" s="4" t="s">
        <v>236</v>
      </c>
      <c r="C283" s="4" t="s">
        <v>12</v>
      </c>
      <c r="D283" s="50" t="s">
        <v>389</v>
      </c>
      <c r="E283" s="43" t="s">
        <v>14</v>
      </c>
      <c r="F283" s="7" t="s">
        <v>65</v>
      </c>
      <c r="G283" s="48" t="s">
        <v>420</v>
      </c>
      <c r="H283" s="7" t="s">
        <v>391</v>
      </c>
      <c r="I283" s="8" t="s">
        <v>421</v>
      </c>
    </row>
    <row r="284" spans="1:9" x14ac:dyDescent="0.25">
      <c r="A284" s="49" t="s">
        <v>582</v>
      </c>
      <c r="B284" s="4" t="s">
        <v>236</v>
      </c>
      <c r="C284" s="4" t="s">
        <v>12</v>
      </c>
      <c r="D284" s="50" t="s">
        <v>389</v>
      </c>
      <c r="E284" s="43" t="s">
        <v>14</v>
      </c>
      <c r="F284" s="7" t="s">
        <v>65</v>
      </c>
      <c r="G284" s="48" t="s">
        <v>422</v>
      </c>
      <c r="H284" s="7" t="s">
        <v>423</v>
      </c>
      <c r="I284" s="8" t="s">
        <v>424</v>
      </c>
    </row>
    <row r="285" spans="1:9" x14ac:dyDescent="0.25">
      <c r="A285" s="49" t="s">
        <v>582</v>
      </c>
      <c r="B285" s="4" t="s">
        <v>236</v>
      </c>
      <c r="C285" s="4" t="s">
        <v>12</v>
      </c>
      <c r="D285" s="50" t="s">
        <v>389</v>
      </c>
      <c r="E285" s="43" t="s">
        <v>14</v>
      </c>
      <c r="F285" s="7" t="s">
        <v>65</v>
      </c>
      <c r="G285" s="48" t="s">
        <v>425</v>
      </c>
      <c r="H285" s="7" t="s">
        <v>394</v>
      </c>
      <c r="I285" s="8" t="s">
        <v>426</v>
      </c>
    </row>
    <row r="286" spans="1:9" x14ac:dyDescent="0.25">
      <c r="A286" s="49" t="s">
        <v>582</v>
      </c>
      <c r="B286" s="4" t="s">
        <v>236</v>
      </c>
      <c r="C286" s="4" t="s">
        <v>12</v>
      </c>
      <c r="D286" s="50" t="s">
        <v>389</v>
      </c>
      <c r="E286" s="43" t="s">
        <v>14</v>
      </c>
      <c r="F286" s="7" t="s">
        <v>65</v>
      </c>
      <c r="G286" s="48" t="s">
        <v>427</v>
      </c>
      <c r="H286" s="7" t="s">
        <v>391</v>
      </c>
      <c r="I286" s="8" t="s">
        <v>428</v>
      </c>
    </row>
    <row r="287" spans="1:9" x14ac:dyDescent="0.25">
      <c r="A287" s="49" t="s">
        <v>582</v>
      </c>
      <c r="B287" s="4" t="s">
        <v>236</v>
      </c>
      <c r="C287" s="4" t="s">
        <v>12</v>
      </c>
      <c r="D287" s="50" t="s">
        <v>389</v>
      </c>
      <c r="E287" s="43" t="s">
        <v>14</v>
      </c>
      <c r="F287" s="7" t="s">
        <v>65</v>
      </c>
      <c r="G287" s="48" t="s">
        <v>429</v>
      </c>
      <c r="H287" s="7" t="s">
        <v>394</v>
      </c>
      <c r="I287" s="8" t="s">
        <v>430</v>
      </c>
    </row>
    <row r="288" spans="1:9" x14ac:dyDescent="0.25">
      <c r="A288" s="49" t="s">
        <v>582</v>
      </c>
      <c r="B288" s="4" t="s">
        <v>236</v>
      </c>
      <c r="C288" s="4" t="s">
        <v>12</v>
      </c>
      <c r="D288" s="50" t="s">
        <v>389</v>
      </c>
      <c r="E288" s="43" t="s">
        <v>14</v>
      </c>
      <c r="F288" s="7" t="s">
        <v>65</v>
      </c>
      <c r="G288" s="48" t="s">
        <v>431</v>
      </c>
      <c r="H288" s="7" t="s">
        <v>391</v>
      </c>
      <c r="I288" s="8" t="s">
        <v>432</v>
      </c>
    </row>
    <row r="289" spans="1:9" x14ac:dyDescent="0.25">
      <c r="A289" s="49" t="s">
        <v>582</v>
      </c>
      <c r="B289" s="4" t="s">
        <v>236</v>
      </c>
      <c r="C289" s="4" t="s">
        <v>12</v>
      </c>
      <c r="D289" s="50" t="s">
        <v>389</v>
      </c>
      <c r="E289" s="43" t="s">
        <v>14</v>
      </c>
      <c r="F289" s="7" t="s">
        <v>65</v>
      </c>
      <c r="G289" s="48" t="s">
        <v>433</v>
      </c>
      <c r="H289" s="7" t="s">
        <v>391</v>
      </c>
      <c r="I289" s="8" t="s">
        <v>434</v>
      </c>
    </row>
    <row r="290" spans="1:9" x14ac:dyDescent="0.25">
      <c r="A290" s="49" t="s">
        <v>582</v>
      </c>
      <c r="B290" s="4" t="s">
        <v>236</v>
      </c>
      <c r="C290" s="4" t="s">
        <v>12</v>
      </c>
      <c r="D290" s="50" t="s">
        <v>389</v>
      </c>
      <c r="E290" s="43" t="s">
        <v>14</v>
      </c>
      <c r="F290" s="7" t="s">
        <v>65</v>
      </c>
      <c r="G290" s="48" t="s">
        <v>435</v>
      </c>
      <c r="H290" s="7" t="s">
        <v>391</v>
      </c>
      <c r="I290" s="8" t="s">
        <v>436</v>
      </c>
    </row>
    <row r="291" spans="1:9" x14ac:dyDescent="0.25">
      <c r="A291" s="49" t="s">
        <v>582</v>
      </c>
      <c r="B291" s="4" t="s">
        <v>236</v>
      </c>
      <c r="C291" s="4" t="s">
        <v>12</v>
      </c>
      <c r="D291" s="50" t="s">
        <v>389</v>
      </c>
      <c r="E291" s="43" t="s">
        <v>14</v>
      </c>
      <c r="F291" s="7" t="s">
        <v>65</v>
      </c>
      <c r="G291" s="48" t="s">
        <v>437</v>
      </c>
      <c r="H291" s="7" t="s">
        <v>391</v>
      </c>
      <c r="I291" s="8" t="s">
        <v>438</v>
      </c>
    </row>
    <row r="292" spans="1:9" x14ac:dyDescent="0.25">
      <c r="A292" s="49" t="s">
        <v>582</v>
      </c>
      <c r="B292" s="4" t="s">
        <v>236</v>
      </c>
      <c r="C292" s="4" t="s">
        <v>12</v>
      </c>
      <c r="D292" s="50" t="s">
        <v>389</v>
      </c>
      <c r="E292" s="43" t="s">
        <v>14</v>
      </c>
      <c r="F292" s="7" t="s">
        <v>65</v>
      </c>
      <c r="G292" s="48" t="s">
        <v>439</v>
      </c>
      <c r="H292" s="7" t="s">
        <v>423</v>
      </c>
      <c r="I292" s="8" t="s">
        <v>440</v>
      </c>
    </row>
    <row r="293" spans="1:9" x14ac:dyDescent="0.25">
      <c r="A293" s="49" t="s">
        <v>582</v>
      </c>
      <c r="B293" s="4" t="s">
        <v>236</v>
      </c>
      <c r="C293" s="4" t="s">
        <v>12</v>
      </c>
      <c r="D293" s="50" t="s">
        <v>389</v>
      </c>
      <c r="E293" s="43" t="s">
        <v>14</v>
      </c>
      <c r="F293" s="7" t="s">
        <v>65</v>
      </c>
      <c r="G293" s="48" t="s">
        <v>441</v>
      </c>
      <c r="H293" s="7" t="s">
        <v>394</v>
      </c>
      <c r="I293" s="8" t="s">
        <v>442</v>
      </c>
    </row>
    <row r="294" spans="1:9" x14ac:dyDescent="0.25">
      <c r="A294" s="49" t="s">
        <v>582</v>
      </c>
      <c r="B294" s="4" t="s">
        <v>236</v>
      </c>
      <c r="C294" s="4" t="s">
        <v>12</v>
      </c>
      <c r="D294" s="50" t="s">
        <v>389</v>
      </c>
      <c r="E294" s="43" t="s">
        <v>14</v>
      </c>
      <c r="F294" s="7" t="s">
        <v>65</v>
      </c>
      <c r="G294" s="48" t="s">
        <v>443</v>
      </c>
      <c r="H294" s="7" t="s">
        <v>394</v>
      </c>
      <c r="I294" s="8" t="s">
        <v>444</v>
      </c>
    </row>
    <row r="295" spans="1:9" x14ac:dyDescent="0.25">
      <c r="A295" s="49" t="s">
        <v>582</v>
      </c>
      <c r="B295" s="4" t="s">
        <v>236</v>
      </c>
      <c r="C295" s="4" t="s">
        <v>12</v>
      </c>
      <c r="D295" s="50" t="s">
        <v>389</v>
      </c>
      <c r="E295" s="43" t="s">
        <v>14</v>
      </c>
      <c r="F295" s="7" t="s">
        <v>65</v>
      </c>
      <c r="G295" s="48" t="s">
        <v>445</v>
      </c>
      <c r="H295" s="7" t="s">
        <v>446</v>
      </c>
      <c r="I295" s="8" t="s">
        <v>447</v>
      </c>
    </row>
    <row r="296" spans="1:9" x14ac:dyDescent="0.25">
      <c r="A296" s="49" t="s">
        <v>582</v>
      </c>
      <c r="B296" s="4" t="s">
        <v>236</v>
      </c>
      <c r="C296" s="4" t="s">
        <v>12</v>
      </c>
      <c r="D296" s="50" t="s">
        <v>389</v>
      </c>
      <c r="E296" s="43" t="s">
        <v>14</v>
      </c>
      <c r="F296" s="7" t="s">
        <v>65</v>
      </c>
      <c r="G296" s="48" t="s">
        <v>448</v>
      </c>
      <c r="H296" s="7" t="s">
        <v>446</v>
      </c>
      <c r="I296" s="8" t="s">
        <v>449</v>
      </c>
    </row>
    <row r="297" spans="1:9" x14ac:dyDescent="0.25">
      <c r="A297" s="49" t="s">
        <v>582</v>
      </c>
      <c r="B297" s="4" t="s">
        <v>236</v>
      </c>
      <c r="C297" s="4" t="s">
        <v>12</v>
      </c>
      <c r="D297" s="50" t="s">
        <v>389</v>
      </c>
      <c r="E297" s="43" t="s">
        <v>14</v>
      </c>
      <c r="F297" s="7" t="s">
        <v>65</v>
      </c>
      <c r="G297" s="48" t="s">
        <v>450</v>
      </c>
      <c r="H297" s="7" t="s">
        <v>451</v>
      </c>
      <c r="I297" s="8" t="s">
        <v>452</v>
      </c>
    </row>
    <row r="298" spans="1:9" x14ac:dyDescent="0.25">
      <c r="A298" s="49" t="s">
        <v>582</v>
      </c>
      <c r="B298" s="4" t="s">
        <v>236</v>
      </c>
      <c r="C298" s="4" t="s">
        <v>12</v>
      </c>
      <c r="D298" s="50" t="s">
        <v>389</v>
      </c>
      <c r="E298" s="43" t="s">
        <v>14</v>
      </c>
      <c r="F298" s="7" t="s">
        <v>65</v>
      </c>
      <c r="G298" s="48" t="s">
        <v>453</v>
      </c>
      <c r="H298" s="7" t="s">
        <v>454</v>
      </c>
      <c r="I298" s="8" t="s">
        <v>455</v>
      </c>
    </row>
    <row r="299" spans="1:9" x14ac:dyDescent="0.25">
      <c r="A299" s="49" t="s">
        <v>582</v>
      </c>
      <c r="B299" s="4" t="s">
        <v>236</v>
      </c>
      <c r="C299" s="4" t="s">
        <v>12</v>
      </c>
      <c r="D299" s="50" t="s">
        <v>389</v>
      </c>
      <c r="E299" s="43" t="s">
        <v>14</v>
      </c>
      <c r="F299" s="7" t="s">
        <v>65</v>
      </c>
      <c r="G299" s="48" t="s">
        <v>589</v>
      </c>
      <c r="H299" s="7" t="s">
        <v>456</v>
      </c>
      <c r="I299" s="8" t="s">
        <v>457</v>
      </c>
    </row>
    <row r="300" spans="1:9" x14ac:dyDescent="0.25">
      <c r="A300" s="49" t="s">
        <v>582</v>
      </c>
      <c r="B300" s="4" t="s">
        <v>236</v>
      </c>
      <c r="C300" s="4" t="s">
        <v>12</v>
      </c>
      <c r="D300" s="50" t="s">
        <v>389</v>
      </c>
      <c r="E300" s="43" t="s">
        <v>14</v>
      </c>
      <c r="F300" s="7" t="s">
        <v>65</v>
      </c>
      <c r="G300" s="48" t="s">
        <v>458</v>
      </c>
      <c r="H300" s="7" t="s">
        <v>459</v>
      </c>
      <c r="I300" s="8" t="s">
        <v>460</v>
      </c>
    </row>
    <row r="301" spans="1:9" x14ac:dyDescent="0.25">
      <c r="A301" s="49" t="s">
        <v>582</v>
      </c>
      <c r="B301" s="4" t="s">
        <v>236</v>
      </c>
      <c r="C301" s="4" t="s">
        <v>12</v>
      </c>
      <c r="D301" s="50" t="s">
        <v>389</v>
      </c>
      <c r="E301" s="43" t="s">
        <v>14</v>
      </c>
      <c r="F301" s="7" t="s">
        <v>65</v>
      </c>
      <c r="G301" s="48" t="s">
        <v>461</v>
      </c>
      <c r="H301" s="7"/>
      <c r="I301" s="8" t="s">
        <v>462</v>
      </c>
    </row>
    <row r="302" spans="1:9" x14ac:dyDescent="0.25">
      <c r="A302" s="49" t="s">
        <v>582</v>
      </c>
      <c r="B302" s="4" t="s">
        <v>236</v>
      </c>
      <c r="C302" s="4" t="s">
        <v>12</v>
      </c>
      <c r="D302" s="50" t="s">
        <v>389</v>
      </c>
      <c r="E302" s="43" t="s">
        <v>14</v>
      </c>
      <c r="F302" s="7" t="s">
        <v>65</v>
      </c>
      <c r="G302" s="48" t="s">
        <v>588</v>
      </c>
      <c r="H302" s="7" t="s">
        <v>28</v>
      </c>
      <c r="I302" s="8" t="s">
        <v>463</v>
      </c>
    </row>
    <row r="303" spans="1:9" x14ac:dyDescent="0.25">
      <c r="A303" s="49" t="s">
        <v>582</v>
      </c>
      <c r="B303" s="4" t="s">
        <v>236</v>
      </c>
      <c r="C303" s="4" t="s">
        <v>12</v>
      </c>
      <c r="D303" s="50" t="s">
        <v>389</v>
      </c>
      <c r="E303" s="43" t="s">
        <v>14</v>
      </c>
      <c r="F303" s="7" t="s">
        <v>65</v>
      </c>
      <c r="G303" s="48" t="s">
        <v>587</v>
      </c>
      <c r="H303" s="7" t="s">
        <v>394</v>
      </c>
      <c r="I303" s="8" t="s">
        <v>464</v>
      </c>
    </row>
    <row r="304" spans="1:9" x14ac:dyDescent="0.25">
      <c r="A304" s="49" t="s">
        <v>582</v>
      </c>
      <c r="B304" s="4" t="s">
        <v>236</v>
      </c>
      <c r="C304" s="4" t="s">
        <v>12</v>
      </c>
      <c r="D304" s="50" t="s">
        <v>389</v>
      </c>
      <c r="E304" s="43" t="s">
        <v>14</v>
      </c>
      <c r="F304" s="7" t="s">
        <v>65</v>
      </c>
      <c r="G304" s="48" t="s">
        <v>465</v>
      </c>
      <c r="H304" s="7" t="s">
        <v>391</v>
      </c>
      <c r="I304" s="8" t="s">
        <v>466</v>
      </c>
    </row>
    <row r="305" spans="1:9" x14ac:dyDescent="0.25">
      <c r="A305" s="49" t="s">
        <v>582</v>
      </c>
      <c r="B305" s="4" t="s">
        <v>236</v>
      </c>
      <c r="C305" s="4" t="s">
        <v>12</v>
      </c>
      <c r="D305" s="50" t="s">
        <v>389</v>
      </c>
      <c r="E305" s="43" t="s">
        <v>14</v>
      </c>
      <c r="F305" s="7" t="s">
        <v>65</v>
      </c>
      <c r="G305" s="48" t="s">
        <v>467</v>
      </c>
      <c r="H305" s="7" t="s">
        <v>377</v>
      </c>
      <c r="I305" s="8" t="s">
        <v>468</v>
      </c>
    </row>
    <row r="306" spans="1:9" x14ac:dyDescent="0.25">
      <c r="A306" s="49" t="s">
        <v>582</v>
      </c>
      <c r="B306" s="4" t="s">
        <v>236</v>
      </c>
      <c r="C306" s="4" t="s">
        <v>12</v>
      </c>
      <c r="D306" s="50" t="s">
        <v>389</v>
      </c>
      <c r="E306" s="43" t="s">
        <v>14</v>
      </c>
      <c r="F306" s="7" t="s">
        <v>65</v>
      </c>
      <c r="G306" s="48" t="s">
        <v>469</v>
      </c>
      <c r="H306" s="7" t="s">
        <v>377</v>
      </c>
      <c r="I306" s="8" t="s">
        <v>470</v>
      </c>
    </row>
    <row r="307" spans="1:9" x14ac:dyDescent="0.25">
      <c r="A307" s="49" t="s">
        <v>582</v>
      </c>
      <c r="B307" s="4" t="s">
        <v>236</v>
      </c>
      <c r="C307" s="4" t="s">
        <v>12</v>
      </c>
      <c r="D307" s="50" t="s">
        <v>389</v>
      </c>
      <c r="E307" s="43" t="s">
        <v>14</v>
      </c>
      <c r="F307" s="7" t="s">
        <v>65</v>
      </c>
      <c r="G307" s="48" t="s">
        <v>471</v>
      </c>
      <c r="H307" s="7" t="s">
        <v>377</v>
      </c>
      <c r="I307" s="8" t="s">
        <v>472</v>
      </c>
    </row>
    <row r="308" spans="1:9" x14ac:dyDescent="0.25">
      <c r="A308" s="49" t="s">
        <v>582</v>
      </c>
      <c r="B308" s="4" t="s">
        <v>236</v>
      </c>
      <c r="C308" s="4" t="s">
        <v>12</v>
      </c>
      <c r="D308" s="50" t="s">
        <v>389</v>
      </c>
      <c r="E308" s="43" t="s">
        <v>14</v>
      </c>
      <c r="F308" s="7" t="s">
        <v>65</v>
      </c>
      <c r="G308" s="48" t="s">
        <v>473</v>
      </c>
      <c r="H308" s="7" t="s">
        <v>474</v>
      </c>
      <c r="I308" s="8" t="s">
        <v>475</v>
      </c>
    </row>
    <row r="309" spans="1:9" x14ac:dyDescent="0.25">
      <c r="A309" s="49" t="s">
        <v>582</v>
      </c>
      <c r="B309" s="4" t="s">
        <v>236</v>
      </c>
      <c r="C309" s="4" t="s">
        <v>12</v>
      </c>
      <c r="D309" s="50" t="s">
        <v>389</v>
      </c>
      <c r="E309" s="43" t="s">
        <v>14</v>
      </c>
      <c r="F309" s="7" t="s">
        <v>65</v>
      </c>
      <c r="G309" s="48" t="s">
        <v>476</v>
      </c>
      <c r="H309" s="7" t="s">
        <v>477</v>
      </c>
      <c r="I309" s="8" t="s">
        <v>478</v>
      </c>
    </row>
    <row r="310" spans="1:9" x14ac:dyDescent="0.25">
      <c r="A310" s="49" t="s">
        <v>479</v>
      </c>
      <c r="B310" s="4" t="s">
        <v>236</v>
      </c>
      <c r="C310" s="22" t="s">
        <v>12</v>
      </c>
      <c r="D310" s="50" t="s">
        <v>480</v>
      </c>
      <c r="E310" s="43" t="s">
        <v>14</v>
      </c>
      <c r="F310" s="5">
        <v>42137</v>
      </c>
      <c r="G310" s="6" t="s">
        <v>481</v>
      </c>
      <c r="H310" s="7" t="s">
        <v>339</v>
      </c>
      <c r="I310" s="8" t="s">
        <v>482</v>
      </c>
    </row>
    <row r="311" spans="1:9" x14ac:dyDescent="0.25">
      <c r="A311" s="49" t="s">
        <v>479</v>
      </c>
      <c r="B311" s="4" t="s">
        <v>236</v>
      </c>
      <c r="C311" s="22" t="s">
        <v>12</v>
      </c>
      <c r="D311" s="50" t="s">
        <v>480</v>
      </c>
      <c r="E311" s="43" t="s">
        <v>14</v>
      </c>
      <c r="F311" s="5">
        <v>42137</v>
      </c>
      <c r="G311" s="6" t="s">
        <v>483</v>
      </c>
      <c r="H311" s="7" t="s">
        <v>484</v>
      </c>
      <c r="I311" s="8" t="s">
        <v>485</v>
      </c>
    </row>
    <row r="312" spans="1:9" x14ac:dyDescent="0.25">
      <c r="A312" s="49" t="s">
        <v>479</v>
      </c>
      <c r="B312" s="4" t="s">
        <v>236</v>
      </c>
      <c r="C312" s="22" t="s">
        <v>12</v>
      </c>
      <c r="D312" s="50" t="s">
        <v>480</v>
      </c>
      <c r="E312" s="43" t="s">
        <v>14</v>
      </c>
      <c r="F312" s="5">
        <v>42137</v>
      </c>
      <c r="G312" s="6" t="s">
        <v>198</v>
      </c>
      <c r="H312" s="7" t="s">
        <v>486</v>
      </c>
      <c r="I312" s="8" t="s">
        <v>487</v>
      </c>
    </row>
    <row r="313" spans="1:9" x14ac:dyDescent="0.25">
      <c r="A313" s="49" t="s">
        <v>479</v>
      </c>
      <c r="B313" s="4" t="s">
        <v>236</v>
      </c>
      <c r="C313" s="22" t="s">
        <v>12</v>
      </c>
      <c r="D313" s="50" t="s">
        <v>480</v>
      </c>
      <c r="E313" s="43" t="s">
        <v>14</v>
      </c>
      <c r="F313" s="5">
        <v>42137</v>
      </c>
      <c r="G313" s="6" t="s">
        <v>488</v>
      </c>
      <c r="H313" s="7" t="s">
        <v>341</v>
      </c>
      <c r="I313" s="8" t="s">
        <v>489</v>
      </c>
    </row>
    <row r="314" spans="1:9" x14ac:dyDescent="0.25">
      <c r="A314" s="49" t="s">
        <v>479</v>
      </c>
      <c r="B314" s="4" t="s">
        <v>236</v>
      </c>
      <c r="C314" s="22" t="s">
        <v>12</v>
      </c>
      <c r="D314" s="50" t="s">
        <v>480</v>
      </c>
      <c r="E314" s="43" t="s">
        <v>14</v>
      </c>
      <c r="F314" s="5">
        <v>42137</v>
      </c>
      <c r="G314" s="6" t="s">
        <v>490</v>
      </c>
      <c r="H314" s="7" t="s">
        <v>491</v>
      </c>
      <c r="I314" s="8" t="s">
        <v>492</v>
      </c>
    </row>
    <row r="315" spans="1:9" x14ac:dyDescent="0.25">
      <c r="A315" s="49" t="s">
        <v>479</v>
      </c>
      <c r="B315" s="4" t="s">
        <v>236</v>
      </c>
      <c r="C315" s="22" t="s">
        <v>12</v>
      </c>
      <c r="D315" s="50" t="s">
        <v>480</v>
      </c>
      <c r="E315" s="43" t="s">
        <v>14</v>
      </c>
      <c r="F315" s="5">
        <v>42137</v>
      </c>
      <c r="G315" s="6" t="s">
        <v>493</v>
      </c>
      <c r="H315" s="7" t="s">
        <v>494</v>
      </c>
      <c r="I315" s="8" t="s">
        <v>495</v>
      </c>
    </row>
    <row r="316" spans="1:9" x14ac:dyDescent="0.25">
      <c r="A316" s="49" t="s">
        <v>479</v>
      </c>
      <c r="B316" s="4" t="s">
        <v>236</v>
      </c>
      <c r="C316" s="22" t="s">
        <v>12</v>
      </c>
      <c r="D316" s="50" t="s">
        <v>480</v>
      </c>
      <c r="E316" s="43" t="s">
        <v>14</v>
      </c>
      <c r="F316" s="5">
        <v>42137</v>
      </c>
      <c r="G316" s="6" t="s">
        <v>496</v>
      </c>
      <c r="H316" s="7" t="s">
        <v>497</v>
      </c>
      <c r="I316" s="8" t="s">
        <v>29</v>
      </c>
    </row>
    <row r="317" spans="1:9" x14ac:dyDescent="0.25">
      <c r="A317" s="49" t="s">
        <v>479</v>
      </c>
      <c r="B317" s="4" t="s">
        <v>236</v>
      </c>
      <c r="C317" s="22" t="s">
        <v>12</v>
      </c>
      <c r="D317" s="50" t="s">
        <v>480</v>
      </c>
      <c r="E317" s="43" t="s">
        <v>14</v>
      </c>
      <c r="F317" s="5">
        <v>42137</v>
      </c>
      <c r="G317" s="6" t="s">
        <v>498</v>
      </c>
      <c r="H317" s="7" t="s">
        <v>499</v>
      </c>
      <c r="I317" s="8" t="s">
        <v>29</v>
      </c>
    </row>
    <row r="318" spans="1:9" x14ac:dyDescent="0.25">
      <c r="A318" s="49" t="s">
        <v>479</v>
      </c>
      <c r="B318" s="4" t="s">
        <v>236</v>
      </c>
      <c r="C318" s="22" t="s">
        <v>12</v>
      </c>
      <c r="D318" s="50" t="s">
        <v>480</v>
      </c>
      <c r="E318" s="43" t="s">
        <v>14</v>
      </c>
      <c r="F318" s="5">
        <v>42137</v>
      </c>
      <c r="G318" s="27" t="s">
        <v>500</v>
      </c>
      <c r="H318" s="7" t="s">
        <v>135</v>
      </c>
      <c r="I318" s="8" t="s">
        <v>29</v>
      </c>
    </row>
    <row r="319" spans="1:9" x14ac:dyDescent="0.25">
      <c r="A319" s="49" t="s">
        <v>479</v>
      </c>
      <c r="B319" s="4" t="s">
        <v>236</v>
      </c>
      <c r="C319" s="22" t="s">
        <v>12</v>
      </c>
      <c r="D319" s="50" t="s">
        <v>480</v>
      </c>
      <c r="E319" s="43" t="s">
        <v>14</v>
      </c>
      <c r="F319" s="5">
        <v>42137</v>
      </c>
      <c r="G319" s="6" t="s">
        <v>380</v>
      </c>
      <c r="H319" s="7" t="s">
        <v>501</v>
      </c>
      <c r="I319" s="8" t="s">
        <v>29</v>
      </c>
    </row>
    <row r="320" spans="1:9" x14ac:dyDescent="0.25">
      <c r="A320" s="49" t="s">
        <v>502</v>
      </c>
      <c r="B320" s="4" t="s">
        <v>236</v>
      </c>
      <c r="C320" s="22" t="s">
        <v>14</v>
      </c>
      <c r="D320" s="50" t="s">
        <v>65</v>
      </c>
      <c r="E320" s="30" t="s">
        <v>65</v>
      </c>
      <c r="F320" s="7" t="s">
        <v>65</v>
      </c>
      <c r="G320" s="10" t="s">
        <v>65</v>
      </c>
      <c r="H320" s="7" t="s">
        <v>65</v>
      </c>
      <c r="I320" s="7" t="s">
        <v>65</v>
      </c>
    </row>
    <row r="321" spans="1:9" x14ac:dyDescent="0.25">
      <c r="A321" s="49" t="s">
        <v>503</v>
      </c>
      <c r="B321" s="4" t="s">
        <v>236</v>
      </c>
      <c r="C321" s="22" t="s">
        <v>14</v>
      </c>
      <c r="D321" s="50" t="s">
        <v>65</v>
      </c>
      <c r="E321" s="30" t="s">
        <v>65</v>
      </c>
      <c r="F321" s="7" t="s">
        <v>65</v>
      </c>
      <c r="G321" s="10" t="s">
        <v>65</v>
      </c>
      <c r="H321" s="7" t="s">
        <v>65</v>
      </c>
      <c r="I321" s="7" t="s">
        <v>65</v>
      </c>
    </row>
    <row r="322" spans="1:9" x14ac:dyDescent="0.25">
      <c r="A322" s="49" t="s">
        <v>504</v>
      </c>
      <c r="B322" s="4" t="s">
        <v>236</v>
      </c>
      <c r="C322" s="4" t="s">
        <v>12</v>
      </c>
      <c r="D322" s="46" t="s">
        <v>505</v>
      </c>
      <c r="E322" s="46" t="s">
        <v>14</v>
      </c>
      <c r="F322" s="41">
        <v>42005</v>
      </c>
      <c r="G322" s="20" t="s">
        <v>506</v>
      </c>
      <c r="H322" s="16" t="s">
        <v>339</v>
      </c>
      <c r="I322" s="13" t="s">
        <v>507</v>
      </c>
    </row>
    <row r="323" spans="1:9" x14ac:dyDescent="0.25">
      <c r="A323" s="49" t="s">
        <v>504</v>
      </c>
      <c r="B323" s="4" t="s">
        <v>236</v>
      </c>
      <c r="C323" s="4" t="s">
        <v>12</v>
      </c>
      <c r="D323" s="46" t="s">
        <v>505</v>
      </c>
      <c r="E323" s="46" t="s">
        <v>14</v>
      </c>
      <c r="F323" s="41">
        <v>42005</v>
      </c>
      <c r="G323" s="20" t="s">
        <v>508</v>
      </c>
      <c r="H323" s="16" t="s">
        <v>321</v>
      </c>
      <c r="I323" s="13" t="s">
        <v>509</v>
      </c>
    </row>
    <row r="324" spans="1:9" x14ac:dyDescent="0.25">
      <c r="A324" s="49" t="s">
        <v>504</v>
      </c>
      <c r="B324" s="4" t="s">
        <v>236</v>
      </c>
      <c r="C324" s="4" t="s">
        <v>12</v>
      </c>
      <c r="D324" s="46" t="s">
        <v>505</v>
      </c>
      <c r="E324" s="46" t="s">
        <v>14</v>
      </c>
      <c r="F324" s="41">
        <v>42005</v>
      </c>
      <c r="G324" s="20" t="s">
        <v>510</v>
      </c>
      <c r="H324" s="16" t="s">
        <v>321</v>
      </c>
      <c r="I324" s="7" t="s">
        <v>65</v>
      </c>
    </row>
    <row r="325" spans="1:9" x14ac:dyDescent="0.25">
      <c r="A325" s="49" t="s">
        <v>504</v>
      </c>
      <c r="B325" s="4" t="s">
        <v>236</v>
      </c>
      <c r="C325" s="4" t="s">
        <v>12</v>
      </c>
      <c r="D325" s="46" t="s">
        <v>505</v>
      </c>
      <c r="E325" s="46" t="s">
        <v>14</v>
      </c>
      <c r="F325" s="41">
        <v>42005</v>
      </c>
      <c r="G325" s="20" t="s">
        <v>506</v>
      </c>
      <c r="H325" s="16" t="s">
        <v>339</v>
      </c>
      <c r="I325" s="7" t="s">
        <v>65</v>
      </c>
    </row>
    <row r="326" spans="1:9" x14ac:dyDescent="0.25">
      <c r="A326" s="49" t="s">
        <v>504</v>
      </c>
      <c r="B326" s="4" t="s">
        <v>236</v>
      </c>
      <c r="C326" s="4" t="s">
        <v>12</v>
      </c>
      <c r="D326" s="46" t="s">
        <v>511</v>
      </c>
      <c r="E326" s="4" t="s">
        <v>14</v>
      </c>
      <c r="F326" s="41">
        <v>42020</v>
      </c>
      <c r="G326" s="20" t="s">
        <v>506</v>
      </c>
      <c r="H326" s="16" t="s">
        <v>339</v>
      </c>
      <c r="I326" s="13" t="s">
        <v>507</v>
      </c>
    </row>
    <row r="327" spans="1:9" x14ac:dyDescent="0.25">
      <c r="A327" s="49" t="s">
        <v>504</v>
      </c>
      <c r="B327" s="4" t="s">
        <v>236</v>
      </c>
      <c r="C327" s="4" t="s">
        <v>12</v>
      </c>
      <c r="D327" s="46" t="s">
        <v>511</v>
      </c>
      <c r="E327" s="4" t="s">
        <v>14</v>
      </c>
      <c r="F327" s="41">
        <v>42020</v>
      </c>
      <c r="G327" s="20" t="s">
        <v>512</v>
      </c>
      <c r="H327" s="16" t="s">
        <v>513</v>
      </c>
      <c r="I327" s="13" t="s">
        <v>514</v>
      </c>
    </row>
    <row r="328" spans="1:9" x14ac:dyDescent="0.25">
      <c r="A328" s="49" t="s">
        <v>504</v>
      </c>
      <c r="B328" s="4" t="s">
        <v>236</v>
      </c>
      <c r="C328" s="4" t="s">
        <v>12</v>
      </c>
      <c r="D328" s="46" t="s">
        <v>511</v>
      </c>
      <c r="E328" s="4" t="s">
        <v>14</v>
      </c>
      <c r="F328" s="41">
        <v>42020</v>
      </c>
      <c r="G328" s="20" t="s">
        <v>338</v>
      </c>
      <c r="H328" s="16" t="s">
        <v>515</v>
      </c>
      <c r="I328" s="7" t="s">
        <v>65</v>
      </c>
    </row>
    <row r="329" spans="1:9" x14ac:dyDescent="0.25">
      <c r="A329" s="49" t="s">
        <v>504</v>
      </c>
      <c r="B329" s="4" t="s">
        <v>236</v>
      </c>
      <c r="C329" s="4" t="s">
        <v>12</v>
      </c>
      <c r="D329" s="46" t="s">
        <v>511</v>
      </c>
      <c r="E329" s="4" t="s">
        <v>14</v>
      </c>
      <c r="F329" s="41">
        <v>42020</v>
      </c>
      <c r="G329" s="20" t="s">
        <v>516</v>
      </c>
      <c r="H329" s="16" t="s">
        <v>517</v>
      </c>
      <c r="I329" s="7" t="s">
        <v>65</v>
      </c>
    </row>
    <row r="330" spans="1:9" x14ac:dyDescent="0.25">
      <c r="A330" s="49" t="s">
        <v>504</v>
      </c>
      <c r="B330" s="4" t="s">
        <v>236</v>
      </c>
      <c r="C330" s="4" t="s">
        <v>12</v>
      </c>
      <c r="D330" s="46" t="s">
        <v>511</v>
      </c>
      <c r="E330" s="4" t="s">
        <v>14</v>
      </c>
      <c r="F330" s="41">
        <v>42020</v>
      </c>
      <c r="G330" s="20" t="s">
        <v>518</v>
      </c>
      <c r="H330" s="16" t="s">
        <v>517</v>
      </c>
      <c r="I330" s="7" t="s">
        <v>65</v>
      </c>
    </row>
    <row r="331" spans="1:9" x14ac:dyDescent="0.25">
      <c r="A331" s="49" t="s">
        <v>504</v>
      </c>
      <c r="B331" s="4" t="s">
        <v>236</v>
      </c>
      <c r="C331" s="4" t="s">
        <v>12</v>
      </c>
      <c r="D331" s="46" t="s">
        <v>511</v>
      </c>
      <c r="E331" s="4" t="s">
        <v>14</v>
      </c>
      <c r="F331" s="41">
        <v>42020</v>
      </c>
      <c r="G331" s="20" t="s">
        <v>519</v>
      </c>
      <c r="H331" s="16" t="s">
        <v>520</v>
      </c>
      <c r="I331" s="7" t="s">
        <v>65</v>
      </c>
    </row>
    <row r="332" spans="1:9" x14ac:dyDescent="0.25">
      <c r="A332" s="49" t="s">
        <v>504</v>
      </c>
      <c r="B332" s="4" t="s">
        <v>236</v>
      </c>
      <c r="C332" s="4" t="s">
        <v>12</v>
      </c>
      <c r="D332" s="46" t="s">
        <v>511</v>
      </c>
      <c r="E332" s="4" t="s">
        <v>14</v>
      </c>
      <c r="F332" s="41">
        <v>42020</v>
      </c>
      <c r="G332" s="20" t="s">
        <v>506</v>
      </c>
      <c r="H332" s="16" t="s">
        <v>339</v>
      </c>
      <c r="I332" s="7" t="s">
        <v>65</v>
      </c>
    </row>
    <row r="333" spans="1:9" x14ac:dyDescent="0.25">
      <c r="A333" s="49" t="s">
        <v>504</v>
      </c>
      <c r="B333" s="4" t="s">
        <v>236</v>
      </c>
      <c r="C333" s="4" t="s">
        <v>12</v>
      </c>
      <c r="D333" s="46" t="s">
        <v>511</v>
      </c>
      <c r="E333" s="4" t="s">
        <v>14</v>
      </c>
      <c r="F333" s="41">
        <v>42020</v>
      </c>
      <c r="G333" s="20" t="s">
        <v>521</v>
      </c>
      <c r="H333" s="16" t="s">
        <v>321</v>
      </c>
      <c r="I333" s="13" t="s">
        <v>509</v>
      </c>
    </row>
    <row r="334" spans="1:9" x14ac:dyDescent="0.25">
      <c r="A334" s="49" t="s">
        <v>504</v>
      </c>
      <c r="B334" s="4" t="s">
        <v>236</v>
      </c>
      <c r="C334" s="4" t="s">
        <v>12</v>
      </c>
      <c r="D334" s="46" t="s">
        <v>511</v>
      </c>
      <c r="E334" s="4" t="s">
        <v>14</v>
      </c>
      <c r="F334" s="41">
        <v>42020</v>
      </c>
      <c r="G334" s="20" t="s">
        <v>510</v>
      </c>
      <c r="H334" s="16" t="s">
        <v>321</v>
      </c>
      <c r="I334" s="7" t="s">
        <v>65</v>
      </c>
    </row>
    <row r="335" spans="1:9" x14ac:dyDescent="0.25">
      <c r="A335" s="49" t="s">
        <v>504</v>
      </c>
      <c r="B335" s="4" t="s">
        <v>236</v>
      </c>
      <c r="C335" s="4" t="s">
        <v>12</v>
      </c>
      <c r="D335" s="46" t="s">
        <v>511</v>
      </c>
      <c r="E335" s="4" t="s">
        <v>14</v>
      </c>
      <c r="F335" s="41">
        <v>42020</v>
      </c>
      <c r="G335" s="20" t="s">
        <v>506</v>
      </c>
      <c r="H335" s="16" t="s">
        <v>339</v>
      </c>
      <c r="I335" s="7" t="s">
        <v>65</v>
      </c>
    </row>
    <row r="336" spans="1:9" x14ac:dyDescent="0.25">
      <c r="A336" s="49" t="s">
        <v>504</v>
      </c>
      <c r="B336" s="4" t="s">
        <v>236</v>
      </c>
      <c r="C336" s="4" t="s">
        <v>12</v>
      </c>
      <c r="D336" s="46" t="s">
        <v>522</v>
      </c>
      <c r="E336" s="4" t="s">
        <v>14</v>
      </c>
      <c r="F336" s="41">
        <v>42020</v>
      </c>
      <c r="G336" s="20" t="s">
        <v>523</v>
      </c>
      <c r="H336" s="16" t="s">
        <v>524</v>
      </c>
      <c r="I336" s="13" t="s">
        <v>525</v>
      </c>
    </row>
    <row r="337" spans="1:9" x14ac:dyDescent="0.25">
      <c r="A337" s="49" t="s">
        <v>504</v>
      </c>
      <c r="B337" s="4" t="s">
        <v>236</v>
      </c>
      <c r="C337" s="4" t="s">
        <v>12</v>
      </c>
      <c r="D337" s="46" t="s">
        <v>522</v>
      </c>
      <c r="E337" s="4" t="s">
        <v>14</v>
      </c>
      <c r="F337" s="41">
        <v>42020</v>
      </c>
      <c r="G337" s="20" t="s">
        <v>526</v>
      </c>
      <c r="H337" s="16" t="s">
        <v>527</v>
      </c>
      <c r="I337" s="7" t="s">
        <v>65</v>
      </c>
    </row>
    <row r="338" spans="1:9" x14ac:dyDescent="0.25">
      <c r="A338" s="49" t="s">
        <v>504</v>
      </c>
      <c r="B338" s="4" t="s">
        <v>236</v>
      </c>
      <c r="C338" s="4" t="s">
        <v>12</v>
      </c>
      <c r="D338" s="46" t="s">
        <v>522</v>
      </c>
      <c r="E338" s="4" t="s">
        <v>14</v>
      </c>
      <c r="F338" s="41">
        <v>42020</v>
      </c>
      <c r="G338" s="20" t="s">
        <v>528</v>
      </c>
      <c r="H338" s="16" t="s">
        <v>59</v>
      </c>
      <c r="I338" s="7" t="s">
        <v>65</v>
      </c>
    </row>
    <row r="339" spans="1:9" x14ac:dyDescent="0.25">
      <c r="A339" s="49" t="s">
        <v>504</v>
      </c>
      <c r="B339" s="4" t="s">
        <v>236</v>
      </c>
      <c r="C339" s="4" t="s">
        <v>12</v>
      </c>
      <c r="D339" s="46" t="s">
        <v>522</v>
      </c>
      <c r="E339" s="4" t="s">
        <v>14</v>
      </c>
      <c r="F339" s="41">
        <v>42020</v>
      </c>
      <c r="G339" s="20" t="s">
        <v>506</v>
      </c>
      <c r="H339" s="16" t="s">
        <v>339</v>
      </c>
      <c r="I339" s="7" t="s">
        <v>65</v>
      </c>
    </row>
    <row r="340" spans="1:9" x14ac:dyDescent="0.25">
      <c r="A340" s="49" t="s">
        <v>529</v>
      </c>
      <c r="B340" s="4" t="s">
        <v>236</v>
      </c>
      <c r="C340" s="4" t="s">
        <v>14</v>
      </c>
      <c r="D340" s="50" t="s">
        <v>65</v>
      </c>
      <c r="E340" s="30" t="s">
        <v>65</v>
      </c>
      <c r="F340" s="7" t="s">
        <v>65</v>
      </c>
      <c r="G340" s="10" t="s">
        <v>65</v>
      </c>
      <c r="H340" s="7" t="s">
        <v>65</v>
      </c>
      <c r="I340" s="7" t="s">
        <v>65</v>
      </c>
    </row>
    <row r="341" spans="1:9" ht="25.5" x14ac:dyDescent="0.25">
      <c r="A341" s="49" t="s">
        <v>530</v>
      </c>
      <c r="B341" s="4" t="s">
        <v>236</v>
      </c>
      <c r="C341" s="4" t="s">
        <v>12</v>
      </c>
      <c r="D341" s="46" t="s">
        <v>531</v>
      </c>
      <c r="E341" s="4" t="s">
        <v>14</v>
      </c>
      <c r="F341" s="12">
        <v>42198</v>
      </c>
      <c r="G341" s="20" t="s">
        <v>198</v>
      </c>
      <c r="H341" s="16" t="s">
        <v>282</v>
      </c>
      <c r="I341" s="13" t="s">
        <v>532</v>
      </c>
    </row>
    <row r="342" spans="1:9" ht="25.5" x14ac:dyDescent="0.25">
      <c r="A342" s="49" t="s">
        <v>530</v>
      </c>
      <c r="B342" s="4" t="s">
        <v>236</v>
      </c>
      <c r="C342" s="4" t="s">
        <v>12</v>
      </c>
      <c r="D342" s="46" t="s">
        <v>531</v>
      </c>
      <c r="E342" s="4" t="s">
        <v>14</v>
      </c>
      <c r="F342" s="12">
        <v>42198</v>
      </c>
      <c r="G342" s="20" t="s">
        <v>126</v>
      </c>
      <c r="H342" s="16" t="s">
        <v>282</v>
      </c>
      <c r="I342" s="13" t="s">
        <v>533</v>
      </c>
    </row>
    <row r="343" spans="1:9" ht="25.5" x14ac:dyDescent="0.25">
      <c r="A343" s="49" t="s">
        <v>530</v>
      </c>
      <c r="B343" s="4" t="s">
        <v>236</v>
      </c>
      <c r="C343" s="4" t="s">
        <v>12</v>
      </c>
      <c r="D343" s="46" t="s">
        <v>531</v>
      </c>
      <c r="E343" s="4" t="s">
        <v>14</v>
      </c>
      <c r="F343" s="12">
        <v>42198</v>
      </c>
      <c r="G343" s="20" t="s">
        <v>534</v>
      </c>
      <c r="H343" s="16" t="s">
        <v>282</v>
      </c>
      <c r="I343" s="7" t="s">
        <v>65</v>
      </c>
    </row>
    <row r="344" spans="1:9" ht="25.5" x14ac:dyDescent="0.25">
      <c r="A344" s="49" t="s">
        <v>530</v>
      </c>
      <c r="B344" s="4" t="s">
        <v>236</v>
      </c>
      <c r="C344" s="4" t="s">
        <v>12</v>
      </c>
      <c r="D344" s="46" t="s">
        <v>531</v>
      </c>
      <c r="E344" s="4" t="s">
        <v>14</v>
      </c>
      <c r="F344" s="12">
        <v>42198</v>
      </c>
      <c r="G344" s="20" t="s">
        <v>535</v>
      </c>
      <c r="H344" s="16" t="s">
        <v>282</v>
      </c>
      <c r="I344" s="7" t="s">
        <v>65</v>
      </c>
    </row>
    <row r="345" spans="1:9" ht="25.5" x14ac:dyDescent="0.25">
      <c r="A345" s="49" t="s">
        <v>530</v>
      </c>
      <c r="B345" s="4" t="s">
        <v>236</v>
      </c>
      <c r="C345" s="4" t="s">
        <v>12</v>
      </c>
      <c r="D345" s="46" t="s">
        <v>531</v>
      </c>
      <c r="E345" s="4" t="s">
        <v>14</v>
      </c>
      <c r="F345" s="12">
        <v>42198</v>
      </c>
      <c r="G345" s="20" t="s">
        <v>200</v>
      </c>
      <c r="H345" s="16" t="s">
        <v>282</v>
      </c>
      <c r="I345" s="7" t="s">
        <v>65</v>
      </c>
    </row>
    <row r="346" spans="1:9" ht="25.5" x14ac:dyDescent="0.25">
      <c r="A346" s="49" t="s">
        <v>530</v>
      </c>
      <c r="B346" s="4" t="s">
        <v>236</v>
      </c>
      <c r="C346" s="4" t="s">
        <v>12</v>
      </c>
      <c r="D346" s="46" t="s">
        <v>531</v>
      </c>
      <c r="E346" s="4" t="s">
        <v>14</v>
      </c>
      <c r="F346" s="12">
        <v>42198</v>
      </c>
      <c r="G346" s="20" t="s">
        <v>205</v>
      </c>
      <c r="H346" s="16" t="s">
        <v>282</v>
      </c>
      <c r="I346" s="7" t="s">
        <v>65</v>
      </c>
    </row>
    <row r="347" spans="1:9" x14ac:dyDescent="0.25">
      <c r="A347" s="49" t="s">
        <v>530</v>
      </c>
      <c r="B347" s="4" t="s">
        <v>236</v>
      </c>
      <c r="C347" s="4" t="s">
        <v>12</v>
      </c>
      <c r="D347" s="46" t="s">
        <v>536</v>
      </c>
      <c r="E347" s="4" t="s">
        <v>14</v>
      </c>
      <c r="F347" s="12">
        <v>42198</v>
      </c>
      <c r="G347" s="20" t="s">
        <v>205</v>
      </c>
      <c r="H347" s="16" t="s">
        <v>130</v>
      </c>
      <c r="I347" s="13" t="s">
        <v>532</v>
      </c>
    </row>
    <row r="348" spans="1:9" x14ac:dyDescent="0.25">
      <c r="A348" s="49" t="s">
        <v>530</v>
      </c>
      <c r="B348" s="4" t="s">
        <v>236</v>
      </c>
      <c r="C348" s="4" t="s">
        <v>12</v>
      </c>
      <c r="D348" s="46" t="s">
        <v>536</v>
      </c>
      <c r="E348" s="4" t="s">
        <v>14</v>
      </c>
      <c r="F348" s="12">
        <v>42198</v>
      </c>
      <c r="G348" s="20" t="s">
        <v>200</v>
      </c>
      <c r="H348" s="16" t="s">
        <v>130</v>
      </c>
      <c r="I348" s="7" t="s">
        <v>65</v>
      </c>
    </row>
    <row r="349" spans="1:9" x14ac:dyDescent="0.25">
      <c r="A349" s="49" t="s">
        <v>530</v>
      </c>
      <c r="B349" s="4" t="s">
        <v>236</v>
      </c>
      <c r="C349" s="4" t="s">
        <v>12</v>
      </c>
      <c r="D349" s="46" t="s">
        <v>536</v>
      </c>
      <c r="E349" s="4" t="s">
        <v>14</v>
      </c>
      <c r="F349" s="12">
        <v>42198</v>
      </c>
      <c r="G349" s="20" t="s">
        <v>198</v>
      </c>
      <c r="H349" s="16" t="s">
        <v>130</v>
      </c>
      <c r="I349" s="7" t="s">
        <v>65</v>
      </c>
    </row>
    <row r="350" spans="1:9" x14ac:dyDescent="0.25">
      <c r="A350" s="49" t="s">
        <v>530</v>
      </c>
      <c r="B350" s="4" t="s">
        <v>236</v>
      </c>
      <c r="C350" s="4" t="s">
        <v>12</v>
      </c>
      <c r="D350" s="46" t="s">
        <v>537</v>
      </c>
      <c r="E350" s="4" t="s">
        <v>14</v>
      </c>
      <c r="F350" s="7" t="s">
        <v>65</v>
      </c>
      <c r="G350" s="20" t="s">
        <v>30</v>
      </c>
      <c r="H350" s="16" t="s">
        <v>538</v>
      </c>
      <c r="I350" s="7" t="s">
        <v>65</v>
      </c>
    </row>
    <row r="351" spans="1:9" x14ac:dyDescent="0.25">
      <c r="A351" s="49" t="s">
        <v>530</v>
      </c>
      <c r="B351" s="4" t="s">
        <v>236</v>
      </c>
      <c r="C351" s="4" t="s">
        <v>12</v>
      </c>
      <c r="D351" s="46" t="s">
        <v>539</v>
      </c>
      <c r="E351" s="4" t="s">
        <v>14</v>
      </c>
      <c r="F351" s="7" t="s">
        <v>65</v>
      </c>
      <c r="G351" s="20" t="s">
        <v>382</v>
      </c>
      <c r="H351" s="16" t="s">
        <v>382</v>
      </c>
      <c r="I351" s="7" t="s">
        <v>65</v>
      </c>
    </row>
    <row r="352" spans="1:9" x14ac:dyDescent="0.25">
      <c r="A352" s="49" t="s">
        <v>540</v>
      </c>
      <c r="B352" s="4" t="s">
        <v>236</v>
      </c>
      <c r="C352" s="4" t="s">
        <v>14</v>
      </c>
      <c r="D352" s="50" t="s">
        <v>65</v>
      </c>
      <c r="E352" s="22" t="s">
        <v>65</v>
      </c>
      <c r="F352" s="7" t="s">
        <v>65</v>
      </c>
      <c r="G352" s="10" t="s">
        <v>65</v>
      </c>
      <c r="H352" s="7" t="s">
        <v>65</v>
      </c>
      <c r="I352" s="7" t="s">
        <v>65</v>
      </c>
    </row>
    <row r="353" spans="1:9" x14ac:dyDescent="0.25">
      <c r="A353" s="49" t="s">
        <v>541</v>
      </c>
      <c r="B353" s="4" t="s">
        <v>236</v>
      </c>
      <c r="C353" s="4" t="s">
        <v>14</v>
      </c>
      <c r="D353" s="50" t="s">
        <v>65</v>
      </c>
      <c r="E353" s="22" t="s">
        <v>65</v>
      </c>
      <c r="F353" s="7" t="s">
        <v>65</v>
      </c>
      <c r="G353" s="10" t="s">
        <v>65</v>
      </c>
      <c r="H353" s="7" t="s">
        <v>65</v>
      </c>
      <c r="I353" s="7" t="s">
        <v>65</v>
      </c>
    </row>
    <row r="354" spans="1:9" x14ac:dyDescent="0.25">
      <c r="A354" s="49" t="s">
        <v>542</v>
      </c>
      <c r="B354" s="4" t="s">
        <v>236</v>
      </c>
      <c r="C354" s="4" t="s">
        <v>14</v>
      </c>
      <c r="D354" s="50" t="s">
        <v>65</v>
      </c>
      <c r="E354" s="22" t="s">
        <v>65</v>
      </c>
      <c r="F354" s="7" t="s">
        <v>65</v>
      </c>
      <c r="G354" s="10" t="s">
        <v>65</v>
      </c>
      <c r="H354" s="7" t="s">
        <v>65</v>
      </c>
      <c r="I354" s="7" t="s">
        <v>65</v>
      </c>
    </row>
    <row r="355" spans="1:9" x14ac:dyDescent="0.25">
      <c r="A355" s="49" t="s">
        <v>543</v>
      </c>
      <c r="B355" s="4" t="s">
        <v>236</v>
      </c>
      <c r="C355" s="4" t="s">
        <v>14</v>
      </c>
      <c r="D355" s="50" t="s">
        <v>65</v>
      </c>
      <c r="E355" s="22" t="s">
        <v>65</v>
      </c>
      <c r="F355" s="7" t="s">
        <v>65</v>
      </c>
      <c r="G355" s="10" t="s">
        <v>65</v>
      </c>
      <c r="H355" s="7" t="s">
        <v>65</v>
      </c>
      <c r="I355" s="7" t="s">
        <v>65</v>
      </c>
    </row>
    <row r="356" spans="1:9" x14ac:dyDescent="0.25">
      <c r="A356" s="49" t="s">
        <v>544</v>
      </c>
      <c r="B356" s="4" t="s">
        <v>236</v>
      </c>
      <c r="C356" s="4" t="s">
        <v>14</v>
      </c>
      <c r="D356" s="50" t="s">
        <v>65</v>
      </c>
      <c r="E356" s="22" t="s">
        <v>65</v>
      </c>
      <c r="F356" s="7" t="s">
        <v>65</v>
      </c>
      <c r="G356" s="10" t="s">
        <v>65</v>
      </c>
      <c r="H356" s="7" t="s">
        <v>65</v>
      </c>
      <c r="I356" s="7" t="s">
        <v>65</v>
      </c>
    </row>
    <row r="357" spans="1:9" x14ac:dyDescent="0.25">
      <c r="A357" s="49" t="s">
        <v>545</v>
      </c>
      <c r="B357" s="4" t="s">
        <v>236</v>
      </c>
      <c r="C357" s="4" t="s">
        <v>14</v>
      </c>
      <c r="D357" s="50" t="s">
        <v>65</v>
      </c>
      <c r="E357" s="22" t="s">
        <v>65</v>
      </c>
      <c r="F357" s="7" t="s">
        <v>65</v>
      </c>
      <c r="G357" s="10" t="s">
        <v>65</v>
      </c>
      <c r="H357" s="7" t="s">
        <v>65</v>
      </c>
      <c r="I357" s="7" t="s">
        <v>65</v>
      </c>
    </row>
    <row r="358" spans="1:9" x14ac:dyDescent="0.25">
      <c r="A358" s="49" t="s">
        <v>546</v>
      </c>
      <c r="B358" s="4" t="s">
        <v>236</v>
      </c>
      <c r="C358" s="4" t="s">
        <v>14</v>
      </c>
      <c r="D358" s="50" t="s">
        <v>65</v>
      </c>
      <c r="E358" s="22" t="s">
        <v>65</v>
      </c>
      <c r="F358" s="7" t="s">
        <v>65</v>
      </c>
      <c r="G358" s="10" t="s">
        <v>65</v>
      </c>
      <c r="H358" s="7" t="s">
        <v>65</v>
      </c>
      <c r="I358" s="7" t="s">
        <v>65</v>
      </c>
    </row>
    <row r="359" spans="1:9" x14ac:dyDescent="0.25">
      <c r="A359" s="49" t="s">
        <v>547</v>
      </c>
      <c r="B359" s="4" t="s">
        <v>236</v>
      </c>
      <c r="C359" s="4" t="s">
        <v>14</v>
      </c>
      <c r="D359" s="50" t="s">
        <v>65</v>
      </c>
      <c r="E359" s="22" t="s">
        <v>65</v>
      </c>
      <c r="F359" s="7" t="s">
        <v>65</v>
      </c>
      <c r="G359" s="10" t="s">
        <v>65</v>
      </c>
      <c r="H359" s="7" t="s">
        <v>65</v>
      </c>
      <c r="I359" s="7" t="s">
        <v>65</v>
      </c>
    </row>
    <row r="360" spans="1:9" x14ac:dyDescent="0.25">
      <c r="A360" s="49" t="s">
        <v>548</v>
      </c>
      <c r="B360" s="4" t="s">
        <v>236</v>
      </c>
      <c r="C360" s="4" t="s">
        <v>14</v>
      </c>
      <c r="D360" s="50" t="s">
        <v>65</v>
      </c>
      <c r="E360" s="22" t="s">
        <v>65</v>
      </c>
      <c r="F360" s="7" t="s">
        <v>65</v>
      </c>
      <c r="G360" s="10" t="s">
        <v>65</v>
      </c>
      <c r="H360" s="7" t="s">
        <v>65</v>
      </c>
      <c r="I360" s="7" t="s">
        <v>65</v>
      </c>
    </row>
    <row r="361" spans="1:9" x14ac:dyDescent="0.25">
      <c r="A361" s="49" t="s">
        <v>549</v>
      </c>
      <c r="B361" s="4" t="s">
        <v>236</v>
      </c>
      <c r="C361" s="4" t="s">
        <v>14</v>
      </c>
      <c r="D361" s="30" t="s">
        <v>65</v>
      </c>
      <c r="E361" s="22" t="s">
        <v>65</v>
      </c>
      <c r="F361" s="7" t="s">
        <v>65</v>
      </c>
      <c r="G361" s="10" t="s">
        <v>65</v>
      </c>
      <c r="H361" s="7" t="s">
        <v>65</v>
      </c>
      <c r="I361" s="7" t="s">
        <v>65</v>
      </c>
    </row>
  </sheetData>
  <autoFilter ref="A2:I361"/>
  <mergeCells count="1">
    <mergeCell ref="A1:I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"/>
  <sheetViews>
    <sheetView workbookViewId="0">
      <selection sqref="A1:A3"/>
    </sheetView>
  </sheetViews>
  <sheetFormatPr defaultRowHeight="15" x14ac:dyDescent="0.25"/>
  <sheetData>
    <row r="1" spans="1:3" x14ac:dyDescent="0.25">
      <c r="A1" t="s">
        <v>236</v>
      </c>
      <c r="C1" t="s">
        <v>12</v>
      </c>
    </row>
    <row r="2" spans="1:3" x14ac:dyDescent="0.25">
      <c r="A2" t="s">
        <v>64</v>
      </c>
      <c r="C2" t="s">
        <v>14</v>
      </c>
    </row>
    <row r="3" spans="1:3" x14ac:dyDescent="0.25">
      <c r="A3" t="s">
        <v>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69"/>
  <sheetViews>
    <sheetView topLeftCell="A51" workbookViewId="0">
      <selection activeCell="I88" sqref="I88"/>
    </sheetView>
  </sheetViews>
  <sheetFormatPr defaultRowHeight="15" x14ac:dyDescent="0.25"/>
  <sheetData>
    <row r="1" spans="1:1" x14ac:dyDescent="0.25">
      <c r="A1" s="52" t="s">
        <v>550</v>
      </c>
    </row>
    <row r="2" spans="1:1" x14ac:dyDescent="0.25">
      <c r="A2" t="s">
        <v>235</v>
      </c>
    </row>
    <row r="3" spans="1:1" x14ac:dyDescent="0.25">
      <c r="A3" t="s">
        <v>238</v>
      </c>
    </row>
    <row r="4" spans="1:1" x14ac:dyDescent="0.25">
      <c r="A4" t="s">
        <v>239</v>
      </c>
    </row>
    <row r="5" spans="1:1" x14ac:dyDescent="0.25">
      <c r="A5" t="s">
        <v>240</v>
      </c>
    </row>
    <row r="6" spans="1:1" x14ac:dyDescent="0.25">
      <c r="A6" t="s">
        <v>70</v>
      </c>
    </row>
    <row r="7" spans="1:1" x14ac:dyDescent="0.25">
      <c r="A7" t="s">
        <v>63</v>
      </c>
    </row>
    <row r="8" spans="1:1" x14ac:dyDescent="0.25">
      <c r="A8" t="s">
        <v>66</v>
      </c>
    </row>
    <row r="9" spans="1:1" x14ac:dyDescent="0.25">
      <c r="A9" t="s">
        <v>80</v>
      </c>
    </row>
    <row r="10" spans="1:1" x14ac:dyDescent="0.25">
      <c r="A10" t="s">
        <v>81</v>
      </c>
    </row>
    <row r="11" spans="1:1" x14ac:dyDescent="0.25">
      <c r="A11" t="s">
        <v>108</v>
      </c>
    </row>
    <row r="12" spans="1:1" x14ac:dyDescent="0.25">
      <c r="A12" t="s">
        <v>10</v>
      </c>
    </row>
    <row r="13" spans="1:1" x14ac:dyDescent="0.25">
      <c r="A13" t="s">
        <v>109</v>
      </c>
    </row>
    <row r="14" spans="1:1" x14ac:dyDescent="0.25">
      <c r="A14" t="s">
        <v>110</v>
      </c>
    </row>
    <row r="15" spans="1:1" x14ac:dyDescent="0.25">
      <c r="A15" t="s">
        <v>138</v>
      </c>
    </row>
    <row r="16" spans="1:1" x14ac:dyDescent="0.25">
      <c r="A16" t="s">
        <v>139</v>
      </c>
    </row>
    <row r="17" spans="1:1" x14ac:dyDescent="0.25">
      <c r="A17" t="s">
        <v>140</v>
      </c>
    </row>
    <row r="18" spans="1:1" x14ac:dyDescent="0.25">
      <c r="A18" t="s">
        <v>150</v>
      </c>
    </row>
    <row r="19" spans="1:1" x14ac:dyDescent="0.25">
      <c r="A19" t="s">
        <v>151</v>
      </c>
    </row>
    <row r="20" spans="1:1" x14ac:dyDescent="0.25">
      <c r="A20" t="s">
        <v>157</v>
      </c>
    </row>
    <row r="21" spans="1:1" x14ac:dyDescent="0.25">
      <c r="A21" t="s">
        <v>158</v>
      </c>
    </row>
    <row r="22" spans="1:1" x14ac:dyDescent="0.25">
      <c r="A22" t="s">
        <v>159</v>
      </c>
    </row>
    <row r="23" spans="1:1" x14ac:dyDescent="0.25">
      <c r="A23" t="s">
        <v>177</v>
      </c>
    </row>
    <row r="24" spans="1:1" x14ac:dyDescent="0.25">
      <c r="A24" t="s">
        <v>178</v>
      </c>
    </row>
    <row r="25" spans="1:1" x14ac:dyDescent="0.25">
      <c r="A25" t="s">
        <v>179</v>
      </c>
    </row>
    <row r="26" spans="1:1" x14ac:dyDescent="0.25">
      <c r="A26" t="s">
        <v>241</v>
      </c>
    </row>
    <row r="27" spans="1:1" x14ac:dyDescent="0.25">
      <c r="A27" t="s">
        <v>251</v>
      </c>
    </row>
    <row r="28" spans="1:1" x14ac:dyDescent="0.25">
      <c r="A28" t="s">
        <v>263</v>
      </c>
    </row>
    <row r="29" spans="1:1" x14ac:dyDescent="0.25">
      <c r="A29" t="s">
        <v>264</v>
      </c>
    </row>
    <row r="30" spans="1:1" x14ac:dyDescent="0.25">
      <c r="A30" t="s">
        <v>579</v>
      </c>
    </row>
    <row r="31" spans="1:1" x14ac:dyDescent="0.25">
      <c r="A31" t="s">
        <v>297</v>
      </c>
    </row>
    <row r="32" spans="1:1" x14ac:dyDescent="0.25">
      <c r="A32" t="s">
        <v>580</v>
      </c>
    </row>
    <row r="33" spans="1:1" x14ac:dyDescent="0.25">
      <c r="A33" t="s">
        <v>346</v>
      </c>
    </row>
    <row r="34" spans="1:1" x14ac:dyDescent="0.25">
      <c r="A34" t="s">
        <v>581</v>
      </c>
    </row>
    <row r="35" spans="1:1" x14ac:dyDescent="0.25">
      <c r="A35" t="s">
        <v>350</v>
      </c>
    </row>
    <row r="36" spans="1:1" x14ac:dyDescent="0.25">
      <c r="A36" t="s">
        <v>370</v>
      </c>
    </row>
    <row r="37" spans="1:1" x14ac:dyDescent="0.25">
      <c r="A37" t="s">
        <v>383</v>
      </c>
    </row>
    <row r="38" spans="1:1" x14ac:dyDescent="0.25">
      <c r="A38" t="s">
        <v>180</v>
      </c>
    </row>
    <row r="39" spans="1:1" x14ac:dyDescent="0.25">
      <c r="A39" t="s">
        <v>181</v>
      </c>
    </row>
    <row r="40" spans="1:1" x14ac:dyDescent="0.25">
      <c r="A40" t="s">
        <v>479</v>
      </c>
    </row>
    <row r="41" spans="1:1" x14ac:dyDescent="0.25">
      <c r="A41" t="s">
        <v>582</v>
      </c>
    </row>
    <row r="42" spans="1:1" x14ac:dyDescent="0.25">
      <c r="A42" t="s">
        <v>502</v>
      </c>
    </row>
    <row r="43" spans="1:1" x14ac:dyDescent="0.25">
      <c r="A43" t="s">
        <v>503</v>
      </c>
    </row>
    <row r="44" spans="1:1" x14ac:dyDescent="0.25">
      <c r="A44" t="s">
        <v>504</v>
      </c>
    </row>
    <row r="45" spans="1:1" x14ac:dyDescent="0.25">
      <c r="A45" t="s">
        <v>384</v>
      </c>
    </row>
    <row r="46" spans="1:1" x14ac:dyDescent="0.25">
      <c r="A46" t="s">
        <v>385</v>
      </c>
    </row>
    <row r="47" spans="1:1" x14ac:dyDescent="0.25">
      <c r="A47" t="s">
        <v>386</v>
      </c>
    </row>
    <row r="48" spans="1:1" x14ac:dyDescent="0.25">
      <c r="A48" t="s">
        <v>387</v>
      </c>
    </row>
    <row r="49" spans="1:1" x14ac:dyDescent="0.25">
      <c r="A49" t="s">
        <v>388</v>
      </c>
    </row>
    <row r="50" spans="1:1" x14ac:dyDescent="0.25">
      <c r="A50" t="s">
        <v>549</v>
      </c>
    </row>
    <row r="51" spans="1:1" x14ac:dyDescent="0.25">
      <c r="A51" t="s">
        <v>529</v>
      </c>
    </row>
    <row r="52" spans="1:1" x14ac:dyDescent="0.25">
      <c r="A52" t="s">
        <v>182</v>
      </c>
    </row>
    <row r="53" spans="1:1" x14ac:dyDescent="0.25">
      <c r="A53" t="s">
        <v>530</v>
      </c>
    </row>
    <row r="54" spans="1:1" x14ac:dyDescent="0.25">
      <c r="A54" t="s">
        <v>540</v>
      </c>
    </row>
    <row r="55" spans="1:1" x14ac:dyDescent="0.25">
      <c r="A55" t="s">
        <v>541</v>
      </c>
    </row>
    <row r="56" spans="1:1" x14ac:dyDescent="0.25">
      <c r="A56" t="s">
        <v>542</v>
      </c>
    </row>
    <row r="57" spans="1:1" x14ac:dyDescent="0.25">
      <c r="A57" t="s">
        <v>183</v>
      </c>
    </row>
    <row r="58" spans="1:1" x14ac:dyDescent="0.25">
      <c r="A58" t="s">
        <v>543</v>
      </c>
    </row>
    <row r="59" spans="1:1" x14ac:dyDescent="0.25">
      <c r="A59" t="s">
        <v>544</v>
      </c>
    </row>
    <row r="60" spans="1:1" x14ac:dyDescent="0.25">
      <c r="A60" t="s">
        <v>545</v>
      </c>
    </row>
    <row r="61" spans="1:1" x14ac:dyDescent="0.25">
      <c r="A61" t="s">
        <v>546</v>
      </c>
    </row>
    <row r="62" spans="1:1" x14ac:dyDescent="0.25">
      <c r="A62" t="s">
        <v>547</v>
      </c>
    </row>
    <row r="63" spans="1:1" x14ac:dyDescent="0.25">
      <c r="A63" t="s">
        <v>548</v>
      </c>
    </row>
    <row r="64" spans="1:1" x14ac:dyDescent="0.25">
      <c r="A64" t="s">
        <v>184</v>
      </c>
    </row>
    <row r="65" spans="1:1" x14ac:dyDescent="0.25">
      <c r="A65" t="s">
        <v>185</v>
      </c>
    </row>
    <row r="66" spans="1:1" x14ac:dyDescent="0.25">
      <c r="A66" t="s">
        <v>209</v>
      </c>
    </row>
    <row r="67" spans="1:1" x14ac:dyDescent="0.25">
      <c r="A67" t="s">
        <v>217</v>
      </c>
    </row>
    <row r="68" spans="1:1" x14ac:dyDescent="0.25">
      <c r="A68" t="s">
        <v>211</v>
      </c>
    </row>
    <row r="69" spans="1:1" x14ac:dyDescent="0.25">
      <c r="A69" t="s">
        <v>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User Form</vt:lpstr>
      <vt:lpstr>Fume Hood Responses 2016</vt:lpstr>
      <vt:lpstr>Fume Hood Responses Nov 2015</vt:lpstr>
      <vt:lpstr>Province</vt:lpstr>
      <vt:lpstr>Locations</vt:lpstr>
      <vt:lpstr>list2</vt:lpstr>
      <vt:lpstr>LocationsList</vt:lpstr>
      <vt:lpstr>Provinces</vt:lpstr>
    </vt:vector>
  </TitlesOfParts>
  <Company>LifeLabs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Hun, Riley</dc:creator>
  <cp:lastModifiedBy>Hun, Riley</cp:lastModifiedBy>
  <cp:lastPrinted>2016-05-13T19:11:52Z</cp:lastPrinted>
  <dcterms:created xsi:type="dcterms:W3CDTF">2016-05-13T18:49:21Z</dcterms:created>
  <dcterms:modified xsi:type="dcterms:W3CDTF">2016-05-20T19:36:07Z</dcterms:modified>
</cp:coreProperties>
</file>