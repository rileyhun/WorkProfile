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3585" yWindow="810" windowWidth="20730" windowHeight="9030"/>
  </bookViews>
  <sheets>
    <sheet name="Tracker" sheetId="1" r:id="rId1"/>
    <sheet name="Metrics" sheetId="2" r:id="rId2"/>
    <sheet name="Action Sheet" sheetId="3" r:id="rId3"/>
    <sheet name="Contact List" sheetId="5" r:id="rId4"/>
  </sheets>
  <externalReferences>
    <externalReference r:id="rId5"/>
    <externalReference r:id="rId6"/>
  </externalReferences>
  <definedNames>
    <definedName name="List1">[1]List!$A$1:$A$7</definedName>
    <definedName name="List2">[1]List!$A$10:$A$17</definedName>
    <definedName name="List3">[1]List!$A$21:$A$309</definedName>
    <definedName name="Recover">[2]Macro1!$A$106</definedName>
    <definedName name="Slicer_Category">#N/A</definedName>
    <definedName name="Slicer_Category1">#N/A</definedName>
    <definedName name="Slicer_Category2">#N/A</definedName>
    <definedName name="Slicer_Site">#N/A</definedName>
    <definedName name="Slicer_Site1">#N/A</definedName>
    <definedName name="Slicer_Site2">#N/A</definedName>
    <definedName name="TableName">"Dummy"</definedName>
  </definedNames>
  <calcPr calcId="145621"/>
  <pivotCaches>
    <pivotCache cacheId="9" r:id="rId7"/>
    <pivotCache cacheId="13" r:id="rId8"/>
    <pivotCache cacheId="21" r:id="rId9"/>
  </pivotCaches>
  <extLst>
    <ext xmlns:x14="http://schemas.microsoft.com/office/spreadsheetml/2009/9/main" uri="{BBE1A952-AA13-448e-AADC-164F8A28A991}">
      <x14:slicerCaches>
        <x14:slicerCache r:id="rId10"/>
        <x14:slicerCache r:id="rId11"/>
        <x14:slicerCache r:id="rId12"/>
        <x14:slicerCache r:id="rId13"/>
        <x14:slicerCache r:id="rId14"/>
        <x14:slicerCache r:id="rId15"/>
      </x14:slicerCaches>
    </ext>
    <ext xmlns:x14="http://schemas.microsoft.com/office/spreadsheetml/2009/9/main" uri="{79F54976-1DA5-4618-B147-4CDE4B953A38}">
      <x14:workbookPr/>
    </ext>
  </extLst>
</workbook>
</file>

<file path=xl/calcChain.xml><?xml version="1.0" encoding="utf-8"?>
<calcChain xmlns="http://schemas.openxmlformats.org/spreadsheetml/2006/main">
  <c r="B171" i="3" l="1"/>
  <c r="C171" i="3"/>
  <c r="D171" i="3"/>
  <c r="K171" i="3" s="1"/>
  <c r="E171" i="3"/>
  <c r="F171" i="3"/>
  <c r="G171" i="3"/>
  <c r="H171" i="3"/>
  <c r="I171" i="3"/>
  <c r="J171" i="3"/>
  <c r="L171" i="3"/>
  <c r="M171" i="3"/>
  <c r="N171" i="3"/>
  <c r="O171" i="3"/>
  <c r="M164" i="1" l="1"/>
  <c r="L167" i="3" l="1"/>
  <c r="B170" i="3"/>
  <c r="C170" i="3"/>
  <c r="D170" i="3"/>
  <c r="E170" i="3"/>
  <c r="F170" i="3"/>
  <c r="G170" i="3"/>
  <c r="H170" i="3"/>
  <c r="I170" i="3"/>
  <c r="J170" i="3"/>
  <c r="L170" i="3"/>
  <c r="M170" i="3"/>
  <c r="N170" i="3"/>
  <c r="O170" i="3"/>
  <c r="M163" i="1"/>
  <c r="B169" i="3"/>
  <c r="C169" i="3"/>
  <c r="D169" i="3"/>
  <c r="E169" i="3"/>
  <c r="F169" i="3"/>
  <c r="G169" i="3"/>
  <c r="H169" i="3"/>
  <c r="I169" i="3"/>
  <c r="J169" i="3"/>
  <c r="L169" i="3"/>
  <c r="M169" i="3"/>
  <c r="N169" i="3"/>
  <c r="O169" i="3"/>
  <c r="B168" i="3"/>
  <c r="C168" i="3"/>
  <c r="D168" i="3"/>
  <c r="E168" i="3"/>
  <c r="F168" i="3"/>
  <c r="G168" i="3"/>
  <c r="H168" i="3"/>
  <c r="I168" i="3"/>
  <c r="J168" i="3"/>
  <c r="L168" i="3"/>
  <c r="M168" i="3"/>
  <c r="N168" i="3"/>
  <c r="O168" i="3"/>
  <c r="B167" i="3"/>
  <c r="C167" i="3"/>
  <c r="D167" i="3"/>
  <c r="E167" i="3"/>
  <c r="F167" i="3"/>
  <c r="G167" i="3"/>
  <c r="H167" i="3"/>
  <c r="I167" i="3"/>
  <c r="J167" i="3"/>
  <c r="M167" i="3"/>
  <c r="N167" i="3"/>
  <c r="O167" i="3"/>
  <c r="M162" i="1"/>
  <c r="K170" i="3" l="1"/>
  <c r="K169" i="3"/>
  <c r="K168" i="3"/>
  <c r="K167" i="3"/>
  <c r="M161" i="1" l="1"/>
  <c r="M160" i="1"/>
  <c r="N166" i="3" l="1"/>
  <c r="E161" i="3"/>
  <c r="B166" i="3"/>
  <c r="C166" i="3"/>
  <c r="D166" i="3"/>
  <c r="E166" i="3"/>
  <c r="F166" i="3"/>
  <c r="G166" i="3"/>
  <c r="H166" i="3"/>
  <c r="I166" i="3"/>
  <c r="J166" i="3"/>
  <c r="L166" i="3"/>
  <c r="M166" i="3"/>
  <c r="O166" i="3"/>
  <c r="K166" i="3" l="1"/>
  <c r="M159" i="1"/>
  <c r="B165" i="3" l="1"/>
  <c r="C165" i="3"/>
  <c r="D165" i="3"/>
  <c r="E165" i="3"/>
  <c r="F165" i="3"/>
  <c r="G165" i="3"/>
  <c r="H165" i="3"/>
  <c r="I165" i="3"/>
  <c r="J165" i="3"/>
  <c r="L165" i="3"/>
  <c r="M165" i="3"/>
  <c r="O165" i="3"/>
  <c r="M158" i="1"/>
  <c r="B164" i="3"/>
  <c r="C164" i="3"/>
  <c r="D164" i="3"/>
  <c r="E164" i="3"/>
  <c r="F164" i="3"/>
  <c r="G164" i="3"/>
  <c r="H164" i="3"/>
  <c r="I164" i="3"/>
  <c r="J164" i="3"/>
  <c r="L164" i="3"/>
  <c r="M164" i="3"/>
  <c r="O164" i="3"/>
  <c r="K165" i="3" l="1"/>
  <c r="K164" i="3"/>
  <c r="M157" i="1" l="1"/>
  <c r="B163" i="3" l="1"/>
  <c r="C163" i="3"/>
  <c r="D163" i="3"/>
  <c r="E163" i="3"/>
  <c r="F163" i="3"/>
  <c r="G163" i="3"/>
  <c r="H163" i="3"/>
  <c r="I163" i="3"/>
  <c r="J163" i="3"/>
  <c r="L163" i="3"/>
  <c r="M163" i="3"/>
  <c r="N163" i="3"/>
  <c r="O163" i="3"/>
  <c r="M156" i="1"/>
  <c r="B162" i="3"/>
  <c r="C162" i="3"/>
  <c r="D162" i="3"/>
  <c r="E162" i="3"/>
  <c r="F162" i="3"/>
  <c r="G162" i="3"/>
  <c r="H162" i="3"/>
  <c r="I162" i="3"/>
  <c r="J162" i="3"/>
  <c r="L162" i="3"/>
  <c r="M162" i="3"/>
  <c r="N162" i="3"/>
  <c r="O162" i="3"/>
  <c r="K163" i="3" l="1"/>
  <c r="K162" i="3"/>
  <c r="M155" i="1"/>
  <c r="B161" i="3" l="1"/>
  <c r="C161" i="3"/>
  <c r="D161" i="3"/>
  <c r="F161" i="3"/>
  <c r="G161" i="3"/>
  <c r="H161" i="3"/>
  <c r="I161" i="3"/>
  <c r="J161" i="3"/>
  <c r="L161" i="3"/>
  <c r="M161" i="3"/>
  <c r="O161" i="3"/>
  <c r="K161" i="3" l="1"/>
  <c r="M154" i="1"/>
  <c r="B160" i="3" l="1"/>
  <c r="C160" i="3"/>
  <c r="D160" i="3"/>
  <c r="E160" i="3"/>
  <c r="F160" i="3"/>
  <c r="G160" i="3"/>
  <c r="H160" i="3"/>
  <c r="I160" i="3"/>
  <c r="J160" i="3"/>
  <c r="L160" i="3"/>
  <c r="M160" i="3"/>
  <c r="N160" i="3"/>
  <c r="O160" i="3"/>
  <c r="K160" i="3" l="1"/>
  <c r="M153" i="1"/>
  <c r="B159" i="3" l="1"/>
  <c r="C159" i="3"/>
  <c r="D159" i="3"/>
  <c r="E159" i="3"/>
  <c r="F159" i="3"/>
  <c r="G159" i="3"/>
  <c r="H159" i="3"/>
  <c r="I159" i="3"/>
  <c r="J159" i="3"/>
  <c r="L159" i="3"/>
  <c r="M159" i="3"/>
  <c r="N159" i="3"/>
  <c r="O159" i="3"/>
  <c r="M152" i="1"/>
  <c r="B158" i="3"/>
  <c r="C158" i="3"/>
  <c r="D158" i="3"/>
  <c r="E158" i="3"/>
  <c r="F158" i="3"/>
  <c r="G158" i="3"/>
  <c r="H158" i="3"/>
  <c r="I158" i="3"/>
  <c r="J158" i="3"/>
  <c r="L158" i="3"/>
  <c r="M158" i="3"/>
  <c r="N158" i="3"/>
  <c r="O158" i="3"/>
  <c r="K159" i="3" l="1"/>
  <c r="K158" i="3"/>
  <c r="M151" i="1" l="1"/>
  <c r="B157" i="3"/>
  <c r="C157" i="3"/>
  <c r="D157" i="3"/>
  <c r="E157" i="3"/>
  <c r="F157" i="3"/>
  <c r="G157" i="3"/>
  <c r="H157" i="3"/>
  <c r="I157" i="3"/>
  <c r="J157" i="3"/>
  <c r="L157" i="3"/>
  <c r="M157" i="3"/>
  <c r="O157" i="3"/>
  <c r="M150" i="1"/>
  <c r="K157" i="3" l="1"/>
  <c r="B156" i="3"/>
  <c r="C156" i="3"/>
  <c r="D156" i="3"/>
  <c r="E156" i="3"/>
  <c r="F156" i="3"/>
  <c r="G156" i="3"/>
  <c r="H156" i="3"/>
  <c r="I156" i="3"/>
  <c r="J156" i="3"/>
  <c r="L156" i="3"/>
  <c r="M156" i="3"/>
  <c r="O156" i="3"/>
  <c r="K156" i="3" l="1"/>
  <c r="M149" i="1"/>
  <c r="N155" i="3" l="1"/>
  <c r="B155" i="3"/>
  <c r="C155" i="3"/>
  <c r="D155" i="3"/>
  <c r="E155" i="3"/>
  <c r="F155" i="3"/>
  <c r="G155" i="3"/>
  <c r="H155" i="3"/>
  <c r="I155" i="3"/>
  <c r="J155" i="3"/>
  <c r="L155" i="3"/>
  <c r="M155" i="3"/>
  <c r="O155" i="3"/>
  <c r="B154" i="3"/>
  <c r="C154" i="3"/>
  <c r="D154" i="3"/>
  <c r="E154" i="3"/>
  <c r="F154" i="3"/>
  <c r="G154" i="3"/>
  <c r="H154" i="3"/>
  <c r="I154" i="3"/>
  <c r="J154" i="3"/>
  <c r="L154" i="3"/>
  <c r="M154" i="3"/>
  <c r="O154" i="3"/>
  <c r="B153" i="3"/>
  <c r="C153" i="3"/>
  <c r="D153" i="3"/>
  <c r="E153" i="3"/>
  <c r="F153" i="3"/>
  <c r="G153" i="3"/>
  <c r="H153" i="3"/>
  <c r="I153" i="3"/>
  <c r="J153" i="3"/>
  <c r="L153" i="3"/>
  <c r="M153" i="3"/>
  <c r="O153" i="3"/>
  <c r="B152" i="3"/>
  <c r="C152" i="3"/>
  <c r="D152" i="3"/>
  <c r="E152" i="3"/>
  <c r="F152" i="3"/>
  <c r="G152" i="3"/>
  <c r="H152" i="3"/>
  <c r="I152" i="3"/>
  <c r="J152" i="3"/>
  <c r="L152" i="3"/>
  <c r="M152" i="3"/>
  <c r="N152" i="3"/>
  <c r="O152" i="3"/>
  <c r="K155" i="3" l="1"/>
  <c r="K154" i="3"/>
  <c r="K153" i="3"/>
  <c r="K152" i="3"/>
  <c r="M148" i="1" l="1"/>
  <c r="M147" i="1"/>
  <c r="M146" i="1"/>
  <c r="M145" i="1"/>
  <c r="B151" i="3" l="1"/>
  <c r="C151" i="3"/>
  <c r="D151" i="3"/>
  <c r="E151" i="3"/>
  <c r="F151" i="3"/>
  <c r="G151" i="3"/>
  <c r="H151" i="3"/>
  <c r="I151" i="3"/>
  <c r="J151" i="3"/>
  <c r="L151" i="3"/>
  <c r="M151" i="3"/>
  <c r="N151" i="3"/>
  <c r="O151" i="3"/>
  <c r="M144" i="1"/>
  <c r="K151" i="3" l="1"/>
  <c r="B150" i="3"/>
  <c r="C150" i="3"/>
  <c r="D150" i="3"/>
  <c r="E150" i="3"/>
  <c r="F150" i="3"/>
  <c r="G150" i="3"/>
  <c r="H150" i="3"/>
  <c r="I150" i="3"/>
  <c r="J150" i="3"/>
  <c r="L150" i="3"/>
  <c r="M150" i="3"/>
  <c r="N150" i="3"/>
  <c r="M143" i="1"/>
  <c r="K150" i="3" l="1"/>
  <c r="B149" i="3"/>
  <c r="C149" i="3"/>
  <c r="D149" i="3"/>
  <c r="E149" i="3"/>
  <c r="F149" i="3"/>
  <c r="G149" i="3"/>
  <c r="H149" i="3"/>
  <c r="I149" i="3"/>
  <c r="J149" i="3"/>
  <c r="L149" i="3"/>
  <c r="M149" i="3"/>
  <c r="N149" i="3"/>
  <c r="O149" i="3"/>
  <c r="K149" i="3" l="1"/>
  <c r="M142" i="1"/>
  <c r="B148" i="3" l="1"/>
  <c r="C148" i="3"/>
  <c r="D148" i="3"/>
  <c r="E148" i="3"/>
  <c r="F148" i="3"/>
  <c r="G148" i="3"/>
  <c r="H148" i="3"/>
  <c r="I148" i="3"/>
  <c r="J148" i="3"/>
  <c r="L148" i="3"/>
  <c r="M148" i="3"/>
  <c r="N148" i="3"/>
  <c r="O148" i="3"/>
  <c r="K148" i="3" l="1"/>
  <c r="M141" i="1"/>
  <c r="B147" i="3" l="1"/>
  <c r="C147" i="3"/>
  <c r="D147" i="3"/>
  <c r="E147" i="3"/>
  <c r="F147" i="3"/>
  <c r="G147" i="3"/>
  <c r="H147" i="3"/>
  <c r="I147" i="3"/>
  <c r="J147" i="3"/>
  <c r="L147" i="3"/>
  <c r="M147" i="3"/>
  <c r="N147" i="3"/>
  <c r="O147" i="3"/>
  <c r="K147" i="3" l="1"/>
  <c r="M140" i="1"/>
  <c r="B146" i="3" l="1"/>
  <c r="C146" i="3"/>
  <c r="D146" i="3"/>
  <c r="E146" i="3"/>
  <c r="F146" i="3"/>
  <c r="G146" i="3"/>
  <c r="H146" i="3"/>
  <c r="I146" i="3"/>
  <c r="J146" i="3"/>
  <c r="L146" i="3"/>
  <c r="M146" i="3"/>
  <c r="N146" i="3"/>
  <c r="O146" i="3"/>
  <c r="K146" i="3" l="1"/>
  <c r="M139" i="1"/>
  <c r="M145" i="3" l="1"/>
  <c r="B145" i="3"/>
  <c r="C145" i="3"/>
  <c r="D145" i="3"/>
  <c r="E145" i="3"/>
  <c r="F145" i="3"/>
  <c r="G145" i="3"/>
  <c r="H145" i="3"/>
  <c r="I145" i="3"/>
  <c r="J145" i="3"/>
  <c r="L145" i="3"/>
  <c r="N145" i="3"/>
  <c r="O145" i="3"/>
  <c r="K145" i="3" l="1"/>
  <c r="M138" i="1"/>
  <c r="B144" i="3" l="1"/>
  <c r="C144" i="3"/>
  <c r="D144" i="3"/>
  <c r="E144" i="3"/>
  <c r="F144" i="3"/>
  <c r="G144" i="3"/>
  <c r="H144" i="3"/>
  <c r="I144" i="3"/>
  <c r="J144" i="3"/>
  <c r="L144" i="3"/>
  <c r="M144" i="3"/>
  <c r="N144" i="3"/>
  <c r="O144" i="3"/>
  <c r="K144" i="3" l="1"/>
  <c r="M137" i="1"/>
  <c r="B143" i="3" l="1"/>
  <c r="C143" i="3"/>
  <c r="D143" i="3"/>
  <c r="E143" i="3"/>
  <c r="F143" i="3"/>
  <c r="G143" i="3"/>
  <c r="H143" i="3"/>
  <c r="I143" i="3"/>
  <c r="J143" i="3"/>
  <c r="L143" i="3"/>
  <c r="M143" i="3"/>
  <c r="N143" i="3"/>
  <c r="O143" i="3"/>
  <c r="K143" i="3" l="1"/>
  <c r="M136" i="1" l="1"/>
  <c r="B142" i="3" l="1"/>
  <c r="C142" i="3"/>
  <c r="D142" i="3"/>
  <c r="E142" i="3"/>
  <c r="F142" i="3"/>
  <c r="G142" i="3"/>
  <c r="H142" i="3"/>
  <c r="I142" i="3"/>
  <c r="J142" i="3"/>
  <c r="L142" i="3"/>
  <c r="M142" i="3"/>
  <c r="N142" i="3"/>
  <c r="O142" i="3"/>
  <c r="B141" i="3"/>
  <c r="C141" i="3"/>
  <c r="D141" i="3"/>
  <c r="E141" i="3"/>
  <c r="F141" i="3"/>
  <c r="G141" i="3"/>
  <c r="H141" i="3"/>
  <c r="I141" i="3"/>
  <c r="J141" i="3"/>
  <c r="L141" i="3"/>
  <c r="M141" i="3"/>
  <c r="N141" i="3"/>
  <c r="O141" i="3"/>
  <c r="K142" i="3" l="1"/>
  <c r="K141" i="3"/>
  <c r="M135" i="1" l="1"/>
  <c r="B140" i="3" l="1"/>
  <c r="C140" i="3"/>
  <c r="D140" i="3"/>
  <c r="E140" i="3"/>
  <c r="F140" i="3"/>
  <c r="G140" i="3"/>
  <c r="H140" i="3"/>
  <c r="I140" i="3"/>
  <c r="J140" i="3"/>
  <c r="L140" i="3"/>
  <c r="M140" i="3"/>
  <c r="N140" i="3"/>
  <c r="O140" i="3"/>
  <c r="B139" i="3"/>
  <c r="C139" i="3"/>
  <c r="D139" i="3"/>
  <c r="E139" i="3"/>
  <c r="F139" i="3"/>
  <c r="G139" i="3"/>
  <c r="H139" i="3"/>
  <c r="I139" i="3"/>
  <c r="J139" i="3"/>
  <c r="L139" i="3"/>
  <c r="M139" i="3"/>
  <c r="N139" i="3"/>
  <c r="O139" i="3"/>
  <c r="B138" i="3"/>
  <c r="C138" i="3"/>
  <c r="D138" i="3"/>
  <c r="E138" i="3"/>
  <c r="F138" i="3"/>
  <c r="G138" i="3"/>
  <c r="H138" i="3"/>
  <c r="I138" i="3"/>
  <c r="J138" i="3"/>
  <c r="L138" i="3"/>
  <c r="M138" i="3"/>
  <c r="N138" i="3"/>
  <c r="O138" i="3"/>
  <c r="B137" i="3"/>
  <c r="C137" i="3"/>
  <c r="D137" i="3"/>
  <c r="E137" i="3"/>
  <c r="F137" i="3"/>
  <c r="G137" i="3"/>
  <c r="H137" i="3"/>
  <c r="I137" i="3"/>
  <c r="J137" i="3"/>
  <c r="L137" i="3"/>
  <c r="M137" i="3"/>
  <c r="N137" i="3"/>
  <c r="O137" i="3"/>
  <c r="B136" i="3"/>
  <c r="C136" i="3"/>
  <c r="D136" i="3"/>
  <c r="E136" i="3"/>
  <c r="F136" i="3"/>
  <c r="G136" i="3"/>
  <c r="H136" i="3"/>
  <c r="I136" i="3"/>
  <c r="J136" i="3"/>
  <c r="L136" i="3"/>
  <c r="M136" i="3"/>
  <c r="N136" i="3"/>
  <c r="O136" i="3"/>
  <c r="B135" i="3"/>
  <c r="C135" i="3"/>
  <c r="D135" i="3"/>
  <c r="E135" i="3"/>
  <c r="F135" i="3"/>
  <c r="G135" i="3"/>
  <c r="H135" i="3"/>
  <c r="I135" i="3"/>
  <c r="J135" i="3"/>
  <c r="L135" i="3"/>
  <c r="M135" i="3"/>
  <c r="N135" i="3"/>
  <c r="O135" i="3"/>
  <c r="B134" i="3"/>
  <c r="C134" i="3"/>
  <c r="D134" i="3"/>
  <c r="E134" i="3"/>
  <c r="F134" i="3"/>
  <c r="G134" i="3"/>
  <c r="H134" i="3"/>
  <c r="I134" i="3"/>
  <c r="J134" i="3"/>
  <c r="L134" i="3"/>
  <c r="M134" i="3"/>
  <c r="N134" i="3"/>
  <c r="O134" i="3"/>
  <c r="K140" i="3" l="1"/>
  <c r="K139" i="3"/>
  <c r="K137" i="3"/>
  <c r="K138" i="3"/>
  <c r="K136" i="3"/>
  <c r="K135" i="3"/>
  <c r="K134" i="3"/>
  <c r="M134" i="1" l="1"/>
  <c r="M133" i="1"/>
  <c r="M132" i="1"/>
  <c r="M131" i="1"/>
  <c r="M130" i="1"/>
  <c r="M129" i="1"/>
  <c r="M128" i="1"/>
  <c r="B133" i="3" l="1"/>
  <c r="C133" i="3"/>
  <c r="D133" i="3"/>
  <c r="E133" i="3"/>
  <c r="F133" i="3"/>
  <c r="G133" i="3"/>
  <c r="H133" i="3"/>
  <c r="I133" i="3"/>
  <c r="J133" i="3"/>
  <c r="L133" i="3"/>
  <c r="M133" i="3"/>
  <c r="N133" i="3"/>
  <c r="O133" i="3"/>
  <c r="K133" i="3" l="1"/>
  <c r="M127" i="1"/>
  <c r="B132" i="3" l="1"/>
  <c r="C132" i="3"/>
  <c r="D132" i="3"/>
  <c r="E132" i="3"/>
  <c r="F132" i="3"/>
  <c r="G132" i="3"/>
  <c r="H132" i="3"/>
  <c r="I132" i="3"/>
  <c r="J132" i="3"/>
  <c r="L132" i="3"/>
  <c r="M132" i="3"/>
  <c r="N132" i="3"/>
  <c r="O132" i="3"/>
  <c r="M126" i="1"/>
  <c r="B131" i="3"/>
  <c r="C131" i="3"/>
  <c r="D131" i="3"/>
  <c r="E131" i="3"/>
  <c r="F131" i="3"/>
  <c r="G131" i="3"/>
  <c r="H131" i="3"/>
  <c r="I131" i="3"/>
  <c r="J131" i="3"/>
  <c r="L131" i="3"/>
  <c r="M131" i="3"/>
  <c r="N131" i="3"/>
  <c r="O131" i="3"/>
  <c r="K132" i="3" l="1"/>
  <c r="K131" i="3"/>
  <c r="M125" i="1" l="1"/>
  <c r="B130" i="3"/>
  <c r="C130" i="3"/>
  <c r="D130" i="3"/>
  <c r="E130" i="3"/>
  <c r="F130" i="3"/>
  <c r="G130" i="3"/>
  <c r="H130" i="3"/>
  <c r="I130" i="3"/>
  <c r="J130" i="3"/>
  <c r="L130" i="3"/>
  <c r="M130" i="3"/>
  <c r="N130" i="3"/>
  <c r="O130" i="3"/>
  <c r="K130" i="3" l="1"/>
  <c r="M124" i="1"/>
  <c r="B129" i="3" l="1"/>
  <c r="C129" i="3"/>
  <c r="D129" i="3"/>
  <c r="E129" i="3"/>
  <c r="F129" i="3"/>
  <c r="G129" i="3"/>
  <c r="H129" i="3"/>
  <c r="I129" i="3"/>
  <c r="J129" i="3"/>
  <c r="L129" i="3"/>
  <c r="M129" i="3"/>
  <c r="N129" i="3"/>
  <c r="O129" i="3"/>
  <c r="K129" i="3" l="1"/>
  <c r="M123" i="1"/>
  <c r="B128" i="3" l="1"/>
  <c r="C128" i="3"/>
  <c r="D128" i="3"/>
  <c r="E128" i="3"/>
  <c r="F128" i="3"/>
  <c r="G128" i="3"/>
  <c r="H128" i="3"/>
  <c r="I128" i="3"/>
  <c r="J128" i="3"/>
  <c r="L128" i="3"/>
  <c r="M128" i="3"/>
  <c r="N128" i="3"/>
  <c r="O128" i="3"/>
  <c r="K128" i="3" l="1"/>
  <c r="M122" i="1"/>
  <c r="B127" i="3" l="1"/>
  <c r="C127" i="3"/>
  <c r="D127" i="3"/>
  <c r="E127" i="3"/>
  <c r="F127" i="3"/>
  <c r="G127" i="3"/>
  <c r="H127" i="3"/>
  <c r="I127" i="3"/>
  <c r="J127" i="3"/>
  <c r="L127" i="3"/>
  <c r="M127" i="3"/>
  <c r="N127" i="3"/>
  <c r="O127" i="3"/>
  <c r="K127" i="3" l="1"/>
  <c r="M121" i="1"/>
  <c r="B126" i="3" l="1"/>
  <c r="C126" i="3"/>
  <c r="D126" i="3"/>
  <c r="E126" i="3"/>
  <c r="F126" i="3"/>
  <c r="G126" i="3"/>
  <c r="H126" i="3"/>
  <c r="I126" i="3"/>
  <c r="J126" i="3"/>
  <c r="L126" i="3"/>
  <c r="M126" i="3"/>
  <c r="N126" i="3"/>
  <c r="O126" i="3"/>
  <c r="K126" i="3" l="1"/>
  <c r="M120" i="1"/>
  <c r="B125" i="3" l="1"/>
  <c r="C125" i="3"/>
  <c r="D125" i="3"/>
  <c r="E125" i="3"/>
  <c r="F125" i="3"/>
  <c r="G125" i="3"/>
  <c r="H125" i="3"/>
  <c r="I125" i="3"/>
  <c r="J125" i="3"/>
  <c r="L125" i="3"/>
  <c r="M125" i="3"/>
  <c r="N125" i="3"/>
  <c r="O125" i="3"/>
  <c r="M119" i="1"/>
  <c r="B124" i="3"/>
  <c r="C124" i="3"/>
  <c r="D124" i="3"/>
  <c r="E124" i="3"/>
  <c r="F124" i="3"/>
  <c r="G124" i="3"/>
  <c r="H124" i="3"/>
  <c r="I124" i="3"/>
  <c r="J124" i="3"/>
  <c r="L124" i="3"/>
  <c r="M124" i="3"/>
  <c r="N124" i="3"/>
  <c r="O124" i="3"/>
  <c r="K125" i="3" l="1"/>
  <c r="K124" i="3"/>
  <c r="M118" i="1" l="1"/>
  <c r="B123" i="3" l="1"/>
  <c r="C123" i="3"/>
  <c r="D123" i="3"/>
  <c r="E123" i="3"/>
  <c r="F123" i="3"/>
  <c r="G123" i="3"/>
  <c r="H123" i="3"/>
  <c r="I123" i="3"/>
  <c r="J123" i="3"/>
  <c r="L123" i="3"/>
  <c r="M123" i="3"/>
  <c r="N123" i="3"/>
  <c r="O123" i="3"/>
  <c r="K123" i="3" l="1"/>
  <c r="M117" i="1"/>
  <c r="B122" i="3" l="1"/>
  <c r="C122" i="3"/>
  <c r="D122" i="3"/>
  <c r="E122" i="3"/>
  <c r="F122" i="3"/>
  <c r="G122" i="3"/>
  <c r="H122" i="3"/>
  <c r="I122" i="3"/>
  <c r="J122" i="3"/>
  <c r="L122" i="3"/>
  <c r="M122" i="3"/>
  <c r="N122" i="3"/>
  <c r="O122" i="3"/>
  <c r="K122" i="3" l="1"/>
  <c r="M116" i="1"/>
  <c r="C121" i="3"/>
  <c r="D121" i="3"/>
  <c r="E121" i="3"/>
  <c r="F121" i="3"/>
  <c r="G121" i="3"/>
  <c r="H121" i="3"/>
  <c r="I121" i="3"/>
  <c r="J121" i="3"/>
  <c r="L121" i="3"/>
  <c r="M121" i="3"/>
  <c r="N121" i="3"/>
  <c r="O121" i="3"/>
  <c r="M115" i="1"/>
  <c r="C120" i="3"/>
  <c r="D120" i="3"/>
  <c r="E120" i="3"/>
  <c r="F120" i="3"/>
  <c r="G120" i="3"/>
  <c r="H120" i="3"/>
  <c r="I120" i="3"/>
  <c r="J120" i="3"/>
  <c r="L120" i="3"/>
  <c r="M120" i="3"/>
  <c r="N120" i="3"/>
  <c r="O120" i="3"/>
  <c r="M114" i="1"/>
  <c r="K121" i="3" l="1"/>
  <c r="K120" i="3"/>
  <c r="B119" i="3"/>
  <c r="C119" i="3"/>
  <c r="D119" i="3"/>
  <c r="E119" i="3"/>
  <c r="F119" i="3"/>
  <c r="G119" i="3"/>
  <c r="H119" i="3"/>
  <c r="I119" i="3"/>
  <c r="J119" i="3"/>
  <c r="L119" i="3"/>
  <c r="M119" i="3"/>
  <c r="N119" i="3"/>
  <c r="O119" i="3"/>
  <c r="K119" i="3" l="1"/>
  <c r="M113" i="1"/>
  <c r="B118" i="3" l="1"/>
  <c r="C118" i="3"/>
  <c r="D118" i="3"/>
  <c r="E118" i="3"/>
  <c r="F118" i="3"/>
  <c r="G118" i="3"/>
  <c r="H118" i="3"/>
  <c r="I118" i="3"/>
  <c r="J118" i="3"/>
  <c r="L118" i="3"/>
  <c r="M118" i="3"/>
  <c r="N118" i="3"/>
  <c r="O118" i="3"/>
  <c r="K118" i="3" l="1"/>
  <c r="M112" i="1"/>
  <c r="B117" i="3" l="1"/>
  <c r="C117" i="3"/>
  <c r="D117" i="3"/>
  <c r="E117" i="3"/>
  <c r="F117" i="3"/>
  <c r="G117" i="3"/>
  <c r="H117" i="3"/>
  <c r="I117" i="3"/>
  <c r="J117" i="3"/>
  <c r="L117" i="3"/>
  <c r="M117" i="3"/>
  <c r="N117" i="3"/>
  <c r="O117" i="3"/>
  <c r="K117" i="3" l="1"/>
  <c r="M111" i="1"/>
  <c r="B116" i="3" l="1"/>
  <c r="C116" i="3"/>
  <c r="D116" i="3"/>
  <c r="E116" i="3"/>
  <c r="F116" i="3"/>
  <c r="G116" i="3"/>
  <c r="H116" i="3"/>
  <c r="I116" i="3"/>
  <c r="J116" i="3"/>
  <c r="L116" i="3"/>
  <c r="M116" i="3"/>
  <c r="N116" i="3"/>
  <c r="O116" i="3"/>
  <c r="K116" i="3" l="1"/>
  <c r="M110" i="1"/>
  <c r="B115" i="3" l="1"/>
  <c r="C115" i="3"/>
  <c r="D115" i="3"/>
  <c r="E115" i="3"/>
  <c r="F115" i="3"/>
  <c r="G115" i="3"/>
  <c r="H115" i="3"/>
  <c r="I115" i="3"/>
  <c r="J115" i="3"/>
  <c r="L115" i="3"/>
  <c r="M115" i="3"/>
  <c r="N115" i="3"/>
  <c r="O115" i="3"/>
  <c r="K115" i="3" l="1"/>
  <c r="M109" i="1"/>
  <c r="B114" i="3" l="1"/>
  <c r="C114" i="3"/>
  <c r="D114" i="3"/>
  <c r="E114" i="3"/>
  <c r="F114" i="3"/>
  <c r="G114" i="3"/>
  <c r="H114" i="3"/>
  <c r="I114" i="3"/>
  <c r="J114" i="3"/>
  <c r="L114" i="3"/>
  <c r="M114" i="3"/>
  <c r="N114" i="3"/>
  <c r="O114" i="3"/>
  <c r="K114" i="3" l="1"/>
  <c r="M108" i="1"/>
  <c r="C113" i="3" l="1"/>
  <c r="D113" i="3"/>
  <c r="E113" i="3"/>
  <c r="F113" i="3"/>
  <c r="G113" i="3"/>
  <c r="H113" i="3"/>
  <c r="I113" i="3"/>
  <c r="J113" i="3"/>
  <c r="L113" i="3"/>
  <c r="M113" i="3"/>
  <c r="N113" i="3"/>
  <c r="O113" i="3"/>
  <c r="K113" i="3" l="1"/>
  <c r="M107" i="1"/>
  <c r="B112" i="3" l="1"/>
  <c r="C112" i="3"/>
  <c r="D112" i="3"/>
  <c r="E112" i="3"/>
  <c r="F112" i="3"/>
  <c r="G112" i="3"/>
  <c r="H112" i="3"/>
  <c r="I112" i="3"/>
  <c r="J112" i="3"/>
  <c r="L112" i="3"/>
  <c r="M112" i="3"/>
  <c r="N112" i="3"/>
  <c r="O112" i="3"/>
  <c r="M106" i="1"/>
  <c r="K112" i="3" l="1"/>
  <c r="O110" i="3"/>
  <c r="D111" i="3"/>
  <c r="E111" i="3"/>
  <c r="F111" i="3"/>
  <c r="G111" i="3"/>
  <c r="H111" i="3"/>
  <c r="I111" i="3"/>
  <c r="M105" i="1"/>
  <c r="K111" i="3" l="1"/>
  <c r="L110" i="3" l="1"/>
  <c r="B110" i="3"/>
  <c r="C110" i="3"/>
  <c r="D110" i="3"/>
  <c r="E110" i="3"/>
  <c r="F110" i="3"/>
  <c r="G110" i="3"/>
  <c r="H110" i="3"/>
  <c r="I110" i="3"/>
  <c r="J110" i="3"/>
  <c r="M110" i="3"/>
  <c r="N110" i="3"/>
  <c r="M104" i="1"/>
  <c r="B109" i="3"/>
  <c r="C109" i="3"/>
  <c r="D109" i="3"/>
  <c r="E109" i="3"/>
  <c r="F109" i="3"/>
  <c r="G109" i="3"/>
  <c r="H109" i="3"/>
  <c r="I109" i="3"/>
  <c r="J109" i="3"/>
  <c r="L109" i="3"/>
  <c r="M109" i="3"/>
  <c r="N109" i="3"/>
  <c r="O109" i="3"/>
  <c r="K110" i="3" l="1"/>
  <c r="K109" i="3"/>
  <c r="B108" i="3"/>
  <c r="C108" i="3"/>
  <c r="D108" i="3"/>
  <c r="E108" i="3"/>
  <c r="F108" i="3"/>
  <c r="G108" i="3"/>
  <c r="H108" i="3"/>
  <c r="I108" i="3"/>
  <c r="J108" i="3"/>
  <c r="L108" i="3"/>
  <c r="M108" i="3"/>
  <c r="N108" i="3"/>
  <c r="O108" i="3"/>
  <c r="M103" i="1"/>
  <c r="K108" i="3" l="1"/>
  <c r="B107" i="3"/>
  <c r="C107" i="3"/>
  <c r="D107" i="3"/>
  <c r="E107" i="3"/>
  <c r="F107" i="3"/>
  <c r="G107" i="3"/>
  <c r="H107" i="3"/>
  <c r="I107" i="3"/>
  <c r="J107" i="3"/>
  <c r="L107" i="3"/>
  <c r="M107" i="3"/>
  <c r="N107" i="3"/>
  <c r="O107" i="3"/>
  <c r="M102" i="1"/>
  <c r="K107" i="3" l="1"/>
  <c r="B106" i="3"/>
  <c r="C106" i="3"/>
  <c r="D106" i="3"/>
  <c r="E106" i="3"/>
  <c r="F106" i="3"/>
  <c r="G106" i="3"/>
  <c r="H106" i="3"/>
  <c r="I106" i="3"/>
  <c r="J106" i="3"/>
  <c r="L106" i="3"/>
  <c r="M106" i="3"/>
  <c r="N106" i="3"/>
  <c r="O106" i="3"/>
  <c r="B105" i="3"/>
  <c r="C105" i="3"/>
  <c r="D105" i="3"/>
  <c r="E105" i="3"/>
  <c r="F105" i="3"/>
  <c r="G105" i="3"/>
  <c r="H105" i="3"/>
  <c r="I105" i="3"/>
  <c r="J105" i="3"/>
  <c r="L105" i="3"/>
  <c r="M105" i="3"/>
  <c r="N105" i="3"/>
  <c r="O105" i="3"/>
  <c r="M101" i="1"/>
  <c r="M100" i="1"/>
  <c r="B104" i="3"/>
  <c r="C104" i="3"/>
  <c r="D104" i="3"/>
  <c r="E104" i="3"/>
  <c r="F104" i="3"/>
  <c r="G104" i="3"/>
  <c r="H104" i="3"/>
  <c r="I104" i="3"/>
  <c r="J104" i="3"/>
  <c r="L104" i="3"/>
  <c r="M104" i="3"/>
  <c r="N104" i="3"/>
  <c r="O104" i="3"/>
  <c r="M99" i="1"/>
  <c r="K106" i="3" l="1"/>
  <c r="K105" i="3"/>
  <c r="K104" i="3"/>
  <c r="B103" i="3"/>
  <c r="C103" i="3"/>
  <c r="D103" i="3"/>
  <c r="E103" i="3"/>
  <c r="F103" i="3"/>
  <c r="G103" i="3"/>
  <c r="H103" i="3"/>
  <c r="I103" i="3"/>
  <c r="J103" i="3"/>
  <c r="L103" i="3"/>
  <c r="M103" i="3"/>
  <c r="N103" i="3"/>
  <c r="O103" i="3"/>
  <c r="M98" i="1"/>
  <c r="K103" i="3" l="1"/>
  <c r="B102" i="3"/>
  <c r="C102" i="3"/>
  <c r="D102" i="3"/>
  <c r="E102" i="3"/>
  <c r="F102" i="3"/>
  <c r="G102" i="3"/>
  <c r="H102" i="3"/>
  <c r="I102" i="3"/>
  <c r="J102" i="3"/>
  <c r="L102" i="3"/>
  <c r="M102" i="3"/>
  <c r="N102" i="3"/>
  <c r="O102" i="3"/>
  <c r="M97" i="1"/>
  <c r="B101" i="3"/>
  <c r="C101" i="3"/>
  <c r="D101" i="3"/>
  <c r="E101" i="3"/>
  <c r="F101" i="3"/>
  <c r="G101" i="3"/>
  <c r="H101" i="3"/>
  <c r="I101" i="3"/>
  <c r="J101" i="3"/>
  <c r="L101" i="3"/>
  <c r="M101" i="3"/>
  <c r="N101" i="3"/>
  <c r="O101" i="3"/>
  <c r="M96" i="1"/>
  <c r="K102" i="3" l="1"/>
  <c r="K101" i="3"/>
  <c r="B100" i="3"/>
  <c r="C100" i="3"/>
  <c r="D100" i="3"/>
  <c r="E100" i="3"/>
  <c r="F100" i="3"/>
  <c r="G100" i="3"/>
  <c r="H100" i="3"/>
  <c r="I100" i="3"/>
  <c r="J100" i="3"/>
  <c r="L100" i="3"/>
  <c r="M100" i="3"/>
  <c r="N100" i="3"/>
  <c r="O100" i="3"/>
  <c r="M95" i="1"/>
  <c r="K100" i="3" l="1"/>
  <c r="B99" i="3"/>
  <c r="C99" i="3"/>
  <c r="D99" i="3"/>
  <c r="E99" i="3"/>
  <c r="F99" i="3"/>
  <c r="G99" i="3"/>
  <c r="H99" i="3"/>
  <c r="I99" i="3"/>
  <c r="J99" i="3"/>
  <c r="L99" i="3"/>
  <c r="M99" i="3"/>
  <c r="N99" i="3"/>
  <c r="O99" i="3"/>
  <c r="M94" i="1"/>
  <c r="K99" i="3" l="1"/>
  <c r="N98" i="3"/>
  <c r="B98" i="3"/>
  <c r="C98" i="3"/>
  <c r="D98" i="3"/>
  <c r="E98" i="3"/>
  <c r="F98" i="3"/>
  <c r="G98" i="3"/>
  <c r="H98" i="3"/>
  <c r="I98" i="3"/>
  <c r="J98" i="3"/>
  <c r="L98" i="3"/>
  <c r="M98" i="3"/>
  <c r="O98" i="3"/>
  <c r="K98" i="3" l="1"/>
  <c r="M93" i="1"/>
  <c r="B97" i="3" l="1"/>
  <c r="C97" i="3"/>
  <c r="D97" i="3"/>
  <c r="E97" i="3"/>
  <c r="F97" i="3"/>
  <c r="G97" i="3"/>
  <c r="H97" i="3"/>
  <c r="I97" i="3"/>
  <c r="J97" i="3"/>
  <c r="L97" i="3"/>
  <c r="M97" i="3"/>
  <c r="N97" i="3"/>
  <c r="O97" i="3"/>
  <c r="K97" i="3" l="1"/>
  <c r="M92" i="1"/>
  <c r="B96" i="3" l="1"/>
  <c r="C96" i="3"/>
  <c r="D96" i="3"/>
  <c r="E96" i="3"/>
  <c r="F96" i="3"/>
  <c r="G96" i="3"/>
  <c r="H96" i="3"/>
  <c r="I96" i="3"/>
  <c r="J96" i="3"/>
  <c r="L96" i="3"/>
  <c r="M96" i="3"/>
  <c r="N96" i="3"/>
  <c r="O96" i="3"/>
  <c r="M91" i="1"/>
  <c r="B95" i="3"/>
  <c r="C95" i="3"/>
  <c r="D95" i="3"/>
  <c r="E95" i="3"/>
  <c r="F95" i="3"/>
  <c r="G95" i="3"/>
  <c r="H95" i="3"/>
  <c r="I95" i="3"/>
  <c r="J95" i="3"/>
  <c r="L95" i="3"/>
  <c r="M95" i="3"/>
  <c r="N95" i="3"/>
  <c r="O95" i="3"/>
  <c r="B94" i="3"/>
  <c r="C94" i="3"/>
  <c r="D94" i="3"/>
  <c r="E94" i="3"/>
  <c r="F94" i="3"/>
  <c r="G94" i="3"/>
  <c r="H94" i="3"/>
  <c r="I94" i="3"/>
  <c r="J94" i="3"/>
  <c r="L94" i="3"/>
  <c r="M94" i="3"/>
  <c r="N94" i="3"/>
  <c r="O94" i="3"/>
  <c r="B93" i="3"/>
  <c r="C93" i="3"/>
  <c r="D93" i="3"/>
  <c r="E93" i="3"/>
  <c r="F93" i="3"/>
  <c r="G93" i="3"/>
  <c r="H93" i="3"/>
  <c r="I93" i="3"/>
  <c r="J93" i="3"/>
  <c r="L93" i="3"/>
  <c r="M93" i="3"/>
  <c r="N93" i="3"/>
  <c r="O93" i="3"/>
  <c r="B92" i="3"/>
  <c r="C92" i="3"/>
  <c r="D92" i="3"/>
  <c r="E92" i="3"/>
  <c r="F92" i="3"/>
  <c r="G92" i="3"/>
  <c r="H92" i="3"/>
  <c r="I92" i="3"/>
  <c r="J92" i="3"/>
  <c r="L92" i="3"/>
  <c r="M92" i="3"/>
  <c r="N92" i="3"/>
  <c r="O92" i="3"/>
  <c r="M90" i="1"/>
  <c r="M89" i="1"/>
  <c r="M88" i="1"/>
  <c r="M87" i="1"/>
  <c r="F120" i="2"/>
  <c r="F122" i="2"/>
  <c r="F130" i="2"/>
  <c r="E120" i="2"/>
  <c r="E122" i="2"/>
  <c r="E130" i="2"/>
  <c r="D120" i="2"/>
  <c r="D122" i="2"/>
  <c r="D130" i="2"/>
  <c r="C127" i="2"/>
  <c r="C130" i="2"/>
  <c r="C128" i="2"/>
  <c r="F121" i="2"/>
  <c r="F124" i="2"/>
  <c r="E121" i="2"/>
  <c r="E124" i="2"/>
  <c r="D121" i="2"/>
  <c r="D124" i="2"/>
  <c r="C121" i="2"/>
  <c r="C124" i="2"/>
  <c r="C122" i="2"/>
  <c r="E109" i="2"/>
  <c r="E112" i="2"/>
  <c r="D109" i="2"/>
  <c r="D112" i="2"/>
  <c r="C109" i="2"/>
  <c r="C112" i="2"/>
  <c r="C110" i="2"/>
  <c r="E103" i="2"/>
  <c r="E106" i="2"/>
  <c r="D103" i="2"/>
  <c r="D106" i="2"/>
  <c r="C103" i="2"/>
  <c r="C106" i="2"/>
  <c r="C104" i="2"/>
  <c r="E92" i="2"/>
  <c r="E95" i="2"/>
  <c r="D92" i="2"/>
  <c r="D95" i="2"/>
  <c r="C92" i="2"/>
  <c r="C95" i="2"/>
  <c r="C93" i="2"/>
  <c r="E86" i="2"/>
  <c r="E89" i="2"/>
  <c r="D86" i="2"/>
  <c r="D89" i="2"/>
  <c r="C86" i="2"/>
  <c r="C89" i="2"/>
  <c r="C87" i="2"/>
  <c r="E75" i="2"/>
  <c r="E78" i="2"/>
  <c r="D75" i="2"/>
  <c r="D78" i="2"/>
  <c r="C75" i="2"/>
  <c r="C78" i="2"/>
  <c r="C72" i="2"/>
  <c r="E69" i="2"/>
  <c r="E72" i="2"/>
  <c r="D69" i="2"/>
  <c r="D72" i="2"/>
  <c r="C69" i="2"/>
  <c r="C70" i="2"/>
  <c r="F51" i="2"/>
  <c r="I51" i="2" s="1"/>
  <c r="F54" i="2"/>
  <c r="I54" i="2" s="1"/>
  <c r="E51" i="2"/>
  <c r="E54" i="2"/>
  <c r="D51" i="2"/>
  <c r="D54" i="2"/>
  <c r="H54" i="2" s="1"/>
  <c r="C51" i="2"/>
  <c r="C54" i="2"/>
  <c r="M4" i="1"/>
  <c r="M16" i="1"/>
  <c r="M20" i="1"/>
  <c r="M23" i="1"/>
  <c r="M3" i="1"/>
  <c r="M5" i="1"/>
  <c r="M6" i="1"/>
  <c r="M7" i="1"/>
  <c r="M8" i="1"/>
  <c r="M9" i="1"/>
  <c r="M10" i="1"/>
  <c r="M11" i="1"/>
  <c r="M12" i="1"/>
  <c r="M13" i="1"/>
  <c r="M14" i="1"/>
  <c r="M15" i="1"/>
  <c r="M17" i="1"/>
  <c r="M18" i="1"/>
  <c r="M19" i="1"/>
  <c r="M21" i="1"/>
  <c r="M22"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F45" i="2"/>
  <c r="I45" i="2" s="1"/>
  <c r="F48" i="2"/>
  <c r="E45" i="2"/>
  <c r="E48" i="2"/>
  <c r="D45" i="2"/>
  <c r="D48" i="2"/>
  <c r="H48" i="2" s="1"/>
  <c r="C45" i="2"/>
  <c r="C48" i="2"/>
  <c r="J32" i="2"/>
  <c r="J35" i="2"/>
  <c r="I32" i="2"/>
  <c r="I35" i="2"/>
  <c r="H32" i="2"/>
  <c r="H35" i="2"/>
  <c r="G32" i="2"/>
  <c r="G35" i="2"/>
  <c r="F32" i="2"/>
  <c r="F35" i="2"/>
  <c r="E32" i="2"/>
  <c r="E35" i="2"/>
  <c r="D32" i="2"/>
  <c r="D35" i="2"/>
  <c r="C32" i="2"/>
  <c r="C35" i="2"/>
  <c r="C33" i="2"/>
  <c r="J26" i="2"/>
  <c r="J29" i="2"/>
  <c r="I26" i="2"/>
  <c r="I29" i="2"/>
  <c r="H26" i="2"/>
  <c r="H29" i="2"/>
  <c r="G26" i="2"/>
  <c r="G29" i="2"/>
  <c r="F26" i="2"/>
  <c r="F29" i="2"/>
  <c r="E26" i="2"/>
  <c r="E29" i="2"/>
  <c r="D26" i="2"/>
  <c r="D29" i="2"/>
  <c r="C26" i="2"/>
  <c r="C29" i="2"/>
  <c r="C27" i="2"/>
  <c r="I13" i="2"/>
  <c r="I16" i="2"/>
  <c r="H13" i="2"/>
  <c r="H16" i="2"/>
  <c r="G13" i="2"/>
  <c r="G16" i="2"/>
  <c r="F13" i="2"/>
  <c r="F16" i="2"/>
  <c r="E13" i="2"/>
  <c r="E16" i="2"/>
  <c r="D13" i="2"/>
  <c r="D16" i="2"/>
  <c r="C13" i="2"/>
  <c r="C16" i="2"/>
  <c r="C10" i="2"/>
  <c r="I7" i="2"/>
  <c r="I10" i="2"/>
  <c r="H7" i="2"/>
  <c r="H10" i="2"/>
  <c r="G7" i="2"/>
  <c r="G10" i="2"/>
  <c r="F7" i="2"/>
  <c r="F10" i="2"/>
  <c r="E7" i="2"/>
  <c r="E10" i="2"/>
  <c r="D7" i="2"/>
  <c r="D10" i="2"/>
  <c r="C7" i="2"/>
  <c r="I6" i="2"/>
  <c r="I8" i="2"/>
  <c r="H6" i="2"/>
  <c r="H8" i="2"/>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C68" i="2"/>
  <c r="C71" i="2" s="1"/>
  <c r="C2" i="3"/>
  <c r="C3" i="3"/>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6" i="3"/>
  <c r="C87" i="3"/>
  <c r="C88" i="3"/>
  <c r="C89" i="3"/>
  <c r="C90" i="3"/>
  <c r="C91" i="3"/>
  <c r="B2" i="3"/>
  <c r="B3"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8" i="3"/>
  <c r="B49" i="3"/>
  <c r="B50" i="3"/>
  <c r="B51" i="3"/>
  <c r="B52" i="3"/>
  <c r="B53" i="3"/>
  <c r="B54" i="3"/>
  <c r="B55" i="3"/>
  <c r="B56" i="3"/>
  <c r="B57" i="3"/>
  <c r="B58" i="3"/>
  <c r="B59" i="3"/>
  <c r="B60" i="3"/>
  <c r="B61" i="3"/>
  <c r="B62" i="3"/>
  <c r="B63" i="3"/>
  <c r="B64" i="3"/>
  <c r="B65" i="3"/>
  <c r="B66" i="3"/>
  <c r="B67" i="3"/>
  <c r="B68" i="3"/>
  <c r="B69" i="3"/>
  <c r="B70" i="3"/>
  <c r="B71" i="3"/>
  <c r="B72" i="3"/>
  <c r="B73" i="3"/>
  <c r="B74" i="3"/>
  <c r="B76" i="3"/>
  <c r="B77" i="3"/>
  <c r="B78" i="3"/>
  <c r="B79" i="3"/>
  <c r="B80" i="3"/>
  <c r="B81" i="3"/>
  <c r="B82" i="3"/>
  <c r="B83" i="3"/>
  <c r="B84" i="3"/>
  <c r="B86" i="3"/>
  <c r="B87" i="3"/>
  <c r="B88" i="3"/>
  <c r="B89" i="3"/>
  <c r="B90" i="3"/>
  <c r="O2" i="3"/>
  <c r="O3" i="3"/>
  <c r="O4" i="3"/>
  <c r="O5" i="3"/>
  <c r="O6" i="3"/>
  <c r="O7" i="3"/>
  <c r="O8" i="3"/>
  <c r="O9" i="3"/>
  <c r="O10" i="3"/>
  <c r="O11" i="3"/>
  <c r="O12" i="3"/>
  <c r="O13" i="3"/>
  <c r="O14" i="3"/>
  <c r="O15" i="3"/>
  <c r="O16"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7" i="3"/>
  <c r="O48" i="3"/>
  <c r="O49" i="3"/>
  <c r="O50" i="3"/>
  <c r="O51" i="3"/>
  <c r="O52" i="3"/>
  <c r="O53" i="3"/>
  <c r="O54" i="3"/>
  <c r="O55" i="3"/>
  <c r="O56" i="3"/>
  <c r="O57" i="3"/>
  <c r="O58" i="3"/>
  <c r="O59" i="3"/>
  <c r="O60" i="3"/>
  <c r="O61" i="3"/>
  <c r="O62" i="3"/>
  <c r="O63" i="3"/>
  <c r="O64" i="3"/>
  <c r="O65" i="3"/>
  <c r="O66" i="3"/>
  <c r="O67" i="3"/>
  <c r="O68" i="3"/>
  <c r="O69" i="3"/>
  <c r="O70" i="3"/>
  <c r="O71" i="3"/>
  <c r="O72" i="3"/>
  <c r="O73" i="3"/>
  <c r="O74" i="3"/>
  <c r="O75" i="3"/>
  <c r="O76" i="3"/>
  <c r="O77" i="3"/>
  <c r="O78" i="3"/>
  <c r="O79" i="3"/>
  <c r="O80" i="3"/>
  <c r="O81" i="3"/>
  <c r="O82" i="3"/>
  <c r="O83" i="3"/>
  <c r="O84" i="3"/>
  <c r="O85" i="3"/>
  <c r="O86" i="3"/>
  <c r="O87" i="3"/>
  <c r="O88" i="3"/>
  <c r="O89" i="3"/>
  <c r="O90" i="3"/>
  <c r="O91" i="3"/>
  <c r="N2" i="3"/>
  <c r="N3" i="3"/>
  <c r="N4" i="3"/>
  <c r="N5" i="3"/>
  <c r="N6" i="3"/>
  <c r="N7" i="3"/>
  <c r="N8" i="3"/>
  <c r="N9" i="3"/>
  <c r="N10" i="3"/>
  <c r="N11" i="3"/>
  <c r="N12" i="3"/>
  <c r="N13" i="3"/>
  <c r="N14" i="3"/>
  <c r="N15" i="3"/>
  <c r="N16" i="3"/>
  <c r="N17" i="3"/>
  <c r="N18" i="3"/>
  <c r="N19" i="3"/>
  <c r="N20" i="3"/>
  <c r="N21" i="3"/>
  <c r="N22" i="3"/>
  <c r="N23" i="3"/>
  <c r="N24" i="3"/>
  <c r="N25" i="3"/>
  <c r="N26" i="3"/>
  <c r="N27" i="3"/>
  <c r="N30" i="3"/>
  <c r="N31" i="3"/>
  <c r="N32" i="3"/>
  <c r="N33" i="3"/>
  <c r="N34" i="3"/>
  <c r="N35" i="3"/>
  <c r="N36" i="3"/>
  <c r="N37" i="3"/>
  <c r="N38" i="3"/>
  <c r="N39" i="3"/>
  <c r="N40" i="3"/>
  <c r="N42" i="3"/>
  <c r="N43" i="3"/>
  <c r="N44" i="3"/>
  <c r="N45"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6" i="3"/>
  <c r="N77" i="3"/>
  <c r="N78" i="3"/>
  <c r="N79" i="3"/>
  <c r="N80" i="3"/>
  <c r="N81" i="3"/>
  <c r="N82" i="3"/>
  <c r="N83" i="3"/>
  <c r="N84" i="3"/>
  <c r="N85" i="3"/>
  <c r="N86" i="3"/>
  <c r="N87" i="3"/>
  <c r="N88" i="3"/>
  <c r="N90" i="3"/>
  <c r="N91" i="3"/>
  <c r="M2" i="3"/>
  <c r="M3" i="3"/>
  <c r="M4" i="3"/>
  <c r="M5" i="3"/>
  <c r="M6" i="3"/>
  <c r="M7" i="3"/>
  <c r="M8" i="3"/>
  <c r="M9" i="3"/>
  <c r="M10" i="3"/>
  <c r="M11" i="3"/>
  <c r="M12" i="3"/>
  <c r="M13" i="3"/>
  <c r="M14" i="3"/>
  <c r="M15" i="3"/>
  <c r="M16" i="3"/>
  <c r="M17"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L2" i="3"/>
  <c r="L3" i="3"/>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90" i="3"/>
  <c r="L91" i="3"/>
  <c r="K3" i="3"/>
  <c r="K4" i="3"/>
  <c r="K5" i="3"/>
  <c r="K6" i="3"/>
  <c r="K7" i="3"/>
  <c r="K8"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2" i="3"/>
  <c r="F128" i="2"/>
  <c r="E128" i="2"/>
  <c r="D128" i="2"/>
  <c r="F126" i="2"/>
  <c r="E126" i="2"/>
  <c r="D126" i="2"/>
  <c r="C126" i="2"/>
  <c r="C120" i="2"/>
  <c r="E110" i="2"/>
  <c r="D110" i="2"/>
  <c r="E108" i="2"/>
  <c r="D108" i="2"/>
  <c r="C108" i="2"/>
  <c r="E104" i="2"/>
  <c r="D104" i="2"/>
  <c r="E102" i="2"/>
  <c r="D102" i="2"/>
  <c r="C102" i="2"/>
  <c r="E93" i="2"/>
  <c r="D93" i="2"/>
  <c r="E91" i="2"/>
  <c r="D91" i="2"/>
  <c r="C91" i="2"/>
  <c r="E87" i="2"/>
  <c r="D87" i="2"/>
  <c r="E85" i="2"/>
  <c r="D85" i="2"/>
  <c r="C85" i="2"/>
  <c r="E76" i="2"/>
  <c r="D76" i="2"/>
  <c r="C76" i="2"/>
  <c r="E74" i="2"/>
  <c r="D74" i="2"/>
  <c r="C74" i="2"/>
  <c r="E70" i="2"/>
  <c r="D70" i="2"/>
  <c r="E68" i="2"/>
  <c r="D68" i="2"/>
  <c r="C25" i="2"/>
  <c r="J33" i="2"/>
  <c r="I33" i="2"/>
  <c r="H33" i="2"/>
  <c r="G33" i="2"/>
  <c r="F33" i="2"/>
  <c r="E33" i="2"/>
  <c r="D33" i="2"/>
  <c r="J31" i="2"/>
  <c r="I31" i="2"/>
  <c r="H31" i="2"/>
  <c r="G31" i="2"/>
  <c r="F31" i="2"/>
  <c r="E31" i="2"/>
  <c r="D31" i="2"/>
  <c r="C31" i="2"/>
  <c r="J27" i="2"/>
  <c r="I27" i="2"/>
  <c r="H27" i="2"/>
  <c r="G27" i="2"/>
  <c r="F27" i="2"/>
  <c r="E27" i="2"/>
  <c r="D27" i="2"/>
  <c r="J25" i="2"/>
  <c r="I25" i="2"/>
  <c r="H25" i="2"/>
  <c r="G25" i="2"/>
  <c r="F25" i="2"/>
  <c r="E25" i="2"/>
  <c r="D25" i="2"/>
  <c r="C6" i="2"/>
  <c r="I14" i="2"/>
  <c r="H14" i="2"/>
  <c r="G14" i="2"/>
  <c r="F14" i="2"/>
  <c r="E14" i="2"/>
  <c r="D14" i="2"/>
  <c r="C14" i="2"/>
  <c r="I12" i="2"/>
  <c r="H12" i="2"/>
  <c r="G12" i="2"/>
  <c r="F12" i="2"/>
  <c r="E12" i="2"/>
  <c r="D12" i="2"/>
  <c r="C12" i="2"/>
  <c r="C8" i="2"/>
  <c r="G8" i="2"/>
  <c r="F8" i="2"/>
  <c r="E8" i="2"/>
  <c r="D8" i="2"/>
  <c r="G6" i="2"/>
  <c r="F6" i="2"/>
  <c r="E6" i="2"/>
  <c r="D6" i="2"/>
  <c r="C28" i="2" l="1"/>
  <c r="F44" i="2"/>
  <c r="I44" i="2" s="1"/>
  <c r="C105" i="2"/>
  <c r="D9" i="2"/>
  <c r="G9" i="2"/>
  <c r="C50" i="2"/>
  <c r="E123" i="2"/>
  <c r="E127" i="2" s="1"/>
  <c r="E131" i="2" s="1"/>
  <c r="E9" i="2"/>
  <c r="D15" i="2"/>
  <c r="H15" i="2"/>
  <c r="D77" i="2"/>
  <c r="G45" i="2"/>
  <c r="E17" i="2"/>
  <c r="C36" i="2"/>
  <c r="E36" i="2"/>
  <c r="G36" i="2"/>
  <c r="I36" i="2"/>
  <c r="D44" i="2"/>
  <c r="C96" i="2"/>
  <c r="E96" i="2"/>
  <c r="D113" i="2"/>
  <c r="H9" i="2"/>
  <c r="D17" i="2"/>
  <c r="F17" i="2"/>
  <c r="E113" i="2"/>
  <c r="E125" i="2"/>
  <c r="C131" i="2"/>
  <c r="G51" i="2"/>
  <c r="C123" i="2"/>
  <c r="F9" i="2"/>
  <c r="C34" i="2"/>
  <c r="D88" i="2"/>
  <c r="D105" i="2"/>
  <c r="D79" i="2"/>
  <c r="C9" i="2"/>
  <c r="D28" i="2"/>
  <c r="H28" i="2"/>
  <c r="E34" i="2"/>
  <c r="I34" i="2"/>
  <c r="I9" i="2"/>
  <c r="C55" i="2"/>
  <c r="D96" i="2"/>
  <c r="C107" i="2"/>
  <c r="F125" i="2"/>
  <c r="E88" i="2"/>
  <c r="D94" i="2"/>
  <c r="C15" i="2"/>
  <c r="G15" i="2"/>
  <c r="E94" i="2"/>
  <c r="C111" i="2"/>
  <c r="C11" i="2"/>
  <c r="G11" i="2"/>
  <c r="C49" i="2"/>
  <c r="E49" i="2"/>
  <c r="C73" i="2"/>
  <c r="D90" i="2"/>
  <c r="E15" i="2"/>
  <c r="I15" i="2"/>
  <c r="C94" i="2"/>
  <c r="C129" i="2"/>
  <c r="D11" i="2"/>
  <c r="F11" i="2"/>
  <c r="H11" i="2"/>
  <c r="D49" i="2"/>
  <c r="H49" i="2" s="1"/>
  <c r="D107" i="2"/>
  <c r="D30" i="2"/>
  <c r="F30" i="2"/>
  <c r="H30" i="2"/>
  <c r="J30" i="2"/>
  <c r="F36" i="2"/>
  <c r="G28" i="2"/>
  <c r="D34" i="2"/>
  <c r="H34" i="2"/>
  <c r="C30" i="2"/>
  <c r="G17" i="2"/>
  <c r="E30" i="2"/>
  <c r="I30" i="2"/>
  <c r="C90" i="2"/>
  <c r="F15" i="2"/>
  <c r="I11" i="2"/>
  <c r="C79" i="2"/>
  <c r="D129" i="2"/>
  <c r="E129" i="2"/>
  <c r="D125" i="2"/>
  <c r="D123" i="2"/>
  <c r="D127" i="2" s="1"/>
  <c r="D131" i="2" s="1"/>
  <c r="F123" i="2"/>
  <c r="F127" i="2" s="1"/>
  <c r="F131" i="2" s="1"/>
  <c r="C125" i="2"/>
  <c r="E107" i="2"/>
  <c r="E111" i="2"/>
  <c r="E105" i="2"/>
  <c r="C113" i="2"/>
  <c r="C88" i="2"/>
  <c r="E90" i="2"/>
  <c r="D73" i="2"/>
  <c r="D71" i="2"/>
  <c r="E79" i="2"/>
  <c r="C77" i="2"/>
  <c r="E71" i="2"/>
  <c r="E73" i="2"/>
  <c r="D36" i="2"/>
  <c r="E28" i="2"/>
  <c r="I28" i="2"/>
  <c r="F28" i="2"/>
  <c r="J28" i="2"/>
  <c r="F34" i="2"/>
  <c r="J34" i="2"/>
  <c r="G34" i="2"/>
  <c r="K81" i="3"/>
  <c r="K65" i="3"/>
  <c r="K75" i="3"/>
  <c r="K50" i="3"/>
  <c r="H36" i="2"/>
  <c r="J36" i="2"/>
  <c r="G30" i="2"/>
  <c r="H45" i="2"/>
  <c r="K58" i="3"/>
  <c r="E11" i="2"/>
  <c r="C17" i="2"/>
  <c r="H17" i="2"/>
  <c r="E55" i="2"/>
  <c r="F55" i="2"/>
  <c r="I55" i="2" s="1"/>
  <c r="G54" i="2"/>
  <c r="I17" i="2"/>
  <c r="G48" i="2"/>
  <c r="K86" i="3"/>
  <c r="K70" i="3"/>
  <c r="K42" i="3"/>
  <c r="K84" i="3"/>
  <c r="K76" i="3"/>
  <c r="K64" i="3"/>
  <c r="K56" i="3"/>
  <c r="K52" i="3"/>
  <c r="K79" i="3"/>
  <c r="K63" i="3"/>
  <c r="K55" i="3"/>
  <c r="K47" i="3"/>
  <c r="K91" i="3"/>
  <c r="K87" i="3"/>
  <c r="K83" i="3"/>
  <c r="K71" i="3"/>
  <c r="K67" i="3"/>
  <c r="K59" i="3"/>
  <c r="K51" i="3"/>
  <c r="K43" i="3"/>
  <c r="K82" i="3"/>
  <c r="K78" i="3"/>
  <c r="K66" i="3"/>
  <c r="K62" i="3"/>
  <c r="K54" i="3"/>
  <c r="K46" i="3"/>
  <c r="K89" i="3"/>
  <c r="K77" i="3"/>
  <c r="K73" i="3"/>
  <c r="K88" i="3"/>
  <c r="K80" i="3"/>
  <c r="K72" i="3"/>
  <c r="K68" i="3"/>
  <c r="K60" i="3"/>
  <c r="K48" i="3"/>
  <c r="K44" i="3"/>
  <c r="K90" i="3"/>
  <c r="K74" i="3"/>
  <c r="K85" i="3"/>
  <c r="K69" i="3"/>
  <c r="K93" i="3"/>
  <c r="C52" i="2"/>
  <c r="C46" i="2"/>
  <c r="E50" i="2"/>
  <c r="F50" i="2"/>
  <c r="F49" i="2"/>
  <c r="I49" i="2" s="1"/>
  <c r="I48" i="2"/>
  <c r="C44" i="2"/>
  <c r="D50" i="2"/>
  <c r="F52" i="2"/>
  <c r="I52" i="2" s="1"/>
  <c r="K61" i="3"/>
  <c r="K57" i="3"/>
  <c r="K53" i="3"/>
  <c r="K49" i="3"/>
  <c r="K45" i="3"/>
  <c r="K41" i="3"/>
  <c r="K92" i="3"/>
  <c r="K96" i="3"/>
  <c r="D52" i="2"/>
  <c r="H52" i="2" s="1"/>
  <c r="K94" i="3"/>
  <c r="E52" i="2"/>
  <c r="E77" i="2"/>
  <c r="D111" i="2"/>
  <c r="F129" i="2"/>
  <c r="F46" i="2"/>
  <c r="I46" i="2" s="1"/>
  <c r="E44" i="2"/>
  <c r="D46" i="2"/>
  <c r="H46" i="2" s="1"/>
  <c r="H51" i="2"/>
  <c r="D55" i="2"/>
  <c r="H55" i="2" s="1"/>
  <c r="K95" i="3"/>
  <c r="E46" i="2"/>
  <c r="G52" i="2" l="1"/>
  <c r="G49" i="2"/>
  <c r="H50" i="2"/>
  <c r="D53" i="2"/>
  <c r="H53" i="2" s="1"/>
  <c r="E47" i="2"/>
  <c r="H44" i="2"/>
  <c r="G55" i="2"/>
  <c r="G46" i="2"/>
  <c r="F47" i="2"/>
  <c r="I47" i="2" s="1"/>
  <c r="I50" i="2"/>
  <c r="F53" i="2"/>
  <c r="I53" i="2" s="1"/>
  <c r="C47" i="2"/>
  <c r="G44" i="2"/>
  <c r="C53" i="2"/>
  <c r="G50" i="2"/>
  <c r="E53" i="2"/>
  <c r="D47" i="2"/>
  <c r="H47" i="2" s="1"/>
  <c r="G53" i="2" l="1"/>
  <c r="G47" i="2"/>
</calcChain>
</file>

<file path=xl/comments1.xml><?xml version="1.0" encoding="utf-8"?>
<comments xmlns="http://schemas.openxmlformats.org/spreadsheetml/2006/main">
  <authors>
    <author>Hun, Riley</author>
  </authors>
  <commentList>
    <comment ref="E54" authorId="0">
      <text>
        <r>
          <rPr>
            <b/>
            <sz val="9"/>
            <color indexed="81"/>
            <rFont val="Tahoma"/>
            <family val="2"/>
          </rPr>
          <t>Hun, Riley:</t>
        </r>
        <r>
          <rPr>
            <sz val="9"/>
            <color indexed="81"/>
            <rFont val="Tahoma"/>
            <family val="2"/>
          </rPr>
          <t xml:space="preserve">
recycling in Quesnel with public recycling sites (only for residential places alternatives available in Quesnel)</t>
        </r>
      </text>
    </comment>
    <comment ref="E62" authorId="0">
      <text>
        <r>
          <rPr>
            <b/>
            <sz val="9"/>
            <color indexed="81"/>
            <rFont val="Tahoma"/>
            <family val="2"/>
          </rPr>
          <t>Hun, Riley:</t>
        </r>
        <r>
          <rPr>
            <sz val="9"/>
            <color indexed="81"/>
            <rFont val="Tahoma"/>
            <family val="2"/>
          </rPr>
          <t xml:space="preserve">
Styrofoam, Soft Plastics
</t>
        </r>
      </text>
    </comment>
    <comment ref="F62" authorId="0">
      <text>
        <r>
          <rPr>
            <b/>
            <sz val="9"/>
            <color indexed="81"/>
            <rFont val="Tahoma"/>
            <family val="2"/>
          </rPr>
          <t>Hun, Riley:</t>
        </r>
        <r>
          <rPr>
            <sz val="9"/>
            <color indexed="81"/>
            <rFont val="Tahoma"/>
            <family val="2"/>
          </rPr>
          <t xml:space="preserve">
#3 also included</t>
        </r>
      </text>
    </comment>
    <comment ref="K62" authorId="0">
      <text>
        <r>
          <rPr>
            <b/>
            <sz val="9"/>
            <color indexed="81"/>
            <rFont val="Tahoma"/>
            <family val="2"/>
          </rPr>
          <t>Hun, Riley:</t>
        </r>
        <r>
          <rPr>
            <sz val="9"/>
            <color indexed="81"/>
            <rFont val="Tahoma"/>
            <family val="2"/>
          </rPr>
          <t xml:space="preserve">
*Please note that any items that have been used for medical purposes and may be contaminated must be disposed of accordingly through LifeLabs</t>
        </r>
      </text>
    </comment>
    <comment ref="K63" authorId="0">
      <text>
        <r>
          <rPr>
            <b/>
            <sz val="9"/>
            <color indexed="81"/>
            <rFont val="Tahoma"/>
            <family val="2"/>
          </rPr>
          <t>Hun, Riley:</t>
        </r>
        <r>
          <rPr>
            <sz val="9"/>
            <color indexed="81"/>
            <rFont val="Tahoma"/>
            <family val="2"/>
          </rPr>
          <t xml:space="preserve">
*Please note that any items that have been used for medical purposes and may be contaminated must be disposed of accordingly through LifeLabs</t>
        </r>
      </text>
    </comment>
    <comment ref="I64" authorId="0">
      <text>
        <r>
          <rPr>
            <b/>
            <sz val="9"/>
            <color indexed="81"/>
            <rFont val="Tahoma"/>
            <family val="2"/>
          </rPr>
          <t>Hun, Riley:</t>
        </r>
        <r>
          <rPr>
            <sz val="9"/>
            <color indexed="81"/>
            <rFont val="Tahoma"/>
            <family val="2"/>
          </rPr>
          <t xml:space="preserve">
Each tenant does their own recycling</t>
        </r>
      </text>
    </comment>
    <comment ref="E67" authorId="0">
      <text>
        <r>
          <rPr>
            <b/>
            <sz val="9"/>
            <color indexed="81"/>
            <rFont val="Tahoma"/>
            <family val="2"/>
          </rPr>
          <t>Hun, Riley:</t>
        </r>
        <r>
          <rPr>
            <sz val="9"/>
            <color indexed="81"/>
            <rFont val="Tahoma"/>
            <family val="2"/>
          </rPr>
          <t xml:space="preserve">
Tenants are responsible for their own organic disposals</t>
        </r>
      </text>
    </comment>
    <comment ref="H67" authorId="0">
      <text>
        <r>
          <rPr>
            <b/>
            <sz val="9"/>
            <color indexed="81"/>
            <rFont val="Tahoma"/>
            <family val="2"/>
          </rPr>
          <t>Hun, Riley:</t>
        </r>
        <r>
          <rPr>
            <sz val="9"/>
            <color indexed="81"/>
            <rFont val="Tahoma"/>
            <family val="2"/>
          </rPr>
          <t xml:space="preserve">
*LL produces a lot of styrofoam and should look into return to shipper also wooden pallets need to be dealt with*</t>
        </r>
      </text>
    </comment>
    <comment ref="K71" authorId="0">
      <text>
        <r>
          <rPr>
            <b/>
            <sz val="9"/>
            <color indexed="81"/>
            <rFont val="Tahoma"/>
            <family val="2"/>
          </rPr>
          <t>Hun, Riley:</t>
        </r>
        <r>
          <rPr>
            <sz val="9"/>
            <color indexed="81"/>
            <rFont val="Tahoma"/>
            <family val="2"/>
          </rPr>
          <t xml:space="preserve">
*the tenants at this site each provide their own garbage/waste removal services</t>
        </r>
      </text>
    </comment>
    <comment ref="D85" authorId="0">
      <text>
        <r>
          <rPr>
            <b/>
            <sz val="9"/>
            <color indexed="81"/>
            <rFont val="Tahoma"/>
            <family val="2"/>
          </rPr>
          <t>Hun, Riley:</t>
        </r>
        <r>
          <rPr>
            <sz val="9"/>
            <color indexed="81"/>
            <rFont val="Tahoma"/>
            <family val="2"/>
          </rPr>
          <t xml:space="preserve">
Renovated 4-5 years ago</t>
        </r>
      </text>
    </comment>
    <comment ref="G99" authorId="0">
      <text>
        <r>
          <rPr>
            <b/>
            <sz val="9"/>
            <color indexed="81"/>
            <rFont val="Tahoma"/>
            <family val="2"/>
          </rPr>
          <t>Hun, Riley:</t>
        </r>
        <r>
          <rPr>
            <sz val="9"/>
            <color indexed="81"/>
            <rFont val="Tahoma"/>
            <family val="2"/>
          </rPr>
          <t xml:space="preserve">
Cardboard Bins Only
</t>
        </r>
      </text>
    </comment>
    <comment ref="E112" authorId="0">
      <text>
        <r>
          <rPr>
            <b/>
            <sz val="9"/>
            <color indexed="81"/>
            <rFont val="Tahoma"/>
            <family val="2"/>
          </rPr>
          <t xml:space="preserve">Hun, Riley
</t>
        </r>
        <r>
          <rPr>
            <sz val="9"/>
            <color indexed="81"/>
            <rFont val="Tahoma"/>
            <family val="2"/>
          </rPr>
          <t>6 in yard Cardboard bin on site. Will only take cardboard &amp; paper</t>
        </r>
      </text>
    </comment>
    <comment ref="G114" authorId="0">
      <text>
        <r>
          <rPr>
            <b/>
            <sz val="9"/>
            <color indexed="81"/>
            <rFont val="Tahoma"/>
            <family val="2"/>
          </rPr>
          <t>Hun, Riley:</t>
        </r>
        <r>
          <rPr>
            <sz val="9"/>
            <color indexed="81"/>
            <rFont val="Tahoma"/>
            <family val="2"/>
          </rPr>
          <t xml:space="preserve">
Cardboard only bin</t>
        </r>
      </text>
    </comment>
    <comment ref="F120" authorId="0">
      <text>
        <r>
          <rPr>
            <b/>
            <sz val="9"/>
            <color indexed="81"/>
            <rFont val="Tahoma"/>
            <family val="2"/>
          </rPr>
          <t>Hun, Riley:</t>
        </r>
        <r>
          <rPr>
            <sz val="9"/>
            <color indexed="81"/>
            <rFont val="Tahoma"/>
            <family val="2"/>
          </rPr>
          <t xml:space="preserve">
Anything that has come into contact with bio-waste is not recyclable
No sharps</t>
        </r>
      </text>
    </comment>
    <comment ref="I125" authorId="0">
      <text>
        <r>
          <rPr>
            <b/>
            <sz val="9"/>
            <color indexed="81"/>
            <rFont val="Tahoma"/>
            <family val="2"/>
          </rPr>
          <t>Hun, Riley:</t>
        </r>
        <r>
          <rPr>
            <sz val="9"/>
            <color indexed="81"/>
            <rFont val="Tahoma"/>
            <family val="2"/>
          </rPr>
          <t xml:space="preserve">
There is already a recycling program</t>
        </r>
      </text>
    </comment>
    <comment ref="I126" authorId="0">
      <text>
        <r>
          <rPr>
            <b/>
            <sz val="9"/>
            <color indexed="81"/>
            <rFont val="Tahoma"/>
            <family val="2"/>
          </rPr>
          <t>Hun, Riley:</t>
        </r>
        <r>
          <rPr>
            <sz val="9"/>
            <color indexed="81"/>
            <rFont val="Tahoma"/>
            <family val="2"/>
          </rPr>
          <t xml:space="preserve">
There is already a recycling program in place</t>
        </r>
      </text>
    </comment>
    <comment ref="F127" authorId="0">
      <text>
        <r>
          <rPr>
            <b/>
            <sz val="9"/>
            <color indexed="81"/>
            <rFont val="Tahoma"/>
            <family val="2"/>
          </rPr>
          <t>Hun, Riley:</t>
        </r>
        <r>
          <rPr>
            <sz val="9"/>
            <color indexed="81"/>
            <rFont val="Tahoma"/>
            <family val="2"/>
          </rPr>
          <t xml:space="preserve">
Biohazard Recycling</t>
        </r>
      </text>
    </comment>
    <comment ref="F136" authorId="0">
      <text>
        <r>
          <rPr>
            <b/>
            <sz val="9"/>
            <color indexed="81"/>
            <rFont val="Tahoma"/>
            <family val="2"/>
          </rPr>
          <t>Hun, Riley:</t>
        </r>
        <r>
          <rPr>
            <sz val="9"/>
            <color indexed="81"/>
            <rFont val="Tahoma"/>
            <family val="2"/>
          </rPr>
          <t xml:space="preserve">
PET #2, #4, and #5
</t>
        </r>
      </text>
    </comment>
    <comment ref="F151" authorId="0">
      <text>
        <r>
          <rPr>
            <b/>
            <sz val="9"/>
            <color indexed="81"/>
            <rFont val="Tahoma"/>
            <charset val="1"/>
          </rPr>
          <t>Hun, Riley:</t>
        </r>
        <r>
          <rPr>
            <sz val="9"/>
            <color indexed="81"/>
            <rFont val="Tahoma"/>
            <charset val="1"/>
          </rPr>
          <t xml:space="preserve">
unclear on which #'s are acceptable - we just throw our plastics into recycle bin</t>
        </r>
      </text>
    </comment>
    <comment ref="D156" authorId="0">
      <text>
        <r>
          <rPr>
            <b/>
            <sz val="9"/>
            <color indexed="81"/>
            <rFont val="Tahoma"/>
            <charset val="1"/>
          </rPr>
          <t>Hun, Riley:</t>
        </r>
        <r>
          <rPr>
            <sz val="9"/>
            <color indexed="81"/>
            <rFont val="Tahoma"/>
            <charset val="1"/>
          </rPr>
          <t xml:space="preserve">
Additions: 1969 and 1982</t>
        </r>
      </text>
    </comment>
    <comment ref="I158" authorId="0">
      <text>
        <r>
          <rPr>
            <b/>
            <sz val="9"/>
            <color indexed="81"/>
            <rFont val="Tahoma"/>
            <charset val="1"/>
          </rPr>
          <t>Hun, Riley:</t>
        </r>
        <r>
          <rPr>
            <sz val="9"/>
            <color indexed="81"/>
            <rFont val="Tahoma"/>
            <charset val="1"/>
          </rPr>
          <t xml:space="preserve">
Already in place
</t>
        </r>
      </text>
    </comment>
  </commentList>
</comments>
</file>

<file path=xl/comments2.xml><?xml version="1.0" encoding="utf-8"?>
<comments xmlns="http://schemas.openxmlformats.org/spreadsheetml/2006/main">
  <authors>
    <author>Varga, Nancy</author>
  </authors>
  <commentList>
    <comment ref="C11" authorId="0">
      <text>
        <r>
          <rPr>
            <b/>
            <sz val="9"/>
            <color indexed="81"/>
            <rFont val="Tahoma"/>
            <family val="2"/>
          </rPr>
          <t>Varga, Nancy:</t>
        </r>
        <r>
          <rPr>
            <sz val="9"/>
            <color indexed="81"/>
            <rFont val="Tahoma"/>
            <family val="2"/>
          </rPr>
          <t xml:space="preserve">
PSC 15</t>
        </r>
      </text>
    </comment>
    <comment ref="D12" authorId="0">
      <text>
        <r>
          <rPr>
            <b/>
            <sz val="9"/>
            <color indexed="81"/>
            <rFont val="Tahoma"/>
            <family val="2"/>
          </rPr>
          <t>Varga, Nancy:</t>
        </r>
        <r>
          <rPr>
            <sz val="9"/>
            <color indexed="81"/>
            <rFont val="Tahoma"/>
            <family val="2"/>
          </rPr>
          <t xml:space="preserve">
unable to put #7 recycling into bins.
Only takes #1, #2, #4, #5</t>
        </r>
      </text>
    </comment>
    <comment ref="C13" authorId="0">
      <text>
        <r>
          <rPr>
            <b/>
            <sz val="9"/>
            <color indexed="81"/>
            <rFont val="Tahoma"/>
            <family val="2"/>
          </rPr>
          <t>Varga, Nancy:</t>
        </r>
        <r>
          <rPr>
            <sz val="9"/>
            <color indexed="81"/>
            <rFont val="Tahoma"/>
            <family val="2"/>
          </rPr>
          <t xml:space="preserve">
54 Kensington on response</t>
        </r>
      </text>
    </comment>
    <comment ref="D23" authorId="0">
      <text>
        <r>
          <rPr>
            <b/>
            <sz val="9"/>
            <color indexed="81"/>
            <rFont val="Tahoma"/>
            <family val="2"/>
          </rPr>
          <t>Varga, Nancy:</t>
        </r>
        <r>
          <rPr>
            <sz val="9"/>
            <color indexed="81"/>
            <rFont val="Tahoma"/>
            <family val="2"/>
          </rPr>
          <t xml:space="preserve">
unable to put #7 recycling into bins.
Only takes #1, #2, #4, #5</t>
        </r>
      </text>
    </comment>
  </commentList>
</comments>
</file>

<file path=xl/comments3.xml><?xml version="1.0" encoding="utf-8"?>
<comments xmlns="http://schemas.openxmlformats.org/spreadsheetml/2006/main">
  <authors>
    <author>Varga, Nancy</author>
  </authors>
  <commentList>
    <comment ref="B89" authorId="0">
      <text>
        <r>
          <rPr>
            <b/>
            <sz val="9"/>
            <color indexed="81"/>
            <rFont val="Tahoma"/>
            <family val="2"/>
          </rPr>
          <t>Varga, Nancy:</t>
        </r>
        <r>
          <rPr>
            <sz val="9"/>
            <color indexed="81"/>
            <rFont val="Tahoma"/>
            <family val="2"/>
          </rPr>
          <t xml:space="preserve">
Site closed
</t>
        </r>
      </text>
    </comment>
    <comment ref="B98" authorId="0">
      <text>
        <r>
          <rPr>
            <b/>
            <sz val="9"/>
            <color indexed="81"/>
            <rFont val="Tahoma"/>
            <family val="2"/>
          </rPr>
          <t>Varga, Nancy:</t>
        </r>
        <r>
          <rPr>
            <sz val="9"/>
            <color indexed="81"/>
            <rFont val="Tahoma"/>
            <family val="2"/>
          </rPr>
          <t xml:space="preserve">
Landlord address says: 20995 88th Ave
</t>
        </r>
      </text>
    </comment>
    <comment ref="B104" authorId="0">
      <text>
        <r>
          <rPr>
            <b/>
            <sz val="9"/>
            <color indexed="81"/>
            <rFont val="Tahoma"/>
            <family val="2"/>
          </rPr>
          <t>Varga, Nancy:</t>
        </r>
        <r>
          <rPr>
            <sz val="9"/>
            <color indexed="81"/>
            <rFont val="Tahoma"/>
            <family val="2"/>
          </rPr>
          <t xml:space="preserve">
site closed</t>
        </r>
      </text>
    </comment>
    <comment ref="B110" authorId="0">
      <text>
        <r>
          <rPr>
            <b/>
            <sz val="9"/>
            <color indexed="81"/>
            <rFont val="Tahoma"/>
            <family val="2"/>
          </rPr>
          <t>Varga, Nancy:</t>
        </r>
        <r>
          <rPr>
            <sz val="9"/>
            <color indexed="81"/>
            <rFont val="Tahoma"/>
            <family val="2"/>
          </rPr>
          <t xml:space="preserve">
Landlord address says: 2626 St John St</t>
        </r>
      </text>
    </comment>
    <comment ref="B113" authorId="0">
      <text>
        <r>
          <rPr>
            <b/>
            <sz val="9"/>
            <color indexed="81"/>
            <rFont val="Tahoma"/>
            <family val="2"/>
          </rPr>
          <t>Varga, Nancy:</t>
        </r>
        <r>
          <rPr>
            <sz val="9"/>
            <color indexed="81"/>
            <rFont val="Tahoma"/>
            <family val="2"/>
          </rPr>
          <t xml:space="preserve">
Landlord address says: 5549 206th St
</t>
        </r>
      </text>
    </comment>
    <comment ref="B122" authorId="0">
      <text>
        <r>
          <rPr>
            <b/>
            <sz val="9"/>
            <color indexed="81"/>
            <rFont val="Tahoma"/>
            <family val="2"/>
          </rPr>
          <t>Varga, Nancy:</t>
        </r>
        <r>
          <rPr>
            <sz val="9"/>
            <color indexed="81"/>
            <rFont val="Tahoma"/>
            <family val="2"/>
          </rPr>
          <t xml:space="preserve">
moved to new address
610-26310 Fraser Hwy
</t>
        </r>
      </text>
    </comment>
    <comment ref="B126" authorId="0">
      <text>
        <r>
          <rPr>
            <b/>
            <sz val="9"/>
            <color indexed="81"/>
            <rFont val="Tahoma"/>
            <family val="2"/>
          </rPr>
          <t>Varga, Nancy:</t>
        </r>
        <r>
          <rPr>
            <sz val="9"/>
            <color indexed="81"/>
            <rFont val="Tahoma"/>
            <family val="2"/>
          </rPr>
          <t xml:space="preserve">
This is LifeLabs Location. Converted over a year ago.</t>
        </r>
      </text>
    </comment>
    <comment ref="Q126" authorId="0">
      <text>
        <r>
          <rPr>
            <b/>
            <sz val="9"/>
            <color indexed="81"/>
            <rFont val="Tahoma"/>
            <family val="2"/>
          </rPr>
          <t>Varga, Nancy:</t>
        </r>
        <r>
          <rPr>
            <sz val="9"/>
            <color indexed="81"/>
            <rFont val="Tahoma"/>
            <family val="2"/>
          </rPr>
          <t xml:space="preserve">
Changed to PSC as convered to LifeLabs over a year ago</t>
        </r>
      </text>
    </comment>
  </commentList>
</comments>
</file>

<file path=xl/sharedStrings.xml><?xml version="1.0" encoding="utf-8"?>
<sst xmlns="http://schemas.openxmlformats.org/spreadsheetml/2006/main" count="8507" uniqueCount="3944">
  <si>
    <t>Within 1 year</t>
  </si>
  <si>
    <t>No</t>
  </si>
  <si>
    <t>Within 6 months</t>
  </si>
  <si>
    <t>Yes</t>
  </si>
  <si>
    <t>Recycling Program Timeframe</t>
  </si>
  <si>
    <t>Plan Description</t>
  </si>
  <si>
    <t>Plans to Introduce Recycling Program?</t>
  </si>
  <si>
    <t>Plastics, glass, cans acceptable?</t>
  </si>
  <si>
    <t>Mixed Paper Acceptable?</t>
  </si>
  <si>
    <t>Acceptable Plastics</t>
  </si>
  <si>
    <t>Recycling Program</t>
  </si>
  <si>
    <t>Year Building was Built</t>
  </si>
  <si>
    <t>Site Information</t>
  </si>
  <si>
    <t>Site Address</t>
  </si>
  <si>
    <t>Respondent Name</t>
  </si>
  <si>
    <t>l</t>
  </si>
  <si>
    <t>Recycling Survey Tracker</t>
  </si>
  <si>
    <t>Province</t>
  </si>
  <si>
    <t>BC</t>
  </si>
  <si>
    <t>Recycling Program Metrics</t>
  </si>
  <si>
    <t>ON</t>
  </si>
  <si>
    <t>Plastic</t>
  </si>
  <si>
    <t>Cardboard</t>
  </si>
  <si>
    <t>Glass Bottles</t>
  </si>
  <si>
    <t>Mixed Paper</t>
  </si>
  <si>
    <t>Metal Can</t>
  </si>
  <si>
    <t>Organic Disposals</t>
  </si>
  <si>
    <t>Not Available</t>
  </si>
  <si>
    <t>Plastics Acceptability Metrics</t>
  </si>
  <si>
    <t>PET #1</t>
  </si>
  <si>
    <t>HDPE #2</t>
  </si>
  <si>
    <t>LDPE #4</t>
  </si>
  <si>
    <t>PP #5</t>
  </si>
  <si>
    <t>PS #6</t>
  </si>
  <si>
    <t>Other #7</t>
  </si>
  <si>
    <t>Not Acceptable</t>
  </si>
  <si>
    <t>Not Applicable</t>
  </si>
  <si>
    <t>Mixed Paper &amp; Cardboard Acceptability Metrics</t>
  </si>
  <si>
    <t>Plastics, Glass, Cans Acceptability Metrics</t>
  </si>
  <si>
    <t>N/A</t>
  </si>
  <si>
    <t>Recycling Program in Place</t>
  </si>
  <si>
    <t>Over 1 year</t>
  </si>
  <si>
    <t>Wayne Keiver</t>
  </si>
  <si>
    <t>260 - 4th Avenue</t>
  </si>
  <si>
    <t>Kimberley B.C.  V1A 2R6</t>
  </si>
  <si>
    <t>Plastic, Mixed Paper, Cardboard</t>
  </si>
  <si>
    <t>PET #1, PET #5, PS #6, Other #7</t>
  </si>
  <si>
    <t>Karin</t>
  </si>
  <si>
    <t>Doug Bryan</t>
  </si>
  <si>
    <t>Peter Bradburne</t>
  </si>
  <si>
    <t>Sing Yu</t>
  </si>
  <si>
    <t>John Sullivan</t>
  </si>
  <si>
    <t>Bill Trafford</t>
  </si>
  <si>
    <t>Churchill Holdings Ltd</t>
  </si>
  <si>
    <t>David Price</t>
  </si>
  <si>
    <t>prince Georeg Enterprises Ltd</t>
  </si>
  <si>
    <t>Jay Simpson</t>
  </si>
  <si>
    <t>First Capital Realty Management Services LP</t>
  </si>
  <si>
    <t>Cory</t>
  </si>
  <si>
    <t>Anne Lee</t>
  </si>
  <si>
    <t>Jeremy Desrochers</t>
  </si>
  <si>
    <t>Brenda Bolwyn, Senior Property Manager</t>
  </si>
  <si>
    <t>Karen Hodgson</t>
  </si>
  <si>
    <t>Kevin Ozga</t>
  </si>
  <si>
    <t>Jennifer Bouchard</t>
  </si>
  <si>
    <t>Juri Vuletin</t>
  </si>
  <si>
    <t>Balkar  Saran</t>
  </si>
  <si>
    <t>Wonju Aschenbrenner</t>
  </si>
  <si>
    <t>Equitex Property Management</t>
  </si>
  <si>
    <t>LR</t>
  </si>
  <si>
    <t>Caitlin Preston</t>
  </si>
  <si>
    <t>Dan Meir</t>
  </si>
  <si>
    <t>Brad Arndt</t>
  </si>
  <si>
    <t>R Prasad, John Khan</t>
  </si>
  <si>
    <t>Pharmtech Enterprises Ltd.</t>
  </si>
  <si>
    <t>Linda</t>
  </si>
  <si>
    <t>Aberdeen Centre</t>
  </si>
  <si>
    <t>5000 Kingsway Ltd.</t>
  </si>
  <si>
    <t>Phil Sibbald</t>
  </si>
  <si>
    <t>Archie  Parhar</t>
  </si>
  <si>
    <t>Wayne Sasaki</t>
  </si>
  <si>
    <t>Allan Landa</t>
  </si>
  <si>
    <t>Santosh Nahal for GWL Realty Advisors Inc.</t>
  </si>
  <si>
    <t>Mike Wester</t>
  </si>
  <si>
    <t>Harvey Graham</t>
  </si>
  <si>
    <t>Haney Professional Building</t>
  </si>
  <si>
    <t>Tri-Eagle Development Corp</t>
  </si>
  <si>
    <t>NKVD Holdings</t>
  </si>
  <si>
    <t>Shari Webb</t>
  </si>
  <si>
    <t>Chris Yakabuski</t>
  </si>
  <si>
    <t>Nicola Carmichael</t>
  </si>
  <si>
    <t>Edward Tokarczyk</t>
  </si>
  <si>
    <t>Rowan Property Management Ltd.</t>
  </si>
  <si>
    <t>Debbie Hunt, Property Manager TPM Management Ltd.</t>
  </si>
  <si>
    <t>Lorne Campbell</t>
  </si>
  <si>
    <t>13745 72nd Avenue</t>
  </si>
  <si>
    <t>102-4480 West Saanich Road</t>
  </si>
  <si>
    <t>207 - 2825 Clearbrook Road</t>
  </si>
  <si>
    <t>102-1990 Fort Street</t>
  </si>
  <si>
    <t>4151 Hazelbridge Way, Richmond, B.C.</t>
  </si>
  <si>
    <t>200-4980 Kingsway</t>
  </si>
  <si>
    <t>2061 W42nd Avenue</t>
  </si>
  <si>
    <t>2151 McCallum Road Abbotsford</t>
  </si>
  <si>
    <t>#102, 20995-88th Ave</t>
  </si>
  <si>
    <t>102-149 Ingram Street</t>
  </si>
  <si>
    <t>943 West Broadway</t>
  </si>
  <si>
    <t>unknown</t>
  </si>
  <si>
    <t>1980s</t>
  </si>
  <si>
    <t>1997, 1998</t>
  </si>
  <si>
    <t>1996, 1997</t>
  </si>
  <si>
    <t>Mixed paper, Cardboard</t>
  </si>
  <si>
    <t>Plastic, Mixed paper, Cardboard</t>
  </si>
  <si>
    <t xml:space="preserve">Mixed paper, Cardboard </t>
  </si>
  <si>
    <t>Not available</t>
  </si>
  <si>
    <t>Plastic, Glass bottles, Mixed paper, Cardboard</t>
  </si>
  <si>
    <t>Plastic, Glass bottles, Mixed paper, Cardboard, Metal can</t>
  </si>
  <si>
    <t>Mixed paper</t>
  </si>
  <si>
    <t xml:space="preserve">Plastic, Cardboard </t>
  </si>
  <si>
    <t xml:space="preserve">Plastic, Mixed paper, Cardboard, Metal Can, </t>
  </si>
  <si>
    <t>Plastic, Glass bottles, Mixed paper, Cardboard, Metal Can</t>
  </si>
  <si>
    <t xml:space="preserve">Plastic, Glass bottles, Mixed paper, Cardboard, Metal Can </t>
  </si>
  <si>
    <t>Plastic, Mixed paper, Cardboard, Metal Can</t>
  </si>
  <si>
    <t>Plastic, Glass bottles, Mixed paper, Cardboard, Metal Can, Organic Disposals</t>
  </si>
  <si>
    <t>Plastic, Glass bottles, Mixed paper, Cardboard, Metal Can, Organic Disposals, Not available</t>
  </si>
  <si>
    <t>Mixed paper, Cardboard, Organic Disposals</t>
  </si>
  <si>
    <t>Plastic, Glass bottles, Mixed paper, Cardboard, Organic Disposals</t>
  </si>
  <si>
    <t xml:space="preserve">Plastic, Glass bottles, Mixed paper, Cardboard, Metal Can, Organic Disposals, </t>
  </si>
  <si>
    <t xml:space="preserve">Plastic, Mixed paper, Cardboard, Organic Disposals </t>
  </si>
  <si>
    <t>Plastic, Mixed paper, Cardboard, Metal Can, Organic Disposals</t>
  </si>
  <si>
    <t>Cardboard, Organic Disposals</t>
  </si>
  <si>
    <t>Not applicable</t>
  </si>
  <si>
    <t>Not acceptable</t>
  </si>
  <si>
    <t>PET #1, HDPE #2, PP #5</t>
  </si>
  <si>
    <t>HDPE #2, PP #5</t>
  </si>
  <si>
    <t>We are looking into all types of recycling but at present have mixed paper and cardboard recycling</t>
  </si>
  <si>
    <t xml:space="preserve">Paper and cardboard recycling only    Organically just introduced. </t>
  </si>
  <si>
    <t>Organics</t>
  </si>
  <si>
    <t>Glass, metal, plastic recycling</t>
  </si>
  <si>
    <t xml:space="preserve">office paper   Cardboard  garbage compacted   </t>
  </si>
  <si>
    <t>by category</t>
  </si>
  <si>
    <t>Plastic, glass, batteries, electronic equipment.</t>
  </si>
  <si>
    <t>Plasting  recycling</t>
  </si>
  <si>
    <t>We have recycling program in the building.</t>
  </si>
  <si>
    <t>We are currently covered by the Metro Vancouver mandate in garbage and recycling which states we have to following the guidelines by July 1st.   Please note all plastics going into recycling must be rinsed clean   Fines will be applied for plastic found in garbage at depot.</t>
  </si>
  <si>
    <t>PET #1, HDPE #2, LDPE #4, PP #5, PS #6, Other #7</t>
  </si>
  <si>
    <t>PET #1, HDPE #2, LDPE #4, PP #5, PS #6</t>
  </si>
  <si>
    <t xml:space="preserve">PET #1, HDPE #2, LDPE #4, PP #5, PS #6, Other #7 </t>
  </si>
  <si>
    <t>PET #1, HDPE #2, LDPE #4, PP #5</t>
  </si>
  <si>
    <t>PET #1, HDPE #2, LDPE #4, PP #5, Other #7</t>
  </si>
  <si>
    <t>Surrey, B.C. V3W 2P2</t>
  </si>
  <si>
    <t>#101-5531 Inlet Ave</t>
  </si>
  <si>
    <t xml:space="preserve">Sechelt, B.C </t>
  </si>
  <si>
    <t>Parksville, B.C. V9P 1K1</t>
  </si>
  <si>
    <t>489 Alberni Hwy</t>
  </si>
  <si>
    <t>Vancouver, B.C. V6A 1X4</t>
  </si>
  <si>
    <t>2184 W. Broadway</t>
  </si>
  <si>
    <t>Vancouver, B.C. V6K</t>
  </si>
  <si>
    <t>Vancouver, B.C. V6N</t>
  </si>
  <si>
    <t>8171 Cook Road</t>
  </si>
  <si>
    <t>Richmond, B.C. V6Y 3T8</t>
  </si>
  <si>
    <t>Victoria, B.C. V8V 3P9</t>
  </si>
  <si>
    <t>1669 Victoria St</t>
  </si>
  <si>
    <t>Prince George, B.C. V2L 2L3</t>
  </si>
  <si>
    <t>Scotch Creek, B.C. V0E 1M5</t>
  </si>
  <si>
    <t>3874 Squilax-Anglemont Rd #2</t>
  </si>
  <si>
    <t>Aldergrove, B.C.</t>
  </si>
  <si>
    <t>1120 Yates Street</t>
  </si>
  <si>
    <t>Victoria, B.C. V8V 3M9</t>
  </si>
  <si>
    <t>1590 Cedar Hill Cross Rd #200</t>
  </si>
  <si>
    <t>Victoria, B.C. V8P 2P5</t>
  </si>
  <si>
    <t>20103 40th Ave</t>
  </si>
  <si>
    <t>Langley, B.C. V3A</t>
  </si>
  <si>
    <t>#460-2980 Island Hwy</t>
  </si>
  <si>
    <t>Nanaimo, B.C. V9T 5V4</t>
  </si>
  <si>
    <t>220 - 172 Wilson Street</t>
  </si>
  <si>
    <t>Victoria, B.C. V9A 7N6</t>
  </si>
  <si>
    <t>Victoria, B.C. V8Z 3E9</t>
  </si>
  <si>
    <t>Abbotsford, B.C. V2T 6S3</t>
  </si>
  <si>
    <t>#890B - 890 Esquimalt Rd</t>
  </si>
  <si>
    <t>Esquimalt, B.C. V9A 3M4</t>
  </si>
  <si>
    <t>324 Gilmore Ave.</t>
  </si>
  <si>
    <t>Burnaby, B.C. V5C 4R1</t>
  </si>
  <si>
    <t>6345 120  St.</t>
  </si>
  <si>
    <t>Delta, B.C. V4E 1C8</t>
  </si>
  <si>
    <t>112, 15252 32 Avenue</t>
  </si>
  <si>
    <t>Surrey, B.C. V3S 0R7</t>
  </si>
  <si>
    <t xml:space="preserve">#6-101 Burnside Road West </t>
  </si>
  <si>
    <t xml:space="preserve">Victoria, B.C. </t>
  </si>
  <si>
    <t>2626 St Johns Street</t>
  </si>
  <si>
    <t>Port Moody, B.C. V3H 2B6</t>
  </si>
  <si>
    <t>650 WEST 41ST AVE</t>
  </si>
  <si>
    <t>9200 Mary Street</t>
  </si>
  <si>
    <t>Chilliwack, B.C.</t>
  </si>
  <si>
    <t>Vancouver, B.C. V5Z 2M9</t>
  </si>
  <si>
    <t>Victoria, B.C. V8R 6V4</t>
  </si>
  <si>
    <t>Maple Ridge, B.C. V2X 6A2</t>
  </si>
  <si>
    <t>11743 224th St.</t>
  </si>
  <si>
    <t>#2-705 103rd Ave.</t>
  </si>
  <si>
    <t>Dawson Creek, B.C. V1G 4W8</t>
  </si>
  <si>
    <t>Vancouver, B.C. V62 2H7</t>
  </si>
  <si>
    <t>Mission, B.C. V2V 3H5</t>
  </si>
  <si>
    <t>7343 Hurd St.</t>
  </si>
  <si>
    <t xml:space="preserve">3001 Gordon Ave. </t>
  </si>
  <si>
    <t>Coquitlam, B.C. V3C 2K7</t>
  </si>
  <si>
    <t>Richmond, B.C. V6X 0A4</t>
  </si>
  <si>
    <t>Burnaby, B.C. V5H 2E2</t>
  </si>
  <si>
    <t xml:space="preserve">104-7885 6th  Street   </t>
  </si>
  <si>
    <t>Burnaby, B.C. V3N 3N4</t>
  </si>
  <si>
    <t>8425 - 120th St.</t>
  </si>
  <si>
    <t>Delta, B.C. V4C 6R2</t>
  </si>
  <si>
    <t>Vancouver, B.C. V6M 2B4</t>
  </si>
  <si>
    <t>1530 West 7th Ave</t>
  </si>
  <si>
    <t>Vancouver, B.C. V6J</t>
  </si>
  <si>
    <t>2401 Millstream Road</t>
  </si>
  <si>
    <t>Victoria, B.C. V9B 6A3</t>
  </si>
  <si>
    <t>Abbotsford, B.C. V2S</t>
  </si>
  <si>
    <t>Gabriola, B.C. V0R 1X3</t>
  </si>
  <si>
    <t>1-78 Cowichan Lake Rd.</t>
  </si>
  <si>
    <t>Lake Cowichan, B.C.</t>
  </si>
  <si>
    <t>Langley, B.C. V1M 2C9</t>
  </si>
  <si>
    <t>Langley, B.C. V3S</t>
  </si>
  <si>
    <t>130-19653 Willowbrook Drive</t>
  </si>
  <si>
    <t>200 - 5791 No 3 Road</t>
  </si>
  <si>
    <t>Richmond, B.C. V6X 2C9</t>
  </si>
  <si>
    <t>#12 - 1599 Cliffe Ave</t>
  </si>
  <si>
    <t>Courtenay, B.C. V9N 2K6</t>
  </si>
  <si>
    <t>Duncan, B.C. V9L 1N8</t>
  </si>
  <si>
    <t>Vancouver, B.C. V5Z 4E1</t>
  </si>
  <si>
    <t>4527 Main Street</t>
  </si>
  <si>
    <t xml:space="preserve">Vancouver, B.C. V5V 3R4 </t>
  </si>
  <si>
    <t>Birgit Feil</t>
  </si>
  <si>
    <t>Suite 15 - 665 Front St</t>
  </si>
  <si>
    <t>Quesnel, B.C. V2J 5J5</t>
  </si>
  <si>
    <t>Anka Coruea</t>
  </si>
  <si>
    <t>202-16088 84th Ave</t>
  </si>
  <si>
    <t>Surrey, B.C. V4N 0V9</t>
  </si>
  <si>
    <t>Plastic, Glass bottles, Cardboard, Metal Can, Mixed Paper</t>
  </si>
  <si>
    <t>PET #1, PP #5, HDPE #2, PS #6, LDPE #4</t>
  </si>
  <si>
    <t>Paper/Plastic/Metal Recycling</t>
  </si>
  <si>
    <t>Michael Tam</t>
  </si>
  <si>
    <t>4366 West 10th Avenue</t>
  </si>
  <si>
    <t>Vancouver, B.C. V6R 2H7</t>
  </si>
  <si>
    <t>Plastic, Cardboard, Glass bottles, Metal Can, Mixed Paper, Organic Disposals</t>
  </si>
  <si>
    <t>PET #1, PP #5, HDPE #2, PS #6, LDPE #4, Other #7</t>
  </si>
  <si>
    <t>Mereede McClelland</t>
  </si>
  <si>
    <t>114-1077 56th St</t>
  </si>
  <si>
    <t>Delta, B.C. V4L 2A2</t>
  </si>
  <si>
    <t>Stephen Fan</t>
  </si>
  <si>
    <t>208-1200 Burrard Street</t>
  </si>
  <si>
    <t>Vancouver, B.C.  V6Z 1Z5</t>
  </si>
  <si>
    <t>Recycling plan implementation begins July 2015</t>
  </si>
  <si>
    <t>Samira Nickel</t>
  </si>
  <si>
    <t>3100 Beta Avenue</t>
  </si>
  <si>
    <t>Burnaby, B.C.</t>
  </si>
  <si>
    <t>Ian Legge</t>
  </si>
  <si>
    <t>465 Merecroft Rd</t>
  </si>
  <si>
    <t>Campbell River, B.C. V9W 0B5</t>
  </si>
  <si>
    <t>Nanaimo, B.C. V9R 5E2</t>
  </si>
  <si>
    <t>Mixed Paper, Cardboard</t>
  </si>
  <si>
    <t>Stephanie Mumford</t>
  </si>
  <si>
    <t>109-575 16th St</t>
  </si>
  <si>
    <t>West Vancouver, B.C. V7V</t>
  </si>
  <si>
    <t>209-1200 Lynn Valley Rd.</t>
  </si>
  <si>
    <t>North Vancouver, B.C. V7J 2A2</t>
  </si>
  <si>
    <t>Plastic, Glass Bottles, Cardboard, Metal Can, Mixed Paper, Organic disposals, Styrofoam, Soft Plastics</t>
  </si>
  <si>
    <t>Plastic, Glass bottles, Cardboard, Metal Can, Mixed Paper, Organic disposals, Styrofoam</t>
  </si>
  <si>
    <t>Ammy Pitt</t>
  </si>
  <si>
    <t>Nanaimo, B.C. V9R 3G7</t>
  </si>
  <si>
    <t>1958, 1976</t>
  </si>
  <si>
    <t>Plastic, Cardboard, Mixed Paper, Metal Can</t>
  </si>
  <si>
    <t>Tenants can gather recycling in a clear plastic bag and place in cardboard bin along with cardboard</t>
  </si>
  <si>
    <t>RDM Enterprises LTD</t>
  </si>
  <si>
    <t>5549 206th Street</t>
  </si>
  <si>
    <t>Langley, B.C. V3A 2C6</t>
  </si>
  <si>
    <t>Glass Bottles, Cardboard, Mixed Paper</t>
  </si>
  <si>
    <t>James Bay Community Project</t>
  </si>
  <si>
    <t>210-547 Michigan Street</t>
  </si>
  <si>
    <t>Victoria, B.C. V8V 1S5</t>
  </si>
  <si>
    <t>Plastic, Cardboard, Glass bottles, Organic Disposals</t>
  </si>
  <si>
    <t>Uwe Bartley</t>
  </si>
  <si>
    <t>4464 Markham Street</t>
  </si>
  <si>
    <t>Saanich, B.C. V8Z 5N3</t>
  </si>
  <si>
    <t>Plastic, Cardboard, Glass Bottles, Metal Can, Mixed Paper</t>
  </si>
  <si>
    <t>Richard Vickers</t>
  </si>
  <si>
    <t>508-625 5th Avenue</t>
  </si>
  <si>
    <t>New Westminster, B.C. V3M 1X4</t>
  </si>
  <si>
    <t>Current: paper - cardboard-plastic/glass
Weekly pick-up: Janitors</t>
  </si>
  <si>
    <t>MCM Real Estate Ltd</t>
  </si>
  <si>
    <t>Kamloops, B.C. V2C 5T1</t>
  </si>
  <si>
    <t>1-685 Tranquille Rd</t>
  </si>
  <si>
    <t>Kamloops, B.C. V2B 3H7</t>
  </si>
  <si>
    <t>Linda McCabe</t>
  </si>
  <si>
    <t xml:space="preserve">101-10166 King George Blvd. </t>
  </si>
  <si>
    <t>Surrey, B.C. V3T 2W4</t>
  </si>
  <si>
    <t>Daniella Leck</t>
  </si>
  <si>
    <t>610-620 - 26310 Fraser Hwy</t>
  </si>
  <si>
    <t xml:space="preserve">We are looking into different options for 2016. Nothing has been finalized yet. </t>
  </si>
  <si>
    <t>Dianna Gao</t>
  </si>
  <si>
    <t>19-15300 105 Avenue</t>
  </si>
  <si>
    <t>Surrey, B.C. V3R 6A7</t>
  </si>
  <si>
    <t>Megan</t>
  </si>
  <si>
    <t>Ste R 435 North Road</t>
  </si>
  <si>
    <t>Coquitlam, B.C.</t>
  </si>
  <si>
    <t>Cardboard, Mixed Paper</t>
  </si>
  <si>
    <t>Sandy</t>
  </si>
  <si>
    <t>306-1750 East 10th Avenue</t>
  </si>
  <si>
    <t>Vancouver, B.C. V5N 5K4</t>
  </si>
  <si>
    <t>Christine Alvarez</t>
  </si>
  <si>
    <t>101-9656 King George Blvd.</t>
  </si>
  <si>
    <t>Surrey, B.C. V3T 2V4</t>
  </si>
  <si>
    <t>Kathleen Brinkurst</t>
  </si>
  <si>
    <t>Plastic, Glass Bottles, Cardboard, Metal Can, Mixed Paper</t>
  </si>
  <si>
    <t>Anna Testa</t>
  </si>
  <si>
    <t>972 West King Edward</t>
  </si>
  <si>
    <t>Vancouver, B.C. V5Z 2E2</t>
  </si>
  <si>
    <t>Carrie Tran</t>
  </si>
  <si>
    <t>204 9014 152 St</t>
  </si>
  <si>
    <t>Surrey, B.C. V3R 4E7</t>
  </si>
  <si>
    <t>Shannon Upton</t>
  </si>
  <si>
    <t>227 Nelson's Crescent</t>
  </si>
  <si>
    <t>New Westminster, B.C. V3L 0E3</t>
  </si>
  <si>
    <t>PET #1, PP #5, HDPE #2, PS #6, LDPE #3, Other #7</t>
  </si>
  <si>
    <t>Gladys Gomez Young</t>
  </si>
  <si>
    <t xml:space="preserve">136 Davie Street </t>
  </si>
  <si>
    <t>2002-2003</t>
  </si>
  <si>
    <t>Vancouver, B.C. V6Z 2Y1</t>
  </si>
  <si>
    <t>Carla Thebaud</t>
  </si>
  <si>
    <t xml:space="preserve">Port Coquitlam, B.C. </t>
  </si>
  <si>
    <t>Plastic, Mixed Paper, Metal Can, Cardboard</t>
  </si>
  <si>
    <t>Maria D'Averda</t>
  </si>
  <si>
    <t>Vancouver, B.C. V5K 1Z9</t>
  </si>
  <si>
    <t>Cheryl Mcearchern</t>
  </si>
  <si>
    <t>203-6542 East Hastings St.</t>
  </si>
  <si>
    <t>Burnaby, B.C. V5B 1S2</t>
  </si>
  <si>
    <t>Sabrina Charley</t>
  </si>
  <si>
    <t>103 4012 Hastings Street</t>
  </si>
  <si>
    <t>Burnaby, B.C. V5C 2J2</t>
  </si>
  <si>
    <t>Sharon Lim</t>
  </si>
  <si>
    <t>102-12195 Harris Rd</t>
  </si>
  <si>
    <t>Pitt Meadows, B.C. V3Y 2E9</t>
  </si>
  <si>
    <t>Plastic, Glass Bottles, Mixed Paper, Cardboard, Metal Can, Organic Disposals</t>
  </si>
  <si>
    <t>BC Bio</t>
  </si>
  <si>
    <t>LifeLabs</t>
  </si>
  <si>
    <t>Mary Ann Saez co</t>
  </si>
  <si>
    <t>Andrea Zink</t>
  </si>
  <si>
    <t>115-1465 Salisbury Ave</t>
  </si>
  <si>
    <t>Status</t>
  </si>
  <si>
    <t xml:space="preserve">Notes: </t>
  </si>
  <si>
    <t>james_mackenzie@telus.net</t>
  </si>
  <si>
    <t>604 734 6695</t>
  </si>
  <si>
    <t>cardboard paper in same bin; will add plastic and have it set up by January 1st; sent email and following up with progress.</t>
  </si>
  <si>
    <t>Robert.chang@choicereit.ca</t>
  </si>
  <si>
    <t>604 439 5404</t>
  </si>
  <si>
    <t>Will look into adding a recycling tote and engaging other tenants to participate.  Will look into this in the next few weeks.</t>
  </si>
  <si>
    <t>irene.leung@tpmgcapital.com</t>
  </si>
  <si>
    <t>604 742 3464</t>
  </si>
  <si>
    <t>Irene put me through to Trevor Cheng. Trevor says they provide recycling.  Asked which recycling types but only returning to the office November 27th. They provide full recycling. Trevor indicated that our cleaners may use the bins as well.</t>
  </si>
  <si>
    <t>dales@telus.net</t>
  </si>
  <si>
    <t>604 644 2649</t>
  </si>
  <si>
    <t>Within next 6 months.  Will follow up with the vendor to see what the plan is.  Will be changing and offering recycling based on bylaw changes. Will email me back once he hears back from vendor.</t>
  </si>
  <si>
    <t>manku@shawbiz.ca</t>
  </si>
  <si>
    <t>604 852 5758</t>
  </si>
  <si>
    <t>left call back information about organics program. Sent email Dec 3.</t>
  </si>
  <si>
    <t>slee@vml.bc.ca</t>
  </si>
  <si>
    <t>604 263 1766</t>
  </si>
  <si>
    <t>Mixed paper and mixed containers to be brought in Jan 1 2016</t>
  </si>
  <si>
    <t>stuart.emery@telus.net</t>
  </si>
  <si>
    <t>604 730 9130</t>
  </si>
  <si>
    <t>Looking into it. Will be putting something in place within the next 6 months.  Was elaving it up to the tenants to take the iniciative in the past.  Will meet to comply with the new bylaws.</t>
  </si>
  <si>
    <t>left call back information about organics program</t>
  </si>
  <si>
    <t>kingsley@yandc.ca</t>
  </si>
  <si>
    <t>604 873 4309</t>
  </si>
  <si>
    <t>Not able to provide more as the trucks can't make it up the parking garage.  Have tried and they couldn't make it. No plan to expand due to limitations.</t>
  </si>
  <si>
    <t>jgelfer@ranchogroup.com</t>
  </si>
  <si>
    <t>604 684 4508</t>
  </si>
  <si>
    <t xml:space="preserve">Recevied sheet from waste vendor that we can follow for recycling capabilities.  Not able to recycle #7 plastic.  </t>
  </si>
  <si>
    <t>daniel.mak@colliers.com</t>
  </si>
  <si>
    <t>604 662 2687</t>
  </si>
  <si>
    <t>Spoke to Suzanne as Daniel on vacation.  No plan to bring in plastic or paper recycling.  No secure site to store tote outside.  Current bins just outside.</t>
  </si>
  <si>
    <t>alfmarchi@paragonrealty.ca</t>
  </si>
  <si>
    <t>604 576 3813</t>
  </si>
  <si>
    <t>cyakabuski@berezan.ca</t>
  </si>
  <si>
    <t>604 882 0808</t>
  </si>
  <si>
    <t>Reviewing the organics progam and will be implementing in the new year.  Unable to accommodate due to lack of space plastics and paper recycling.  Will leave it up to the tenants to implement.</t>
  </si>
  <si>
    <t>shari@youronlycall.ca</t>
  </si>
  <si>
    <t>604 921 1841</t>
  </si>
  <si>
    <t xml:space="preserve">No enclosures for totes.  Our suite is on ground floor. Would need to store inside.  Explained to them that they begin to get fined for dumping recyclables in the waste.  She referenced the cost to build an enclosure at another site was outrageous. </t>
  </si>
  <si>
    <t>Recently put in organics.  Spoke to property manager in May to set our location up with their new recycling program.</t>
  </si>
  <si>
    <t>mike.mtm@live.com</t>
  </si>
  <si>
    <t>604 853 2800</t>
  </si>
  <si>
    <t xml:space="preserve">Spoke to Mike and explained to him the bylaw and potential fines.  Explained how to set it up internally and externally, what is considered organics.  Worried about rodents on property.  He will think about it but not committing.    </t>
  </si>
  <si>
    <t>Responsded that Wayne will be discussing organics issue with Owners at Dec 7 meeting.  I should get a response, if I don't receive anything next week to give a call back.  Realizes that we can't keep placing organics in the waste stream.</t>
  </si>
  <si>
    <t>operations@coremedicalcentre.ca</t>
  </si>
  <si>
    <t>604 525 8657</t>
  </si>
  <si>
    <t>Sandy - Operations manager called and she says that they only provide cardboard.  Not sure what I am asking for.  Thinks I was asking for medical waste pick up.  Explained it would be similar to home recycling.  She is going to look into it and get back to me. Sandy called City Hall.  City Hall can provide bins - 300L.  They charge $6/month rental fee for bin.  Require glass and plastic to be clean- must rinse through water.  Store in our suite.  Wednesday would need to put out bin near garbage bin for pick.  Janitor can place the night before.  Decide to go with this approach call Sandy back at the number beside.</t>
  </si>
  <si>
    <t>pharmtechmanager@gmail.com</t>
  </si>
  <si>
    <t>778 689 1830</t>
  </si>
  <si>
    <t>Stephanie called to obtain clarity.  She indicated they just took over a year ago.  I explained to her the bylaw and if recyclables are in waste stream.  She understood and still wants us to have our own recycling similar to other tenants.  She is getting back to me about space outside and if paper can go with cardboard.                        Dec 16 - Stephanie emailed me back to say they are expanding their recycling program and will be sending out communications to the tenants this week.</t>
  </si>
  <si>
    <t>Not being implemented as not mandatory in that region.</t>
  </si>
  <si>
    <t>cabomac91@gmail.com</t>
  </si>
  <si>
    <t>604 298 8775</t>
  </si>
  <si>
    <t>emailed as phone number incorrect</t>
  </si>
  <si>
    <t>denise@hughmckinnon.com</t>
  </si>
  <si>
    <t>604 531 1909</t>
  </si>
  <si>
    <t xml:space="preserve">Going to reach out to vendor to confirm recycling plastic capabilities - Wonju unsure.  Sent Denise an email. Use Urban Impact and they take all types of plastic. </t>
  </si>
  <si>
    <t>balkar_saran@hotmail.com</t>
  </si>
  <si>
    <t>604 572 5117</t>
  </si>
  <si>
    <t>Not much volume from business needs but will check.  Will provide us a spot outside to set up a recycling tote. Sent email for Balkar to respond direction.</t>
  </si>
  <si>
    <t>604 853 5532</t>
  </si>
  <si>
    <t>Henry gone, put through to Ron Wilms. Left callback information for Ron to contact me. Kevin contacted me and implementing organics program in January 2016 for restaurants in building and within 6 monts the remainder of the tenants.  Has 100 suites in building.</t>
  </si>
  <si>
    <t>604 534 6739</t>
  </si>
  <si>
    <t>acornea@larkgroup.com</t>
  </si>
  <si>
    <t>604 576 2935</t>
  </si>
  <si>
    <t>left voicemail.  Sent email Dec 3.</t>
  </si>
  <si>
    <t>ron@rdmenterprises.com</t>
  </si>
  <si>
    <t>604 530 6310</t>
  </si>
  <si>
    <t xml:space="preserve">Have been working with Waste Mgmt concerning organics and plastic.  Changed bins to locking bins as of Dec 1.  Will have plastic collection in new year and also looking for better paper collection system.  </t>
  </si>
  <si>
    <t>emarino@bosaproperties.com</t>
  </si>
  <si>
    <t>604 299 1363</t>
  </si>
  <si>
    <t xml:space="preserve">Enzo passed voicemail onto Richard Vickers.  Currently there is no organics program in place.  Has begun looking into it after our inquiry.  Will definitely have something in place soon.  Will be sending out communication shortly to everyone in building.  </t>
  </si>
  <si>
    <t>linda@valueindustries.com</t>
  </si>
  <si>
    <t>604 606 7010</t>
  </si>
  <si>
    <t>Tenants responsible for their own - Sara at 604-606-7055 confirmed. Sent Linda an email to see if there is any plan to change this process going forward.</t>
  </si>
  <si>
    <t>kfung@warringtonpci.com</t>
  </si>
  <si>
    <t>604 602 1887</t>
  </si>
  <si>
    <t>Strip mall and can't accommodate everyone so they leave it up the tenants.  Would recommend inside storage as not secure outside.</t>
  </si>
  <si>
    <t>wpjm@wpjmccarthy.com</t>
  </si>
  <si>
    <t>604 437 6334</t>
  </si>
  <si>
    <t>sharonlim@shaw.ca</t>
  </si>
  <si>
    <t>604 465 3565</t>
  </si>
  <si>
    <t>Location-Category</t>
  </si>
  <si>
    <t>BC LL</t>
  </si>
  <si>
    <t>Column Labels</t>
  </si>
  <si>
    <t>Grand Total</t>
  </si>
  <si>
    <t>Site</t>
  </si>
  <si>
    <t>Values</t>
  </si>
  <si>
    <t xml:space="preserve">Glass Bottles </t>
  </si>
  <si>
    <t xml:space="preserve">Plastic </t>
  </si>
  <si>
    <t xml:space="preserve">Mixed Paper </t>
  </si>
  <si>
    <t xml:space="preserve">Metal Can </t>
  </si>
  <si>
    <t xml:space="preserve">Organic Disposals </t>
  </si>
  <si>
    <t xml:space="preserve">Not Available </t>
  </si>
  <si>
    <t xml:space="preserve">Cardboard </t>
  </si>
  <si>
    <t>CML</t>
  </si>
  <si>
    <t>ON LL</t>
  </si>
  <si>
    <t xml:space="preserve">PET #1 </t>
  </si>
  <si>
    <t xml:space="preserve">HDPE #2 </t>
  </si>
  <si>
    <t xml:space="preserve">LDPE #4 </t>
  </si>
  <si>
    <t xml:space="preserve">PP #5 </t>
  </si>
  <si>
    <t xml:space="preserve">PS #6 </t>
  </si>
  <si>
    <t xml:space="preserve">Other #7 </t>
  </si>
  <si>
    <t xml:space="preserve">Not Acceptable </t>
  </si>
  <si>
    <t xml:space="preserve">Not Applicable </t>
  </si>
  <si>
    <t>Status Metrics</t>
  </si>
  <si>
    <t>Complete</t>
  </si>
  <si>
    <t>Partial</t>
  </si>
  <si>
    <t>Meets Expectation</t>
  </si>
  <si>
    <t xml:space="preserve">Complete </t>
  </si>
  <si>
    <t xml:space="preserve">Meets Expectation </t>
  </si>
  <si>
    <t xml:space="preserve">Partial </t>
  </si>
  <si>
    <t>-</t>
  </si>
  <si>
    <t>Name</t>
  </si>
  <si>
    <t>Address</t>
  </si>
  <si>
    <t>Glass</t>
  </si>
  <si>
    <t>Paper</t>
  </si>
  <si>
    <t>First Name</t>
  </si>
  <si>
    <t>Last Name</t>
  </si>
  <si>
    <t>Email Address</t>
  </si>
  <si>
    <t xml:space="preserve">Phone Number </t>
  </si>
  <si>
    <t>Comments</t>
  </si>
  <si>
    <t>Actions</t>
  </si>
  <si>
    <t>X</t>
  </si>
  <si>
    <t>x</t>
  </si>
  <si>
    <t>James</t>
  </si>
  <si>
    <t>Mackenzie</t>
  </si>
  <si>
    <t>Robert</t>
  </si>
  <si>
    <t>Chang</t>
  </si>
  <si>
    <t>Irene</t>
  </si>
  <si>
    <t>Leung</t>
  </si>
  <si>
    <t>Rod</t>
  </si>
  <si>
    <t>Dales</t>
  </si>
  <si>
    <t>32475 Simon Ave., Abbotsford, B.C.</t>
  </si>
  <si>
    <t>Jasbir</t>
  </si>
  <si>
    <t>Manku</t>
  </si>
  <si>
    <t>Shirley</t>
  </si>
  <si>
    <t>Lee</t>
  </si>
  <si>
    <t>Stuart</t>
  </si>
  <si>
    <t>Emery</t>
  </si>
  <si>
    <t>Payne</t>
  </si>
  <si>
    <t>2736 E. Hasting St., Vancouver, B.C.</t>
  </si>
  <si>
    <t>Kingsley</t>
  </si>
  <si>
    <t>Yeung</t>
  </si>
  <si>
    <t>Jeff</t>
  </si>
  <si>
    <t>Gelfer</t>
  </si>
  <si>
    <t>6542 E. Hastings St., Burnaby, B.C.</t>
  </si>
  <si>
    <t>Daniel</t>
  </si>
  <si>
    <t>Mak</t>
  </si>
  <si>
    <t>Alfred</t>
  </si>
  <si>
    <t>Marchi</t>
  </si>
  <si>
    <t>Received email from Lisa Jones that they have reached out to the city about expanding service to commercial.  Will only add if requested via current waste vendor. Generally  only add organics if property is a food establishment. I then asked if I was to request the recycling and organics how would this be handled.  Lisa would get a quote and discuss with other tenants.  She commented that there is so little organics that the tenants would rather take it home and dispose of it there since it is free.</t>
  </si>
  <si>
    <t>Response Jan 13, 2016: they can request their garbage company add a plastics recycling bin for our use, we would pay for it as other tenants pay for their own.   Will provide space in the parking garage. (sent this via email)</t>
  </si>
  <si>
    <t>Janet</t>
  </si>
  <si>
    <t>Fisher</t>
  </si>
  <si>
    <t>janet.fisher@primetimeliving.ca</t>
  </si>
  <si>
    <t>604 536 2855</t>
  </si>
  <si>
    <t xml:space="preserve">Considering it but having issues with storage of containers.  </t>
  </si>
  <si>
    <t>Chris</t>
  </si>
  <si>
    <t>Yakabuski</t>
  </si>
  <si>
    <t>Shari</t>
  </si>
  <si>
    <t>Webb</t>
  </si>
  <si>
    <t>Mike</t>
  </si>
  <si>
    <t>Wester</t>
  </si>
  <si>
    <t>Wayne</t>
  </si>
  <si>
    <t>Sasaki</t>
  </si>
  <si>
    <t>Archie</t>
  </si>
  <si>
    <t>Parhar</t>
  </si>
  <si>
    <t>Plastic within 6 months</t>
  </si>
  <si>
    <t>Joe</t>
  </si>
  <si>
    <t>Milic</t>
  </si>
  <si>
    <t>Preston</t>
  </si>
  <si>
    <t>Lui</t>
  </si>
  <si>
    <t>Rinaldo</t>
  </si>
  <si>
    <t>Denise</t>
  </si>
  <si>
    <t>Barker</t>
  </si>
  <si>
    <t>Balkar</t>
  </si>
  <si>
    <t>Saran</t>
  </si>
  <si>
    <t>Henry</t>
  </si>
  <si>
    <t>Martens</t>
  </si>
  <si>
    <t>John</t>
  </si>
  <si>
    <t>Hippner</t>
  </si>
  <si>
    <r>
      <t xml:space="preserve">Paper and cardboard collected by us.  Paper bin dedicated to plastic and cardboard John takes to depot. Property owner isn't aware of this.  Property Manager has set this up. Our team already using the programs. </t>
    </r>
    <r>
      <rPr>
        <u/>
        <sz val="11"/>
        <color theme="1"/>
        <rFont val="Calibri"/>
        <family val="2"/>
        <scheme val="minor"/>
      </rPr>
      <t>No organics program.</t>
    </r>
  </si>
  <si>
    <t>Anka</t>
  </si>
  <si>
    <t>Cornea</t>
  </si>
  <si>
    <t>Ron</t>
  </si>
  <si>
    <t>Madsen</t>
  </si>
  <si>
    <t>Enzo</t>
  </si>
  <si>
    <t>Marino</t>
  </si>
  <si>
    <t>McCabe</t>
  </si>
  <si>
    <t>tenants responsible for waste and recycling</t>
  </si>
  <si>
    <r>
      <t xml:space="preserve">We generate too much plastic waste so Landlord wants us to be responsible for our own plastic recycling.  Have reached out to Landlords vendor to set up plastic recycling. SC working on setting up contract.  </t>
    </r>
    <r>
      <rPr>
        <b/>
        <sz val="11"/>
        <color indexed="8"/>
        <rFont val="Arial"/>
        <family val="2"/>
      </rPr>
      <t>Need to connect with Precise Building Maintenancy (cleaning company) to set this up.</t>
    </r>
  </si>
  <si>
    <t>13745 72nd Ave., Surrey, B.C.</t>
  </si>
  <si>
    <t>Fung</t>
  </si>
  <si>
    <t>7069 Cheam Ave., Agassiz, B.C.</t>
  </si>
  <si>
    <t>Allan</t>
  </si>
  <si>
    <t>Olson</t>
  </si>
  <si>
    <t>aeolson@shaw.ca</t>
  </si>
  <si>
    <t>604 793 5668</t>
  </si>
  <si>
    <t>Not aware of organics in this region yet.  No formal recycling at the site.  All the tenants have a designated location in the building to store recycling bins to then take to the recycling depot.  Murry the janitor takes our recycling to the depot on LifeLabs behalf. We just need to mark on the outside of the bag what recycling stream it is. No secure area outside to store bins.</t>
  </si>
  <si>
    <t>4980 Kingsway, Burnaby, B.C.</t>
  </si>
  <si>
    <t>William</t>
  </si>
  <si>
    <t>McCarthy</t>
  </si>
  <si>
    <t>5740 Cambie St., Vancouver, B.C.</t>
  </si>
  <si>
    <t>Julie</t>
  </si>
  <si>
    <t>Lacasse</t>
  </si>
  <si>
    <t>jlacasse@bentallkennedy.com</t>
  </si>
  <si>
    <t>604 661 5674</t>
  </si>
  <si>
    <t>Cardboard and paper go in the same bin.  Considering organics but logistics in building are difficult and cost really high.  Landlord is reviewing.</t>
  </si>
  <si>
    <t>27127 Fraser Hwy., Aldergrove, B.C.</t>
  </si>
  <si>
    <t>Quan Bich</t>
  </si>
  <si>
    <t>Tran</t>
  </si>
  <si>
    <t>newamsterdambakery@gmail.com</t>
  </si>
  <si>
    <t>778 321 2911</t>
  </si>
  <si>
    <t>left a message; sent email Dec 3</t>
  </si>
  <si>
    <t>12195 Harris Rd., Pitt Meadows, B.C.</t>
  </si>
  <si>
    <t>Sharon</t>
  </si>
  <si>
    <t>Lim</t>
  </si>
  <si>
    <t>• Complete: Recycling program includes all Plastic, Glass, Cardboard, Mixed Paper, Organics and Metal Cans</t>
  </si>
  <si>
    <t>Lab/PSC?</t>
  </si>
  <si>
    <t>PSC</t>
  </si>
  <si>
    <t>Victoria, B.C. V8R 4R2</t>
  </si>
  <si>
    <t>1900 Richmond Ave. Suite 130</t>
  </si>
  <si>
    <t>691 Church Street Suite 101</t>
  </si>
  <si>
    <t>650 S Terminal Avenue Suite 106</t>
  </si>
  <si>
    <t>Category</t>
  </si>
  <si>
    <t>Lab</t>
  </si>
  <si>
    <t>(All)</t>
  </si>
  <si>
    <t>Incomplete Recycling Program</t>
  </si>
  <si>
    <t>No Recycling</t>
  </si>
  <si>
    <t>Meets Needs of Lifelabs and/or Regulatory Requirements</t>
  </si>
  <si>
    <t xml:space="preserve">Meets Needs of Lifelabs and/or Regulatory Requirements </t>
  </si>
  <si>
    <t xml:space="preserve">Incomplete Recycling Program </t>
  </si>
  <si>
    <t xml:space="preserve">No Recycling </t>
  </si>
  <si>
    <t>Lease Number</t>
  </si>
  <si>
    <t>87 Wallace Street</t>
  </si>
  <si>
    <t>BC0009</t>
  </si>
  <si>
    <t>BC0011</t>
  </si>
  <si>
    <t>BC0016</t>
  </si>
  <si>
    <t>BC0036</t>
  </si>
  <si>
    <t>BC0045</t>
  </si>
  <si>
    <t>BC0047</t>
  </si>
  <si>
    <t>180 Keefer Street</t>
  </si>
  <si>
    <t>BC0074</t>
  </si>
  <si>
    <t>BC0082</t>
  </si>
  <si>
    <t>BC0084</t>
  </si>
  <si>
    <t>3540 W41st Ave.. #112</t>
  </si>
  <si>
    <t>BC0085</t>
  </si>
  <si>
    <t>BC0087</t>
  </si>
  <si>
    <t>BC0094</t>
  </si>
  <si>
    <t>BC0120</t>
  </si>
  <si>
    <t>BC0125</t>
  </si>
  <si>
    <t>BC0127</t>
  </si>
  <si>
    <t>Victoria, B.C.</t>
  </si>
  <si>
    <t>1641 Hillside Avenue, #220</t>
  </si>
  <si>
    <t>BC0132</t>
  </si>
  <si>
    <t>1105 Pandora Ave , #100</t>
  </si>
  <si>
    <t>BC0139</t>
  </si>
  <si>
    <t>135-546 St. Paul St. #120</t>
  </si>
  <si>
    <t>BC0144</t>
  </si>
  <si>
    <t>BC0145</t>
  </si>
  <si>
    <t>BC0151</t>
  </si>
  <si>
    <t>BC0152</t>
  </si>
  <si>
    <t>BC0153</t>
  </si>
  <si>
    <t>BC0154</t>
  </si>
  <si>
    <t>BC0167</t>
  </si>
  <si>
    <t>BC0169</t>
  </si>
  <si>
    <t>BC0170</t>
  </si>
  <si>
    <t>BC0182</t>
  </si>
  <si>
    <t>BC0184</t>
  </si>
  <si>
    <t>BC0194</t>
  </si>
  <si>
    <t>BC0195</t>
  </si>
  <si>
    <t>BC0201</t>
  </si>
  <si>
    <t>BC0209</t>
  </si>
  <si>
    <t>BC0210</t>
  </si>
  <si>
    <t>BC0214</t>
  </si>
  <si>
    <t>BC0222</t>
  </si>
  <si>
    <t>BC0224</t>
  </si>
  <si>
    <t>BC0226</t>
  </si>
  <si>
    <t>BC0227</t>
  </si>
  <si>
    <t>BC0229</t>
  </si>
  <si>
    <t>BC0230</t>
  </si>
  <si>
    <t>BC0232</t>
  </si>
  <si>
    <t>835-777 Hornby Street</t>
  </si>
  <si>
    <t>BC0233</t>
  </si>
  <si>
    <t>BC0234</t>
  </si>
  <si>
    <t>BC0286</t>
  </si>
  <si>
    <t>BC0290</t>
  </si>
  <si>
    <t>Landlord Name</t>
  </si>
  <si>
    <t>Address Line1</t>
  </si>
  <si>
    <t>Job Title</t>
  </si>
  <si>
    <t>Role</t>
  </si>
  <si>
    <t>Extension</t>
  </si>
  <si>
    <t>Location Type</t>
  </si>
  <si>
    <t>87 Wallace Street, Nanaimo, BC</t>
  </si>
  <si>
    <t>Caledonian Properties Inc/Caledonian Clinic Ltd.</t>
  </si>
  <si>
    <t>340 Campbell Street</t>
  </si>
  <si>
    <t>MGR</t>
  </si>
  <si>
    <t>Property Manager</t>
  </si>
  <si>
    <t>Doris</t>
  </si>
  <si>
    <t>Gross</t>
  </si>
  <si>
    <t>dorisg@shawcable.com</t>
  </si>
  <si>
    <t>250 753 3202</t>
  </si>
  <si>
    <t>PSC / Testing</t>
  </si>
  <si>
    <t>324 South Gilmore Avenue, Burnaby, BC</t>
  </si>
  <si>
    <t>Mark &amp; Juri Fishing Ltd.</t>
  </si>
  <si>
    <t>4275 Cambridge Street</t>
  </si>
  <si>
    <t>PMG</t>
  </si>
  <si>
    <t>Tony</t>
  </si>
  <si>
    <t>Vuletin</t>
  </si>
  <si>
    <t>avuletin@telus.net</t>
  </si>
  <si>
    <t>604 298 4670</t>
  </si>
  <si>
    <t>BC0012</t>
  </si>
  <si>
    <t>3965 Kingsway Ave., #302, Burnaby, BC</t>
  </si>
  <si>
    <t>Realacorp Management Ltd. - 3965 Kingsway</t>
  </si>
  <si>
    <t>Suite 101, 1867 West Broadway</t>
  </si>
  <si>
    <t>Guy</t>
  </si>
  <si>
    <t>O'Byrne</t>
  </si>
  <si>
    <t>guy@realacorp.com</t>
  </si>
  <si>
    <t>23</t>
  </si>
  <si>
    <t>1077 - 56th Street, # 114, Delta, BC</t>
  </si>
  <si>
    <t>Trusty Sales Ltd.</t>
  </si>
  <si>
    <t>1077 - 56th Street</t>
  </si>
  <si>
    <t>Greg</t>
  </si>
  <si>
    <t>Bromley</t>
  </si>
  <si>
    <t>gkbss@hotmail.com</t>
  </si>
  <si>
    <t>604 943 4379</t>
  </si>
  <si>
    <t>BC0022</t>
  </si>
  <si>
    <t>1656 Martin Drive, # 105, Surrey, BC</t>
  </si>
  <si>
    <t>Sunshine Coast Holdings Ltd.</t>
  </si>
  <si>
    <t>#310-1676 Martin Drive</t>
  </si>
  <si>
    <t>Bobsien</t>
  </si>
  <si>
    <t>robert_bobsien@telus.net</t>
  </si>
  <si>
    <t>604 538 3223</t>
  </si>
  <si>
    <t>BC0029</t>
  </si>
  <si>
    <t>750 West Broadway, # 701, Vancouver, BC</t>
  </si>
  <si>
    <t>Dodwell Realty Ltd.</t>
  </si>
  <si>
    <t>1166 Alberni Street</t>
  </si>
  <si>
    <t>Rozendaal</t>
  </si>
  <si>
    <t>sharonr@petersonbc.com</t>
  </si>
  <si>
    <t>604 872 4540</t>
  </si>
  <si>
    <t>BC0033</t>
  </si>
  <si>
    <t>541 - 3rd Avenue, Ladysmith, BC</t>
  </si>
  <si>
    <t>High Street Holdings Inc.</t>
  </si>
  <si>
    <t>541 3rd Ave.</t>
  </si>
  <si>
    <t>OWN</t>
  </si>
  <si>
    <t>Dr. A</t>
  </si>
  <si>
    <t>Hatchwell</t>
  </si>
  <si>
    <t>hillsidemedical@shaw.ca</t>
  </si>
  <si>
    <t>250 245 2235</t>
  </si>
  <si>
    <t>BC0035</t>
  </si>
  <si>
    <t>806 Vernon Street, Nelson, BC</t>
  </si>
  <si>
    <t>NMAC Leasing Ltd</t>
  </si>
  <si>
    <t>806 Vernon Street</t>
  </si>
  <si>
    <t>Nando</t>
  </si>
  <si>
    <t>Salviulo</t>
  </si>
  <si>
    <t>nando@nelsonmedical.com</t>
  </si>
  <si>
    <t>250 352 6611</t>
  </si>
  <si>
    <t>665 Front Street, #15, Quesnel, BC,</t>
  </si>
  <si>
    <t>Achilles Holdings (2009) Ltd.</t>
  </si>
  <si>
    <t>665 Front Street</t>
  </si>
  <si>
    <t>PM/LM</t>
  </si>
  <si>
    <t>Birgit</t>
  </si>
  <si>
    <t>Feil</t>
  </si>
  <si>
    <t>birgit.idealpro@telus.net</t>
  </si>
  <si>
    <t>250 992 5992</t>
  </si>
  <si>
    <t>BC0041</t>
  </si>
  <si>
    <t>1699 Victoria Street, #110, Prince Georg</t>
  </si>
  <si>
    <t>Prince George Enterprises Ltd.</t>
  </si>
  <si>
    <t>1699 Victoria Street</t>
  </si>
  <si>
    <t>Keven</t>
  </si>
  <si>
    <t>Braet</t>
  </si>
  <si>
    <t>kevenbraet@yahoo.ca</t>
  </si>
  <si>
    <t>250 563 5115</t>
  </si>
  <si>
    <t>BC0043</t>
  </si>
  <si>
    <t>888 West 8th Ave., Vancouver</t>
  </si>
  <si>
    <t>A.L. Sott (Laurel Medical) Inc.</t>
  </si>
  <si>
    <t>#400 - 1245 West Broadway</t>
  </si>
  <si>
    <t>Dorothy</t>
  </si>
  <si>
    <t>Padua</t>
  </si>
  <si>
    <t>604 606 7045</t>
  </si>
  <si>
    <t>650 West 41st Ave, #15 Vancouver, BC</t>
  </si>
  <si>
    <t>Oakridge Centre Vancouver Holdings Inc.</t>
  </si>
  <si>
    <t>650 West 41st Avenue</t>
  </si>
  <si>
    <t>Andrea</t>
  </si>
  <si>
    <t>Zink</t>
  </si>
  <si>
    <t>azink@ivanhoecambridge.com</t>
  </si>
  <si>
    <t>604 269 2296</t>
  </si>
  <si>
    <t>1200 Burrard St., # 208, Vancouver</t>
  </si>
  <si>
    <t>1200 Burrard Professional Centre</t>
  </si>
  <si>
    <t>Box 16, 1128 Hornby Street</t>
  </si>
  <si>
    <t>Landlord</t>
  </si>
  <si>
    <t>Stephen</t>
  </si>
  <si>
    <t>Fan</t>
  </si>
  <si>
    <t>stephenfan@rogers.com</t>
  </si>
  <si>
    <t>604 687 8817</t>
  </si>
  <si>
    <t>BC0054</t>
  </si>
  <si>
    <t>6051 Gilbert Road, # 107, Richmond, BC</t>
  </si>
  <si>
    <t>Realacorp Management Ltd. - 6051 Gilbert Road</t>
  </si>
  <si>
    <t>101 - 1867 West Broadway</t>
  </si>
  <si>
    <t>604 734-6695</t>
  </si>
  <si>
    <t>BC0055</t>
  </si>
  <si>
    <t>3811 Chatham Road, # 104, Richmond, BC</t>
  </si>
  <si>
    <t>Realacorp Management Ltd. - 3811 Chatham Road</t>
  </si>
  <si>
    <t>BC0056</t>
  </si>
  <si>
    <t>6540 Fraser Street, Vancouver, BC</t>
  </si>
  <si>
    <t>KAP Management Ltd.</t>
  </si>
  <si>
    <t>1668 W. Broadway</t>
  </si>
  <si>
    <t>Karen</t>
  </si>
  <si>
    <t>Woo</t>
  </si>
  <si>
    <t>604 669 9398</t>
  </si>
  <si>
    <t>BC0057</t>
  </si>
  <si>
    <t>8677 Granville Street, Vancouver, BC</t>
  </si>
  <si>
    <t>Cynthia Levy</t>
  </si>
  <si>
    <t>8675 Granville Street</t>
  </si>
  <si>
    <t>Lyall</t>
  </si>
  <si>
    <t>Dr. Levy</t>
  </si>
  <si>
    <t>604 263 2643</t>
  </si>
  <si>
    <t>180 Keefer Street, Vancouver</t>
  </si>
  <si>
    <t>City of Vancouver (Contract 10562)</t>
  </si>
  <si>
    <t>Corporate Services - Rental Properties</t>
  </si>
  <si>
    <t>Sing</t>
  </si>
  <si>
    <t>Yu</t>
  </si>
  <si>
    <t>yuksyu@hotmail.com</t>
  </si>
  <si>
    <t>604 861 7362</t>
  </si>
  <si>
    <t>1900 Richmond, Victoria, BC</t>
  </si>
  <si>
    <t>Colliers International - 1900 Richmond Ave.</t>
  </si>
  <si>
    <t>1175 Douglas Street</t>
  </si>
  <si>
    <t>Angela</t>
  </si>
  <si>
    <t>Bell</t>
  </si>
  <si>
    <t>angela.bell@colliers.com</t>
  </si>
  <si>
    <t>250 414 8377</t>
  </si>
  <si>
    <t>3540 West 41st Ave., # 112, Vancouver</t>
  </si>
  <si>
    <t>Transworld Management Ltd.</t>
  </si>
  <si>
    <t>999 West Broadway</t>
  </si>
  <si>
    <t>604 739 6188</t>
  </si>
  <si>
    <t>1120 Yates Street, #202, Victoria, BC</t>
  </si>
  <si>
    <t>First Capital (Victoria Professional Bldg) Corp.</t>
  </si>
  <si>
    <t>2800 Bryn Maur Road</t>
  </si>
  <si>
    <t>Ana</t>
  </si>
  <si>
    <t>Kraft</t>
  </si>
  <si>
    <t>ana.kraft@firstcapitalrealty.ca</t>
  </si>
  <si>
    <t>778 265 7888</t>
  </si>
  <si>
    <t>BC0086</t>
  </si>
  <si>
    <t>Warrington PCI Management - 1940 Lonsdale Ave</t>
  </si>
  <si>
    <t>1030 West Georgia Street</t>
  </si>
  <si>
    <t>604 331 5236</t>
  </si>
  <si>
    <t>4527 Main Street, Vancouver, BC</t>
  </si>
  <si>
    <t>Cathay Pacific Realty Ltd.</t>
  </si>
  <si>
    <t>6081 No. 3 Road</t>
  </si>
  <si>
    <t>Adelina</t>
  </si>
  <si>
    <t>Ko</t>
  </si>
  <si>
    <t>604 872 6681</t>
  </si>
  <si>
    <t>102</t>
  </si>
  <si>
    <t>BC0093</t>
  </si>
  <si>
    <t>645 Fort Street, Victoria, BC</t>
  </si>
  <si>
    <t>Newport Property Management In Trust</t>
  </si>
  <si>
    <t>1608 Fort Street</t>
  </si>
  <si>
    <t>Lois</t>
  </si>
  <si>
    <t>Hayes</t>
  </si>
  <si>
    <t>loishayes@newportrentals.ca</t>
  </si>
  <si>
    <t>250 598 2220</t>
  </si>
  <si>
    <t>890B Esquimalt Road, Victoria, BC</t>
  </si>
  <si>
    <t>Le Gers Properties Inc</t>
  </si>
  <si>
    <t>772 Bay Street</t>
  </si>
  <si>
    <t>Jos'ee</t>
  </si>
  <si>
    <t>Stamhuis</t>
  </si>
  <si>
    <t>josee@groupedenux.com</t>
  </si>
  <si>
    <t>250 920 5435</t>
  </si>
  <si>
    <t>8</t>
  </si>
  <si>
    <t>BC0097</t>
  </si>
  <si>
    <t>2720 Mill Bay Road, Mill Bay, BC</t>
  </si>
  <si>
    <t>Boultbee Realty Ltd. - Mill Bay Road</t>
  </si>
  <si>
    <t xml:space="preserve"> 650 West Georgia Street</t>
  </si>
  <si>
    <t>Clarke</t>
  </si>
  <si>
    <t>kclarke@boultbee.ca</t>
  </si>
  <si>
    <t>604-661-7152</t>
  </si>
  <si>
    <t>943 West Broadway, # 220, Vancouver, BC</t>
  </si>
  <si>
    <t>VR 111</t>
  </si>
  <si>
    <t>c/o Pacific Dawn Management</t>
  </si>
  <si>
    <t>Lorne</t>
  </si>
  <si>
    <t>Campbell</t>
  </si>
  <si>
    <t>lorne@pacific-dawn.com</t>
  </si>
  <si>
    <t>604-683-8843</t>
  </si>
  <si>
    <t>BC0121</t>
  </si>
  <si>
    <t>4515 Harvest Dr.  #104, Delta, BC</t>
  </si>
  <si>
    <t>Realacorp Management Ltd. - 4515 Harvestor</t>
  </si>
  <si>
    <t>1867 West Broadway</t>
  </si>
  <si>
    <t>Anne</t>
  </si>
  <si>
    <t>Hedley</t>
  </si>
  <si>
    <t>5791 - #3 Road, # 200, Richmond, BC</t>
  </si>
  <si>
    <t>Richmond Regional Diagnostic Centre Ltd.</t>
  </si>
  <si>
    <t>5791 No 3 Road</t>
  </si>
  <si>
    <t>Nicola</t>
  </si>
  <si>
    <t>Carmichael</t>
  </si>
  <si>
    <t>njcarmichael@hotmail.com</t>
  </si>
  <si>
    <t>604 278 9152</t>
  </si>
  <si>
    <t>149 Ingram Street, # 102, Duncan, BC</t>
  </si>
  <si>
    <t>255 Canada Avenue</t>
  </si>
  <si>
    <t>Arthur</t>
  </si>
  <si>
    <t>Allen</t>
  </si>
  <si>
    <t>rowanproperty@shaw.ca</t>
  </si>
  <si>
    <t>250 748 9090</t>
  </si>
  <si>
    <t>1641 Hillside Ave, # 220, Victoria BC</t>
  </si>
  <si>
    <t>TPM Management Ltd.</t>
  </si>
  <si>
    <t>722 Cormorant Street</t>
  </si>
  <si>
    <t>Debbie</t>
  </si>
  <si>
    <t>Hunt</t>
  </si>
  <si>
    <t>debbieh@tpmproperties.ca</t>
  </si>
  <si>
    <t>250-383-7663</t>
  </si>
  <si>
    <t>236</t>
  </si>
  <si>
    <t>1105 Pandora Avenue, #100, Victoria, BC</t>
  </si>
  <si>
    <t>Axis Asset Management Ltd.</t>
  </si>
  <si>
    <t>426 B William St.,</t>
  </si>
  <si>
    <t>David</t>
  </si>
  <si>
    <t>Price</t>
  </si>
  <si>
    <t>dprice@westwater.ca</t>
  </si>
  <si>
    <t>250 383 6363</t>
  </si>
  <si>
    <t>BC0140</t>
  </si>
  <si>
    <t>321 Nicola St, # 202, Kamloops, BC</t>
  </si>
  <si>
    <t>281043 Holdings Inc.</t>
  </si>
  <si>
    <t>321 Nicola Street</t>
  </si>
  <si>
    <t>L.R.</t>
  </si>
  <si>
    <t>Dr. Queen</t>
  </si>
  <si>
    <t>250-374 7131</t>
  </si>
  <si>
    <t>546 St. Paul St. # 120, Kamloops, BC</t>
  </si>
  <si>
    <t>649376 BC Ltd. c/o Romei Plummer Chartered Accountants</t>
  </si>
  <si>
    <t>546 St. Paul Street</t>
  </si>
  <si>
    <t>.</t>
  </si>
  <si>
    <t>547 Michigan St. #  210, Victoria, BC</t>
  </si>
  <si>
    <t>James Bay Health &amp; Community Services Society</t>
  </si>
  <si>
    <t>547 Michigan Street</t>
  </si>
  <si>
    <t>Brian</t>
  </si>
  <si>
    <t>Yellin</t>
  </si>
  <si>
    <t>byellin@jbcp.bc.ca</t>
  </si>
  <si>
    <t>250 388 7844</t>
  </si>
  <si>
    <t>339</t>
  </si>
  <si>
    <t>BC0148</t>
  </si>
  <si>
    <t>140 First Ave., Qualicum Beach</t>
  </si>
  <si>
    <t>Town of Qualicum Beach</t>
  </si>
  <si>
    <t>660 Primrose St., Suite # 201</t>
  </si>
  <si>
    <t>Trudy</t>
  </si>
  <si>
    <t>Coates</t>
  </si>
  <si>
    <t>TCoates@qualicumbeach.com</t>
  </si>
  <si>
    <t>250 738 2202</t>
  </si>
  <si>
    <t>1530 West 7th, Vancouver</t>
  </si>
  <si>
    <t>Colyvan Pacific</t>
  </si>
  <si>
    <t>202 - 5704 Balsam Street</t>
  </si>
  <si>
    <t>Landa</t>
  </si>
  <si>
    <t>allan@ankerpacific.com</t>
  </si>
  <si>
    <t>604 683 8399</t>
  </si>
  <si>
    <t>78 Lake Cowichan Rd., Lake Cowichan, BC</t>
  </si>
  <si>
    <t>NKVD Holdings Ltd</t>
  </si>
  <si>
    <t>621 Linnet Lane</t>
  </si>
  <si>
    <t>Winnifred</t>
  </si>
  <si>
    <t>Armstrong</t>
  </si>
  <si>
    <t>Winnifredarmstrong@hotmail.com</t>
  </si>
  <si>
    <t>250 479 3310</t>
  </si>
  <si>
    <t>1990 Fort Street, #102 , Victoria, BC</t>
  </si>
  <si>
    <t>Devon Properties Ltd.</t>
  </si>
  <si>
    <t>201-2067 Cadboro Bay Road</t>
  </si>
  <si>
    <t>Dave</t>
  </si>
  <si>
    <t>Craig</t>
  </si>
  <si>
    <t>dcraig@devonprop.com</t>
  </si>
  <si>
    <t>250 595 7000</t>
  </si>
  <si>
    <t>101 Burnside Road West, Victoria, BC</t>
  </si>
  <si>
    <t>Equitex Management</t>
  </si>
  <si>
    <t>707 Fort Street</t>
  </si>
  <si>
    <t>Michael</t>
  </si>
  <si>
    <t>Hadfield</t>
  </si>
  <si>
    <t>hadfield@equitex.ca</t>
  </si>
  <si>
    <t>250 386 6071</t>
  </si>
  <si>
    <t>BC0166</t>
  </si>
  <si>
    <t>6180 Blundell Road, # 172, Richmond, BC</t>
  </si>
  <si>
    <t>Realacorp Management Ltd. - 6180 Blundell Road</t>
  </si>
  <si>
    <t>Suite 101 - 1867 West Bradway</t>
  </si>
  <si>
    <t>Ann</t>
  </si>
  <si>
    <t>annhedley@realcorp.com</t>
  </si>
  <si>
    <t>22</t>
  </si>
  <si>
    <t>575 - 16th Street, Hollyburn, Vancouver</t>
  </si>
  <si>
    <t>Hollyburn Medical Centre Ltd.</t>
  </si>
  <si>
    <t>SDM Realty Advisors</t>
  </si>
  <si>
    <t>Dale</t>
  </si>
  <si>
    <t>Mumford</t>
  </si>
  <si>
    <t>dalem@sdmrealty.com</t>
  </si>
  <si>
    <t>604 688 5658</t>
  </si>
  <si>
    <t>1200 Lynn Valley Rd. North Vancouver, BC</t>
  </si>
  <si>
    <t>SDM Realty Advisors Ltd.</t>
  </si>
  <si>
    <t>1040 West Georgia Street</t>
  </si>
  <si>
    <t>172 Wilson Street, # 220, Victoria, BC</t>
  </si>
  <si>
    <t>Colliers International</t>
  </si>
  <si>
    <t>Brenda</t>
  </si>
  <si>
    <t>Bolwyn</t>
  </si>
  <si>
    <t>brenda.bolwyn@colliers.com</t>
  </si>
  <si>
    <t>250 388 6454</t>
  </si>
  <si>
    <t>BC0171</t>
  </si>
  <si>
    <t>3150 East 54th St. # 340, Vancouver, BC</t>
  </si>
  <si>
    <t>Bentall Kennedy (Canada) LP</t>
  </si>
  <si>
    <t>935 Marine Drive</t>
  </si>
  <si>
    <t>Maria</t>
  </si>
  <si>
    <t>Walker</t>
  </si>
  <si>
    <t>mwalker@bentall.com</t>
  </si>
  <si>
    <t>604 990 5426</t>
  </si>
  <si>
    <t>7</t>
  </si>
  <si>
    <t>BC0175</t>
  </si>
  <si>
    <t>7130 - 7140 120th St., Surrey, BC</t>
  </si>
  <si>
    <t>Satnam Plaza (2011) Inc.</t>
  </si>
  <si>
    <t>12788 - 76 Avenue</t>
  </si>
  <si>
    <t>Amritpal</t>
  </si>
  <si>
    <t>Gill</t>
  </si>
  <si>
    <t>info@amritech.com</t>
  </si>
  <si>
    <t>604 572 9111</t>
  </si>
  <si>
    <t>705 - 103rd Ave., #2, Daeson Creek, BC</t>
  </si>
  <si>
    <t>Tar Heel Contracting Ltd</t>
  </si>
  <si>
    <t>P.O. Box 22</t>
  </si>
  <si>
    <t>Brad</t>
  </si>
  <si>
    <t>Arndt</t>
  </si>
  <si>
    <t>arndt@pris.bc.ca</t>
  </si>
  <si>
    <t>250-219-1237</t>
  </si>
  <si>
    <t>BC0183</t>
  </si>
  <si>
    <t>2475 Bevan Avenue, Sidney, BC</t>
  </si>
  <si>
    <t>Firm Management Corporation in Trust</t>
  </si>
  <si>
    <t>1931 Mt. Newton X. Road</t>
  </si>
  <si>
    <t>peter</t>
  </si>
  <si>
    <t>Tanner</t>
  </si>
  <si>
    <t>ptanner@firmmanagement.com</t>
  </si>
  <si>
    <t>250 544 2300</t>
  </si>
  <si>
    <t>3001 Gordon Way, # 208, Coquitlam, BC</t>
  </si>
  <si>
    <t>MedRay Imaging</t>
  </si>
  <si>
    <t>3001 Gordon Avenue</t>
  </si>
  <si>
    <t>Randy</t>
  </si>
  <si>
    <t>Webster</t>
  </si>
  <si>
    <t>r.webster@medrayimaging.com</t>
  </si>
  <si>
    <t>604 945 1125</t>
  </si>
  <si>
    <t>BC0186</t>
  </si>
  <si>
    <t>4634 Park Avenue, #105, Terrace, BC</t>
  </si>
  <si>
    <t>Realacorp Management Ltd. - 4634 Park Ave.</t>
  </si>
  <si>
    <t>2401C Millstream Road, Langford, BC</t>
  </si>
  <si>
    <t>GWL Realty Advisors Inc.</t>
  </si>
  <si>
    <t>650 West Georgia Street</t>
  </si>
  <si>
    <t>Santosh</t>
  </si>
  <si>
    <t>Nahal</t>
  </si>
  <si>
    <t>santosh.nahal@gwlra.com</t>
  </si>
  <si>
    <t>604-586-1401</t>
  </si>
  <si>
    <t>2061 West 42nd Ave., Vancouver, BC</t>
  </si>
  <si>
    <t>Colliers International ITF Kerrisdale Station</t>
  </si>
  <si>
    <t>200 Granville Street</t>
  </si>
  <si>
    <t>Vicki</t>
  </si>
  <si>
    <t>Bissett</t>
  </si>
  <si>
    <t>vicki.bissett@colliers.com</t>
  </si>
  <si>
    <t>604 661 0853</t>
  </si>
  <si>
    <t>BC0198</t>
  </si>
  <si>
    <t>408 East Hastings St., Vancouver, BC</t>
  </si>
  <si>
    <t>CT Buddhist Culture Centre Ltd.</t>
  </si>
  <si>
    <t>202 - 402 Dunlevy Avenue</t>
  </si>
  <si>
    <t>Anita</t>
  </si>
  <si>
    <t>Ms.</t>
  </si>
  <si>
    <t>sydchao@yahoo.ca</t>
  </si>
  <si>
    <t>604 255 3113</t>
  </si>
  <si>
    <t>BC0200</t>
  </si>
  <si>
    <t>2419 Bellevue Ave., West Vancouver, BC</t>
  </si>
  <si>
    <t>FirstService Residential</t>
  </si>
  <si>
    <t>200 Granville St.</t>
  </si>
  <si>
    <t>Gregory</t>
  </si>
  <si>
    <t>Almas</t>
  </si>
  <si>
    <t>gregory.almas@fsresidential.com</t>
  </si>
  <si>
    <t>604 648 4452</t>
  </si>
  <si>
    <t>260 - 4th Avenue, Kimberley, BC</t>
  </si>
  <si>
    <t>Kimberley Health Centre Society</t>
  </si>
  <si>
    <t>c/o City Hall</t>
  </si>
  <si>
    <t>Jack</t>
  </si>
  <si>
    <t>Ratcliffe</t>
  </si>
  <si>
    <t>250 427 4281</t>
  </si>
  <si>
    <t>BC0205</t>
  </si>
  <si>
    <t>6451 Buswell Street, Richmond, BC</t>
  </si>
  <si>
    <t>Churchill Holdings Ltd.</t>
  </si>
  <si>
    <t>Andrew</t>
  </si>
  <si>
    <t>Peck</t>
  </si>
  <si>
    <t>apeck@royalpacific.com</t>
  </si>
  <si>
    <t>604 266 8989</t>
  </si>
  <si>
    <t>BC0206</t>
  </si>
  <si>
    <t>#102 - 17760 56th Ave., Surrey, BC</t>
  </si>
  <si>
    <t>Colliers International - Clover Square Village</t>
  </si>
  <si>
    <t>10180 - 101 Street</t>
  </si>
  <si>
    <t>Barry</t>
  </si>
  <si>
    <t>Holmes</t>
  </si>
  <si>
    <t>barry.holmes@colliers.com</t>
  </si>
  <si>
    <t>604 662 2623</t>
  </si>
  <si>
    <t>BC0207</t>
  </si>
  <si>
    <t>#107 - 50 Tenth Street, Nanaimo, BC</t>
  </si>
  <si>
    <t>Boultbee Realty Ltd. - 50 Tenth Street</t>
  </si>
  <si>
    <t>604 661 7152</t>
  </si>
  <si>
    <t>BC0208</t>
  </si>
  <si>
    <t>12080 Nordel Way, Unit 216, Surrey, BC,</t>
  </si>
  <si>
    <t>Boultbee Realty Ltd - Nordel Crossing</t>
  </si>
  <si>
    <t>4480 West Saanich Rd., Victoria, BC</t>
  </si>
  <si>
    <t>Beacon Hill Holdings Ltd.</t>
  </si>
  <si>
    <t>3989 Quadra Street</t>
  </si>
  <si>
    <t>Ellen</t>
  </si>
  <si>
    <t>Gallacher</t>
  </si>
  <si>
    <t>egallacher@hansbraun.com</t>
  </si>
  <si>
    <t>250 727 6333</t>
  </si>
  <si>
    <t>1599 Cliffe Ave., Unit 12, Courtenay, BC</t>
  </si>
  <si>
    <t>Hugh &amp; McKinnon Realty Ltd.</t>
  </si>
  <si>
    <t>14007 - 16th Avenue</t>
  </si>
  <si>
    <t>Edward</t>
  </si>
  <si>
    <t>Tokarczyk</t>
  </si>
  <si>
    <t>edward@hughmckinnon.com</t>
  </si>
  <si>
    <t>604 541 5229</t>
  </si>
  <si>
    <t>BC0212</t>
  </si>
  <si>
    <t>2763 Beverly Street, Duncan, BC</t>
  </si>
  <si>
    <t>Cowichan Town Centre Market Inc.</t>
  </si>
  <si>
    <t>205 - 2763 Beverly Street</t>
  </si>
  <si>
    <t>Burrell</t>
  </si>
  <si>
    <t>Richard</t>
  </si>
  <si>
    <t>250-715-2023</t>
  </si>
  <si>
    <t>BC0213</t>
  </si>
  <si>
    <t>6660 Sooke Road, Sooke, BC</t>
  </si>
  <si>
    <t>Partners REIT</t>
  </si>
  <si>
    <t>661 Burnside Road East</t>
  </si>
  <si>
    <t>Paul</t>
  </si>
  <si>
    <t>Harris</t>
  </si>
  <si>
    <t>paul.harris@partnersreit.com</t>
  </si>
  <si>
    <t>705 725 6020</t>
  </si>
  <si>
    <t>685 Tranquille Rd, Unit 1, Kamloops, BC</t>
  </si>
  <si>
    <t>MCM Real Estate Ltd.</t>
  </si>
  <si>
    <t>Mona</t>
  </si>
  <si>
    <t>Murray</t>
  </si>
  <si>
    <t>mona@mcmrealestate.ca</t>
  </si>
  <si>
    <t>250 372 2277</t>
  </si>
  <si>
    <t>202</t>
  </si>
  <si>
    <t>BC0220</t>
  </si>
  <si>
    <t>3650 Mount Seymour Pkwy., Vancouver, BC</t>
  </si>
  <si>
    <t>Bentall Kennedy (Canada) LP - Parkgate Village</t>
  </si>
  <si>
    <t>mwalker@bentallkennedy.com</t>
  </si>
  <si>
    <t>BC0221</t>
  </si>
  <si>
    <t>1100 Sunshine Coast Hwy., Gibsons, BC</t>
  </si>
  <si>
    <t>Wesbild Holdings Ltd. - Gibsons, BC</t>
  </si>
  <si>
    <t>Park Plaza</t>
  </si>
  <si>
    <t>Kevin</t>
  </si>
  <si>
    <t>Wong</t>
  </si>
  <si>
    <t>kwong@wesbild.com</t>
  </si>
  <si>
    <t>604 694 8825</t>
  </si>
  <si>
    <t>650 South Terminal Ave, #A01106A Nanaimo</t>
  </si>
  <si>
    <t>First Capital (Port Place) Corp.</t>
  </si>
  <si>
    <t>Gerry</t>
  </si>
  <si>
    <t>Boutin</t>
  </si>
  <si>
    <t>Gerry.Boutin@fcrms.ca</t>
  </si>
  <si>
    <t>BC0223</t>
  </si>
  <si>
    <t>566 Artisan Lane #203, Bowen Island, BC</t>
  </si>
  <si>
    <t>Dr. Susanne Christine Schloegl Inc.</t>
  </si>
  <si>
    <t>566 Artisan Lane</t>
  </si>
  <si>
    <t>Schloegl</t>
  </si>
  <si>
    <t>Dr.</t>
  </si>
  <si>
    <t>604 947 9986</t>
  </si>
  <si>
    <t>Phlebotomy</t>
  </si>
  <si>
    <t>2980 Island Hwy.N #460, Nanaimo, BC</t>
  </si>
  <si>
    <t>Castera Investments Inc.</t>
  </si>
  <si>
    <t>Jeremy</t>
  </si>
  <si>
    <t>Desrochers</t>
  </si>
  <si>
    <t>jeremy@groupedenux.com</t>
  </si>
  <si>
    <t>BC0225</t>
  </si>
  <si>
    <t>3949 Maple Way, Port Alberni, BC</t>
  </si>
  <si>
    <t>Dr. Damian White Inc/Dr. Marc Puts Inc.</t>
  </si>
  <si>
    <t>3949 Maple Way</t>
  </si>
  <si>
    <t>Damian</t>
  </si>
  <si>
    <t>Dr. White</t>
  </si>
  <si>
    <t>dadewhite@shaw.ca</t>
  </si>
  <si>
    <t>250 723 3581</t>
  </si>
  <si>
    <t>5531 Inlet Ave., Sechelt, BC</t>
  </si>
  <si>
    <t>Laxer Holdings Ltd.</t>
  </si>
  <si>
    <t>Box 156</t>
  </si>
  <si>
    <t>Carey</t>
  </si>
  <si>
    <t>Threlkeld</t>
  </si>
  <si>
    <t>careyt@telus.net</t>
  </si>
  <si>
    <t>604 741 8147</t>
  </si>
  <si>
    <t>4366-4368 West 10th, Ave, Vancouver, BC</t>
  </si>
  <si>
    <t>Major Management Ltd.</t>
  </si>
  <si>
    <t>1335 West 57th Avenue</t>
  </si>
  <si>
    <t>Tam</t>
  </si>
  <si>
    <t>mmgmtltd@gmail.com</t>
  </si>
  <si>
    <t>604 263 6561</t>
  </si>
  <si>
    <t>BC0228</t>
  </si>
  <si>
    <t>845 Marine Drive, North Vancouver, BC</t>
  </si>
  <si>
    <t>NewWest Enterprise Property Group</t>
  </si>
  <si>
    <t>830 West Pender Street</t>
  </si>
  <si>
    <t>Cathy</t>
  </si>
  <si>
    <t>Mihailides</t>
  </si>
  <si>
    <t>Cmihailides@nwe.ca</t>
  </si>
  <si>
    <t>604 683 7133</t>
  </si>
  <si>
    <t>691 Church Street, Gabriola Island, BC</t>
  </si>
  <si>
    <t>Gabriola Health Care Foundation</t>
  </si>
  <si>
    <t>PO Box 295</t>
  </si>
  <si>
    <t>Konrad</t>
  </si>
  <si>
    <t>Mauch</t>
  </si>
  <si>
    <t>konrad.mauch@gmail.com</t>
  </si>
  <si>
    <t>250 247 9577</t>
  </si>
  <si>
    <t>#2-3874 Squilax-Anglemont Rd.</t>
  </si>
  <si>
    <t>North Shuswap Health Centre Society</t>
  </si>
  <si>
    <t>3874 Squilax-Anglemont Road</t>
  </si>
  <si>
    <t>Jay</t>
  </si>
  <si>
    <t>Simpson</t>
  </si>
  <si>
    <t>jay@infinetstrategies.com</t>
  </si>
  <si>
    <t>250 955 0924</t>
  </si>
  <si>
    <t>BC0231</t>
  </si>
  <si>
    <t>582 Goldstream Ave., Victoria</t>
  </si>
  <si>
    <t>Avison Young Property Management (BC) Inc.</t>
  </si>
  <si>
    <t>2900-1055 W. Georgia St.</t>
  </si>
  <si>
    <t>Bradshaw</t>
  </si>
  <si>
    <t>Bradshaw@avisonyoung.com</t>
  </si>
  <si>
    <t>604 647-5083</t>
  </si>
  <si>
    <t>489 Alberni Hwy, Parksville, BC</t>
  </si>
  <si>
    <t>Vancouver Island Health Authority</t>
  </si>
  <si>
    <t>1952 Bay Street</t>
  </si>
  <si>
    <t>Sullivan</t>
  </si>
  <si>
    <t>chris.sullivan@viha.ca</t>
  </si>
  <si>
    <t>250 370 8912</t>
  </si>
  <si>
    <t>777 Hornby Street, # 835, Vancouver, BC</t>
  </si>
  <si>
    <t>Bentall Kennedy (Canada) LP ITF 2748355 Canada Inc.</t>
  </si>
  <si>
    <t>505 Burrard Street</t>
  </si>
  <si>
    <t>Cole</t>
  </si>
  <si>
    <t>mcole@bentall.com</t>
  </si>
  <si>
    <t>604 661-5670</t>
  </si>
  <si>
    <t>2184 West Broadway, Vancouver</t>
  </si>
  <si>
    <t>International Horizon Lands Ltd.</t>
  </si>
  <si>
    <t>The Property Management Group</t>
  </si>
  <si>
    <t>irene.leung@tpmgonline.ca</t>
  </si>
  <si>
    <t>604 742-3464</t>
  </si>
  <si>
    <t>BC0279</t>
  </si>
  <si>
    <t>1194 Lansdowne Dr., Coquitlam, B.C.</t>
  </si>
  <si>
    <t>Harvest Developments Ltd.</t>
  </si>
  <si>
    <t>Jesse</t>
  </si>
  <si>
    <t>604 866 6030</t>
  </si>
  <si>
    <t xml:space="preserve">PSC </t>
  </si>
  <si>
    <t>465 Merecroft Road, Campbell River, BC</t>
  </si>
  <si>
    <t>Merecroft Village Partnership</t>
  </si>
  <si>
    <t>1260 Shoppers Row</t>
  </si>
  <si>
    <t>Ian</t>
  </si>
  <si>
    <t>Legge</t>
  </si>
  <si>
    <t>rfp@ravenforest.com</t>
  </si>
  <si>
    <t>250 287 2215</t>
  </si>
  <si>
    <t>BC0287</t>
  </si>
  <si>
    <t>3749 Shelbourne St., #124, Victoria, BC</t>
  </si>
  <si>
    <t>Falcon Ridge Marketing Corp.,</t>
  </si>
  <si>
    <t>Tri-Eagle Development Corp.</t>
  </si>
  <si>
    <t>250 477 2414</t>
  </si>
  <si>
    <t>BC0288</t>
  </si>
  <si>
    <t>#608-8236 Eagle Landing Parkway, Chilliw</t>
  </si>
  <si>
    <t>Gulf Pacific Property Management Ltd. - 8236 Eagle Landing Parkway</t>
  </si>
  <si>
    <t>351 Bewicke Avenue</t>
  </si>
  <si>
    <t>BC0289</t>
  </si>
  <si>
    <t>6010 Brickyard Road, Nanaimo, BC,</t>
  </si>
  <si>
    <t>DTZ Nanaimo Real Estate Ltd.</t>
  </si>
  <si>
    <t>155 Skinner Street</t>
  </si>
  <si>
    <t>Rae</t>
  </si>
  <si>
    <t>Tuck</t>
  </si>
  <si>
    <t>rae.tuck@dtznanaimo.com</t>
  </si>
  <si>
    <t>1-800-769-5757</t>
  </si>
  <si>
    <t>26310 Fraser Highway, Aldergrove, BC</t>
  </si>
  <si>
    <t>Manulife Canadian Property Portfolio</t>
  </si>
  <si>
    <t>MDC Property Services (BC) Ltd.</t>
  </si>
  <si>
    <t>Daniella</t>
  </si>
  <si>
    <t>Leck</t>
  </si>
  <si>
    <t>info@mdcproperties.ca</t>
  </si>
  <si>
    <t>604 678 0244</t>
  </si>
  <si>
    <t>BC0292</t>
  </si>
  <si>
    <t>370 Davis Road., Ladysmith, BC</t>
  </si>
  <si>
    <t>Riser Realty Services</t>
  </si>
  <si>
    <t>957 Langford Parkway</t>
  </si>
  <si>
    <t>Deb</t>
  </si>
  <si>
    <t>Moore</t>
  </si>
  <si>
    <t>service@riserrealty.com</t>
  </si>
  <si>
    <t>250 999 9876</t>
  </si>
  <si>
    <t>BC0274</t>
  </si>
  <si>
    <t>PSC / BCBIO</t>
  </si>
  <si>
    <t>1590 Cedar Hill X Road, Victoria BC</t>
  </si>
  <si>
    <t>330-4092 west Saanich Road</t>
  </si>
  <si>
    <t>Travis</t>
  </si>
  <si>
    <t>travis@trieagle.ca</t>
  </si>
  <si>
    <t>250-477-2414</t>
  </si>
  <si>
    <t>LANDLORD CONTACT REPORT</t>
  </si>
  <si>
    <t>Address Line2</t>
  </si>
  <si>
    <t>Address Line3</t>
  </si>
  <si>
    <t>City</t>
  </si>
  <si>
    <t>Zip Code</t>
  </si>
  <si>
    <t>AB0001</t>
  </si>
  <si>
    <t>32 Royal Vista Drive N.W., Calgary AB</t>
  </si>
  <si>
    <t>Maple Reinders Inc.</t>
  </si>
  <si>
    <t>32 Royal Vista Drive NW</t>
  </si>
  <si>
    <t>Unit #205</t>
  </si>
  <si>
    <t>Calgary</t>
  </si>
  <si>
    <t>AB</t>
  </si>
  <si>
    <t>T3R 0H9</t>
  </si>
  <si>
    <t>Severyns</t>
  </si>
  <si>
    <t>brendas@maple.ca</t>
  </si>
  <si>
    <t>403 216-1455</t>
  </si>
  <si>
    <t>CML / RMA</t>
  </si>
  <si>
    <t>Nanaimo</t>
  </si>
  <si>
    <t>V9R  3G7</t>
  </si>
  <si>
    <t>Burnaby</t>
  </si>
  <si>
    <t>V5C  1H1</t>
  </si>
  <si>
    <t>Vancouver</t>
  </si>
  <si>
    <t>V6J 4W1</t>
  </si>
  <si>
    <t>Suite 220</t>
  </si>
  <si>
    <t>Delta</t>
  </si>
  <si>
    <t>V4L 2A2</t>
  </si>
  <si>
    <t>Surrey</t>
  </si>
  <si>
    <t>V4A  6E7</t>
  </si>
  <si>
    <t>Suite 1701</t>
  </si>
  <si>
    <t>V6E 3Z3</t>
  </si>
  <si>
    <t>Box 700</t>
  </si>
  <si>
    <t>Ladysmith</t>
  </si>
  <si>
    <t>V9G 1A5</t>
  </si>
  <si>
    <t>Nelson</t>
  </si>
  <si>
    <t>V1L  4G5</t>
  </si>
  <si>
    <t>Suite 21</t>
  </si>
  <si>
    <t>Quesnel</t>
  </si>
  <si>
    <t>V2J 5J5</t>
  </si>
  <si>
    <t>Suite 206</t>
  </si>
  <si>
    <t>Prince George</t>
  </si>
  <si>
    <t>V2L 2L5</t>
  </si>
  <si>
    <t>V6H 1G7</t>
  </si>
  <si>
    <t>Suite 319 - North Tower</t>
  </si>
  <si>
    <t>V5Z 2M9</t>
  </si>
  <si>
    <t>V6Z 2L4</t>
  </si>
  <si>
    <t>Richmond</t>
  </si>
  <si>
    <t>Suite # 201</t>
  </si>
  <si>
    <t>V6J 1X6</t>
  </si>
  <si>
    <t>V6P 5A3</t>
  </si>
  <si>
    <t>453 W. 12th Avenue</t>
  </si>
  <si>
    <t>V5Y 1V4</t>
  </si>
  <si>
    <t>Suite 1110</t>
  </si>
  <si>
    <t>Victoria</t>
  </si>
  <si>
    <t>V8W 2E1</t>
  </si>
  <si>
    <t>9th Floor</t>
  </si>
  <si>
    <t>V5Z  1K5</t>
  </si>
  <si>
    <t>Suite 110</t>
  </si>
  <si>
    <t>V9B 3T4</t>
  </si>
  <si>
    <t>Suite 1700</t>
  </si>
  <si>
    <t>V6E 2Y3</t>
  </si>
  <si>
    <t>Suite 705</t>
  </si>
  <si>
    <t>V6Y 2B2</t>
  </si>
  <si>
    <t>V8R 1H9</t>
  </si>
  <si>
    <t>Suite 3</t>
  </si>
  <si>
    <t>V8T  5E4</t>
  </si>
  <si>
    <t>Suite 2650</t>
  </si>
  <si>
    <t>V6B 4N8</t>
  </si>
  <si>
    <t>BC0110</t>
  </si>
  <si>
    <t>3100 Beta Ave., Storage, Burnaby, BC</t>
  </si>
  <si>
    <t>Investors Group Trust Co. Ltd. as Trustee for Investors Real Property Fund</t>
  </si>
  <si>
    <t>4595 Canada Way</t>
  </si>
  <si>
    <t>V5G 1J9</t>
  </si>
  <si>
    <t>Mann</t>
  </si>
  <si>
    <t>Jillian</t>
  </si>
  <si>
    <t>jillian.mann@gwira.com</t>
  </si>
  <si>
    <t>604 713 7724</t>
  </si>
  <si>
    <t>Storage</t>
  </si>
  <si>
    <t>301-609 West Hastings Street</t>
  </si>
  <si>
    <t>V6B 4W4</t>
  </si>
  <si>
    <t>Suite 101</t>
  </si>
  <si>
    <t>Suite 100</t>
  </si>
  <si>
    <t>V6X 2T9</t>
  </si>
  <si>
    <t>Suite 201</t>
  </si>
  <si>
    <t>Duncan</t>
  </si>
  <si>
    <t>V9L 1T6</t>
  </si>
  <si>
    <t>3rd Floor</t>
  </si>
  <si>
    <t>V8W 1P8</t>
  </si>
  <si>
    <t>V9A 3Y9</t>
  </si>
  <si>
    <t>Suite 403</t>
  </si>
  <si>
    <t>Kamloops</t>
  </si>
  <si>
    <t>V2C  6G6</t>
  </si>
  <si>
    <t>Suite 315</t>
  </si>
  <si>
    <t>V2C  5T1</t>
  </si>
  <si>
    <t>V8C 1S5</t>
  </si>
  <si>
    <t>P.O. Box 130</t>
  </si>
  <si>
    <t>Qualicum Beach</t>
  </si>
  <si>
    <t>V9K 1S7</t>
  </si>
  <si>
    <t>V6M 4B9</t>
  </si>
  <si>
    <t>V9E 2B1</t>
  </si>
  <si>
    <t>V8R 5G4</t>
  </si>
  <si>
    <t>Suite 505</t>
  </si>
  <si>
    <t>V8W 3G3</t>
  </si>
  <si>
    <t>The Grosvenor Building</t>
  </si>
  <si>
    <t>1040 West Georgia, Suite 1850</t>
  </si>
  <si>
    <t>Vancouver,</t>
  </si>
  <si>
    <t>V6E 4H1</t>
  </si>
  <si>
    <t>Suite 1850</t>
  </si>
  <si>
    <t xml:space="preserve"> Vancouver</t>
  </si>
  <si>
    <t>Suite 305</t>
  </si>
  <si>
    <t>North Vancouver</t>
  </si>
  <si>
    <t>V7P 1S3</t>
  </si>
  <si>
    <t>V3W 1S9</t>
  </si>
  <si>
    <t>BC0179</t>
  </si>
  <si>
    <t>4464 Markham St., Victoria, BC</t>
  </si>
  <si>
    <t>University of Victoria Properties Investments Inc.</t>
  </si>
  <si>
    <t>obo Vancouver Island Technology Park Trust</t>
  </si>
  <si>
    <t>Suite  2201</t>
  </si>
  <si>
    <t>V8Z 7X8</t>
  </si>
  <si>
    <t>Sikora</t>
  </si>
  <si>
    <t>gsikora@vitp.ca</t>
  </si>
  <si>
    <t>250 483 3208</t>
  </si>
  <si>
    <t>Lab / Admin</t>
  </si>
  <si>
    <t>Pouce Coupe</t>
  </si>
  <si>
    <t>V0C 2C0</t>
  </si>
  <si>
    <t>Suite # 200</t>
  </si>
  <si>
    <t>Saanichton</t>
  </si>
  <si>
    <t>V8M 2A9</t>
  </si>
  <si>
    <t>Coquitlam</t>
  </si>
  <si>
    <t>V3C 2K7</t>
  </si>
  <si>
    <t>Suite 1600</t>
  </si>
  <si>
    <t>PO Box 11505</t>
  </si>
  <si>
    <t>V6B 4N7</t>
  </si>
  <si>
    <t>15th Floor, Granville Square</t>
  </si>
  <si>
    <t>V6C 2R6</t>
  </si>
  <si>
    <t>V6A 3A7</t>
  </si>
  <si>
    <t>Suite 700</t>
  </si>
  <si>
    <t>V6C 1S4</t>
  </si>
  <si>
    <t>340 Spokane Street</t>
  </si>
  <si>
    <t>Kimberley</t>
  </si>
  <si>
    <t>V1A 2E8</t>
  </si>
  <si>
    <t>Suite 210</t>
  </si>
  <si>
    <t>V6Y 3T8</t>
  </si>
  <si>
    <t>Suite 3555</t>
  </si>
  <si>
    <t>Edmonton</t>
  </si>
  <si>
    <t>T5J 3S4</t>
  </si>
  <si>
    <t>Suite 401B</t>
  </si>
  <si>
    <t>V5X  1J8</t>
  </si>
  <si>
    <t>White Rock</t>
  </si>
  <si>
    <t>V4A 1P9</t>
  </si>
  <si>
    <t>V9L 6X2</t>
  </si>
  <si>
    <t>Suite 202</t>
  </si>
  <si>
    <t>V8T 2X9</t>
  </si>
  <si>
    <t>BC0215</t>
  </si>
  <si>
    <t>Siconsigns</t>
  </si>
  <si>
    <t>6165 Hwy 17A</t>
  </si>
  <si>
    <t>Suite 180</t>
  </si>
  <si>
    <t>V4K 5B8</t>
  </si>
  <si>
    <t>Tom</t>
  </si>
  <si>
    <t>Armitage</t>
  </si>
  <si>
    <t>back9@telus.net</t>
  </si>
  <si>
    <t>1 800 571 5511</t>
  </si>
  <si>
    <t>306</t>
  </si>
  <si>
    <t>Signage</t>
  </si>
  <si>
    <t>BC0216</t>
  </si>
  <si>
    <t>1641 Hillside Ave., Victoria, BC</t>
  </si>
  <si>
    <t>Pattison Sign Group - 1641 Hillside</t>
  </si>
  <si>
    <t>555 Ellesmere Rd.</t>
  </si>
  <si>
    <t>Toronto</t>
  </si>
  <si>
    <t>M1R 4E8</t>
  </si>
  <si>
    <t>Fladgate</t>
  </si>
  <si>
    <t>dfladgate@pattisonsign.com</t>
  </si>
  <si>
    <t>1 800 663 3737</t>
  </si>
  <si>
    <t>666 Burrard Street</t>
  </si>
  <si>
    <t>V6C 2X8</t>
  </si>
  <si>
    <t>Siute 203</t>
  </si>
  <si>
    <t>P.O. Box 159</t>
  </si>
  <si>
    <t>Bowan Island</t>
  </si>
  <si>
    <t>V0N 1G0</t>
  </si>
  <si>
    <t>V8T 5E4</t>
  </si>
  <si>
    <t>Unit 109</t>
  </si>
  <si>
    <t>Port Alberni</t>
  </si>
  <si>
    <t>V9Y 0B2</t>
  </si>
  <si>
    <t>Medeira Park</t>
  </si>
  <si>
    <t>V0N 2H0</t>
  </si>
  <si>
    <t>Rear Office Unit</t>
  </si>
  <si>
    <t>V6P 1S7</t>
  </si>
  <si>
    <t>Suite 280</t>
  </si>
  <si>
    <t>V6C 1J8</t>
  </si>
  <si>
    <t>Gabriola Island</t>
  </si>
  <si>
    <t>V0R 1X0</t>
  </si>
  <si>
    <t>Unit 2</t>
  </si>
  <si>
    <t>Scotch Creek</t>
  </si>
  <si>
    <t>V0E 1M5</t>
  </si>
  <si>
    <t>PO Box 11109 Royal Centre</t>
  </si>
  <si>
    <t>V6E 3P3</t>
  </si>
  <si>
    <t>Attention: Manager, Capital Planning Department</t>
  </si>
  <si>
    <t>V8R 1J8</t>
  </si>
  <si>
    <t>Suite 770</t>
  </si>
  <si>
    <t>V7X 1M4</t>
  </si>
  <si>
    <t>BC0236</t>
  </si>
  <si>
    <t>625 5th Ave., New Westminster</t>
  </si>
  <si>
    <t>Blue Sky Properties Inc.</t>
  </si>
  <si>
    <t>838 W. Hastings St.</t>
  </si>
  <si>
    <t>Suite 1201</t>
  </si>
  <si>
    <t>V6C 0A6</t>
  </si>
  <si>
    <t>BC0237</t>
  </si>
  <si>
    <t>1338 West Broadway, Vancouver, B.C.</t>
  </si>
  <si>
    <t>S&amp;U Homes</t>
  </si>
  <si>
    <t>1338 West Broadway</t>
  </si>
  <si>
    <t>Suite 338</t>
  </si>
  <si>
    <t>V6H 1H2</t>
  </si>
  <si>
    <t>Annie</t>
  </si>
  <si>
    <t>Rempel</t>
  </si>
  <si>
    <t>s&amp;uhomes@telus.net</t>
  </si>
  <si>
    <t>604 733 3532</t>
  </si>
  <si>
    <t>BC0238</t>
  </si>
  <si>
    <t>227 Nelson's Crescent, New Westminster,</t>
  </si>
  <si>
    <t>The Brewery District Investments Ltd.</t>
  </si>
  <si>
    <t>Wesgroup Service Centre</t>
  </si>
  <si>
    <t>1055 Dunsmuir St.</t>
  </si>
  <si>
    <t>Suite 910</t>
  </si>
  <si>
    <t>V7X 1L3</t>
  </si>
  <si>
    <t>Steve</t>
  </si>
  <si>
    <t>Kochhar</t>
  </si>
  <si>
    <t>skochhar@wesgroup.ca</t>
  </si>
  <si>
    <t>604 648 1800</t>
  </si>
  <si>
    <t>BC0239</t>
  </si>
  <si>
    <t>Newton Park Centre Inc. &amp; Properties Plus LTD.</t>
  </si>
  <si>
    <t>Warrington PCI Management</t>
  </si>
  <si>
    <t>1030 West Georgia St.</t>
  </si>
  <si>
    <t>BC0240</t>
  </si>
  <si>
    <t>19653 Willowbrook Dr., Langley, B.C.</t>
  </si>
  <si>
    <t>Berezan Management (B.C) LTD. C/O 615809 B.C. LTD.</t>
  </si>
  <si>
    <t>Berezan Management (B.C.) LTD.</t>
  </si>
  <si>
    <t>8399 - 200th St.</t>
  </si>
  <si>
    <t>Langley</t>
  </si>
  <si>
    <t>V2Y 3C2</t>
  </si>
  <si>
    <t>BC0241</t>
  </si>
  <si>
    <t>16088 84th Ave., Surrey, B.C.</t>
  </si>
  <si>
    <t>Lark Enterprises Ltd.,Hazelwood Enterprises Inc., &amp; Khalrain Enterprises Ltd.</t>
  </si>
  <si>
    <t>Lark Group</t>
  </si>
  <si>
    <t>13737 - 96th Ave.</t>
  </si>
  <si>
    <t>Suite 1500</t>
  </si>
  <si>
    <t>V3V 0C6</t>
  </si>
  <si>
    <t>BC0242</t>
  </si>
  <si>
    <t>No.168 Sail View Ventures Ltd.</t>
  </si>
  <si>
    <t>BC0243</t>
  </si>
  <si>
    <t>Hanford Enterprises Ltd.</t>
  </si>
  <si>
    <t>250 E. 10th Ave.</t>
  </si>
  <si>
    <t>V5T 1Z5</t>
  </si>
  <si>
    <t>BC0244</t>
  </si>
  <si>
    <t>4012 E. Hastings St., Vancouver, B.C.</t>
  </si>
  <si>
    <t>Wescana Pharmacy Ltd.</t>
  </si>
  <si>
    <t>Paragon Realty Corporation</t>
  </si>
  <si>
    <t>5550 - 152nd St.</t>
  </si>
  <si>
    <t>V3S 5J9</t>
  </si>
  <si>
    <t>BC0245</t>
  </si>
  <si>
    <t>William Atkinson, Julie Atkinson &amp; Sharon Lim</t>
  </si>
  <si>
    <t>12465 Knotts St.</t>
  </si>
  <si>
    <t>Maple Ridge</t>
  </si>
  <si>
    <t>V2X 8P6</t>
  </si>
  <si>
    <t>BC0246</t>
  </si>
  <si>
    <t>20999 - 88th Ave., Langley, B.C.</t>
  </si>
  <si>
    <t>Jim Pattison Developments Ltd.</t>
  </si>
  <si>
    <t>Prime Professional Services Inc.</t>
  </si>
  <si>
    <t>PO Box 91832</t>
  </si>
  <si>
    <t>West Vancouver</t>
  </si>
  <si>
    <t>V7V 4S1</t>
  </si>
  <si>
    <t>BC0247</t>
  </si>
  <si>
    <t>15252 - 32nd Ave., Surrey, B.C.</t>
  </si>
  <si>
    <t>Morgan Creek Corporate Centre Inc.</t>
  </si>
  <si>
    <t>Hugh &amp; McKinnon Realty Ltd. in trust for Morgan Creek Corporate Centre</t>
  </si>
  <si>
    <t>14007 - 16th Ave.</t>
  </si>
  <si>
    <t>BC0248</t>
  </si>
  <si>
    <t>Fairchild Developments Ltd.</t>
  </si>
  <si>
    <t>Aberdeen Property Management Ltd.</t>
  </si>
  <si>
    <t>4400 Hazelbridge Way</t>
  </si>
  <si>
    <t>Suite 130</t>
  </si>
  <si>
    <t>V6X 3R8</t>
  </si>
  <si>
    <t>Luther</t>
  </si>
  <si>
    <t>Lau</t>
  </si>
  <si>
    <t>luther@aberdeenpml.com</t>
  </si>
  <si>
    <t>604 273 1234</t>
  </si>
  <si>
    <t>BC0250</t>
  </si>
  <si>
    <t>Allan Ross Olson &amp; Darryl Lloyd Wallis</t>
  </si>
  <si>
    <t>Allan &amp; Elaine Olson, Darryl &amp; Annie Wallis</t>
  </si>
  <si>
    <t>6980 Beechwood Place</t>
  </si>
  <si>
    <t>Agassiz</t>
  </si>
  <si>
    <t>V0M 1A3</t>
  </si>
  <si>
    <t>BC0251</t>
  </si>
  <si>
    <t>11743 - 224th St., Maple Ridge, B.C.</t>
  </si>
  <si>
    <t>Haney Health Science Centre</t>
  </si>
  <si>
    <t>Haney Health Holdings Ltd.</t>
  </si>
  <si>
    <t>9411 Pinewell Crescent</t>
  </si>
  <si>
    <t>V7A 2C5</t>
  </si>
  <si>
    <t>Mohamud</t>
  </si>
  <si>
    <t>Karim</t>
  </si>
  <si>
    <t>makarim@telus.net</t>
  </si>
  <si>
    <t>604 562 2796</t>
  </si>
  <si>
    <t>BC0252</t>
  </si>
  <si>
    <t>972 West King Edward Ave., Vancouver, B.</t>
  </si>
  <si>
    <t>King Edward Holdings Ltd.</t>
  </si>
  <si>
    <t>King Edward Holdings Ltd., c/o Vancouver Management Ltd.</t>
  </si>
  <si>
    <t>2025 W 42nd Ave.</t>
  </si>
  <si>
    <t>Suite 205</t>
  </si>
  <si>
    <t>V6M 2B5</t>
  </si>
  <si>
    <t>BC0253</t>
  </si>
  <si>
    <t>6411 Nelson Avenue, Burnaby, B.C.</t>
  </si>
  <si>
    <t>Kingsway Holdings Ltd.</t>
  </si>
  <si>
    <t>W.P.J. McCarthy &amp; Co. Ltd.</t>
  </si>
  <si>
    <t>4980 Kingsway</t>
  </si>
  <si>
    <t>V5H 4K7</t>
  </si>
  <si>
    <t>BC0254</t>
  </si>
  <si>
    <t>BC0256</t>
  </si>
  <si>
    <t>6345 - 120th St., Delta, B.C.</t>
  </si>
  <si>
    <t>Sun Village Investments Inc.</t>
  </si>
  <si>
    <t>Sun Village Investment Inc.</t>
  </si>
  <si>
    <t>6345 - 120th St.</t>
  </si>
  <si>
    <t>Suite 127</t>
  </si>
  <si>
    <t>V4E 2A6</t>
  </si>
  <si>
    <t>BC0257</t>
  </si>
  <si>
    <t>Simon Avenue Professional Building</t>
  </si>
  <si>
    <t>2845 Crucikshank Street</t>
  </si>
  <si>
    <t>Suite 301</t>
  </si>
  <si>
    <t>Abbotsford</t>
  </si>
  <si>
    <t>V2T 6X1</t>
  </si>
  <si>
    <t>BC0258</t>
  </si>
  <si>
    <t>S - 8188 Holdings Ltd.</t>
  </si>
  <si>
    <t>Bentall Kennedy</t>
  </si>
  <si>
    <t>505 Burrard St.</t>
  </si>
  <si>
    <t>BC0259</t>
  </si>
  <si>
    <t>10166 King George Boulevard, Surrey, B.C</t>
  </si>
  <si>
    <t>10166 KG Holdings Ltd., &amp; Arnold Silber</t>
  </si>
  <si>
    <t>Value Industries Ltd.</t>
  </si>
  <si>
    <t>1245 West Broadway</t>
  </si>
  <si>
    <t>Suite 400</t>
  </si>
  <si>
    <t>BC0260</t>
  </si>
  <si>
    <t>2624 St. Johns St., Port Moody, B.C.</t>
  </si>
  <si>
    <t>Fossalta Holdings Inc.</t>
  </si>
  <si>
    <t>950 Kensington Ave.</t>
  </si>
  <si>
    <t>V5B 4B7</t>
  </si>
  <si>
    <t>BC0261</t>
  </si>
  <si>
    <t>9656 King George Boulevard, Surrey, B.C.</t>
  </si>
  <si>
    <t>Dales Properties Ltd.</t>
  </si>
  <si>
    <t>2678 Crescent Drive</t>
  </si>
  <si>
    <t>V4A 3K3</t>
  </si>
  <si>
    <t>BC0263</t>
  </si>
  <si>
    <t>1750 E. 10th Ave., Vancouver, B.C.</t>
  </si>
  <si>
    <t>9th Floor, 999 West Broadway</t>
  </si>
  <si>
    <t>V5Z 1K5</t>
  </si>
  <si>
    <t>BC0264</t>
  </si>
  <si>
    <t>5503 - 206th St., Langley, B.C.</t>
  </si>
  <si>
    <t>1029488 B.C. Ltd.</t>
  </si>
  <si>
    <t>20436 Fraser Hwy.</t>
  </si>
  <si>
    <t>Unit 207</t>
  </si>
  <si>
    <t>V3A 4G2</t>
  </si>
  <si>
    <t>BC0265</t>
  </si>
  <si>
    <t>2825 Clearbrook Rd., Abbotsford, B.C.</t>
  </si>
  <si>
    <t>Clearbrook Golden Age Society</t>
  </si>
  <si>
    <t>2825 Clearbrook Rd.</t>
  </si>
  <si>
    <t>V2T 6S3</t>
  </si>
  <si>
    <t>BC0266</t>
  </si>
  <si>
    <t>15321 - 16th Ave., Surrey, B.C.</t>
  </si>
  <si>
    <t>Abby Lane Retirement Residence Inc.</t>
  </si>
  <si>
    <t>15321 - 16th Ave.</t>
  </si>
  <si>
    <t>V4A 1R6</t>
  </si>
  <si>
    <t>BC0268</t>
  </si>
  <si>
    <t>2151 McCallum Rd., Abbotsford, B.C.</t>
  </si>
  <si>
    <t>McCallum Terrace Holdings Ltd.</t>
  </si>
  <si>
    <t>2151 McCallum Rd.</t>
  </si>
  <si>
    <t>V2S 3N8</t>
  </si>
  <si>
    <t>BC0269</t>
  </si>
  <si>
    <t>7343 Hurd St., Mission, B.C.</t>
  </si>
  <si>
    <t>2521 Grosvenor Place</t>
  </si>
  <si>
    <t>V2S 6R5</t>
  </si>
  <si>
    <t>BC0270</t>
  </si>
  <si>
    <t>435 North Rd., Coquitlam, B.C.</t>
  </si>
  <si>
    <t>Choice Properties Limited Partnership (435 North Rd)</t>
  </si>
  <si>
    <t>800 McBride Blvd</t>
  </si>
  <si>
    <t>New Westminster</t>
  </si>
  <si>
    <t>V3L 2B8</t>
  </si>
  <si>
    <t>BC0271</t>
  </si>
  <si>
    <t>20103 - 40th Ave., Langley, B.C.</t>
  </si>
  <si>
    <t xml:space="preserve"> Wen Chen Lee &amp; Pao-San Lee</t>
  </si>
  <si>
    <t>Belmont Centre</t>
  </si>
  <si>
    <t>21018 - 79A Ave.</t>
  </si>
  <si>
    <t>V2Y 0H6</t>
  </si>
  <si>
    <t>BC0272</t>
  </si>
  <si>
    <t>7485 - 130th St., Surrey, B.C.</t>
  </si>
  <si>
    <t>Redstone Enterprises Ltd.</t>
  </si>
  <si>
    <t>7495 - 132nd St.</t>
  </si>
  <si>
    <t>Suite 1015</t>
  </si>
  <si>
    <t>V3W 1J8</t>
  </si>
  <si>
    <t>LBS</t>
  </si>
  <si>
    <t>Hans</t>
  </si>
  <si>
    <t>Petersen</t>
  </si>
  <si>
    <t>hans.petersen@rsgrp.ca</t>
  </si>
  <si>
    <t>604 590 1321</t>
  </si>
  <si>
    <t>LAB / Admin BCBIO</t>
  </si>
  <si>
    <t>BC0273</t>
  </si>
  <si>
    <t>15300 - 105th Ave., Surrey, B.C.</t>
  </si>
  <si>
    <t>Hanin Investment (Guildford) Limited Partnership</t>
  </si>
  <si>
    <t>Realacorp Management Ltd.</t>
  </si>
  <si>
    <t>Double QQ Enterprises Inc.</t>
  </si>
  <si>
    <t>Double QQ Enterprised Inc.</t>
  </si>
  <si>
    <t>9221 - 160A. St.</t>
  </si>
  <si>
    <t>V4N 3E2</t>
  </si>
  <si>
    <t>BC0275</t>
  </si>
  <si>
    <t>8425 - 120th St., Surrey, B.C.</t>
  </si>
  <si>
    <t>Strata Plan NW2346</t>
  </si>
  <si>
    <t>Stratawest Management Ltd.</t>
  </si>
  <si>
    <t>224 West Esplanade</t>
  </si>
  <si>
    <t>V7M 1A4</t>
  </si>
  <si>
    <t>wsasaki@stratawest.com</t>
  </si>
  <si>
    <t>604 904 9595</t>
  </si>
  <si>
    <t>BC0276</t>
  </si>
  <si>
    <t>9200 Mary St., Chilliwack, B.C.</t>
  </si>
  <si>
    <t>Strata Plan NW1063</t>
  </si>
  <si>
    <t>HomeLife Glenayre Realty Chilliwack Ltd.</t>
  </si>
  <si>
    <t>45269 Keith Wilson Rd.</t>
  </si>
  <si>
    <t>Chilliwack</t>
  </si>
  <si>
    <t>V2R 5S1</t>
  </si>
  <si>
    <t>Caitlin</t>
  </si>
  <si>
    <t>cpreston@hgpmc.com</t>
  </si>
  <si>
    <t>604 858 7368</t>
  </si>
  <si>
    <t>BC0278</t>
  </si>
  <si>
    <t>9014 152nd St., Surrey, B.C.</t>
  </si>
  <si>
    <t>Fleetwood Center Investments Ltd. c/o Yenik Realty Ltd.</t>
  </si>
  <si>
    <t>Yenik Realty Ltd.</t>
  </si>
  <si>
    <t>2695 Granville St.</t>
  </si>
  <si>
    <t>Suite #502</t>
  </si>
  <si>
    <t>V6H 3H4</t>
  </si>
  <si>
    <t>1542 Prairie Ave.</t>
  </si>
  <si>
    <t>Port Coquitlam</t>
  </si>
  <si>
    <t>V3B 1T4</t>
  </si>
  <si>
    <t>BC0280</t>
  </si>
  <si>
    <t>136 Davie St., Vancouver, B.C.</t>
  </si>
  <si>
    <t>554104 B.C. LTD.</t>
  </si>
  <si>
    <t>Rancho Management Services (BC) Ltd. c/o 554104 B.C. Limited</t>
  </si>
  <si>
    <t>1190 Hornby St.</t>
  </si>
  <si>
    <t>V6Z 2K5</t>
  </si>
  <si>
    <t>BC0281</t>
  </si>
  <si>
    <t>1465 Salisbury Ave., Port Coquitlam, B.C</t>
  </si>
  <si>
    <t>Owners Of Strata Plan NW2035</t>
  </si>
  <si>
    <t>1465 Salisbury Ave.</t>
  </si>
  <si>
    <t>V3B 6J3</t>
  </si>
  <si>
    <t>Rick</t>
  </si>
  <si>
    <t>payne_law@telus.net</t>
  </si>
  <si>
    <t>604 944 4115</t>
  </si>
  <si>
    <t>BC0282</t>
  </si>
  <si>
    <t>7885 6th Ave., Burnaby, B.C.</t>
  </si>
  <si>
    <t>Neeto Ventures Inc.</t>
  </si>
  <si>
    <t>Neeto Ventures Ltd.</t>
  </si>
  <si>
    <t>7885 6th St.</t>
  </si>
  <si>
    <t>V3N 3N4</t>
  </si>
  <si>
    <t>BC0283</t>
  </si>
  <si>
    <t>7455 130th St., Surrey, B.C.</t>
  </si>
  <si>
    <t>Cam Coady Building</t>
  </si>
  <si>
    <t>LifeLabs Facilities Department</t>
  </si>
  <si>
    <t>7455 130th St.</t>
  </si>
  <si>
    <t>V3W 1H8</t>
  </si>
  <si>
    <t>Wheeler</t>
  </si>
  <si>
    <t>Kevin.Wheeler@lifelabs.com</t>
  </si>
  <si>
    <t>604 412 4463</t>
  </si>
  <si>
    <t>BC0284</t>
  </si>
  <si>
    <t>3700 Gilmore Way, Burnaby, BC</t>
  </si>
  <si>
    <t>Willmore Holdings Ltd.</t>
  </si>
  <si>
    <t>701 West Georgia Street</t>
  </si>
  <si>
    <t>Suite 520</t>
  </si>
  <si>
    <t>V7Y 1A1</t>
  </si>
  <si>
    <t>Doug</t>
  </si>
  <si>
    <t>Dixon</t>
  </si>
  <si>
    <t>doug_dixon@telus.net</t>
  </si>
  <si>
    <t>604 687 2554</t>
  </si>
  <si>
    <t>Parking</t>
  </si>
  <si>
    <t>Unit 211</t>
  </si>
  <si>
    <t>Campbell River</t>
  </si>
  <si>
    <t>V9W 2C8</t>
  </si>
  <si>
    <t>4392 West Saanich Road, #330</t>
  </si>
  <si>
    <t>V8Z 3E9</t>
  </si>
  <si>
    <t>V7M 3E9</t>
  </si>
  <si>
    <t>V9R 5E8</t>
  </si>
  <si>
    <t>1085 Homer Street</t>
  </si>
  <si>
    <t>Suite 320</t>
  </si>
  <si>
    <t>V6B 1J4</t>
  </si>
  <si>
    <t>BC0291</t>
  </si>
  <si>
    <t>13120 76th Avenue, Surrey, B.C.</t>
  </si>
  <si>
    <t>Rajani</t>
  </si>
  <si>
    <t>Zahir</t>
  </si>
  <si>
    <t>zahir@rsgrp.ca</t>
  </si>
  <si>
    <t>604 596 5622</t>
  </si>
  <si>
    <t>V8Z 7E7</t>
  </si>
  <si>
    <t>BC0293</t>
  </si>
  <si>
    <t>BC0294</t>
  </si>
  <si>
    <t>3680 Gilmore Way, Burnaby, B.C.</t>
  </si>
  <si>
    <t>BRL</t>
  </si>
  <si>
    <t>2736 E. Hastings St.</t>
  </si>
  <si>
    <t>BC0441</t>
  </si>
  <si>
    <t>8171 Cook Road, Richmond, B.C. V6Y 3T8</t>
  </si>
  <si>
    <t>5549 206th Street, Langley, B.C. V3A 2C6</t>
  </si>
  <si>
    <t>• Meets Expectation : At minimum, Recycling Program includes Plastic, Cardboard and Mixed Paper  (Lifelabs Meets Expectations)</t>
  </si>
  <si>
    <t>• No Recycling Program: Recycling program does not include any of the following: Plastic, Glass, Cardboard, Organics, Metal Cans or Mixed Paper</t>
  </si>
  <si>
    <t>• Partial: Recycling program implements at least one of the following: Plastic, Cardboard, Organics, Metal Cans, Glass, or Mixed Paper</t>
  </si>
  <si>
    <t>No Recycling Program</t>
  </si>
  <si>
    <t xml:space="preserve">No Recycling Program </t>
  </si>
  <si>
    <t>Y</t>
  </si>
  <si>
    <t>Column1</t>
  </si>
  <si>
    <t>Note: extremely busy at this time of the year and will respond at the first opportunity.</t>
  </si>
  <si>
    <t>Notes:</t>
  </si>
  <si>
    <t>Location closed</t>
  </si>
  <si>
    <t>Sharon Rozendaal</t>
  </si>
  <si>
    <t>Dr. Damian White</t>
  </si>
  <si>
    <t>Barry Holmes</t>
  </si>
  <si>
    <t>Tom Hiatt</t>
  </si>
  <si>
    <t>750 West Broadway #701</t>
  </si>
  <si>
    <t>Vancouver, B.C. V5Z 1H6</t>
  </si>
  <si>
    <t>Maple Way Port #106</t>
  </si>
  <si>
    <t>Port Alberni, B.C. V9Y 0B2</t>
  </si>
  <si>
    <t>#101-17760 56th Avenue</t>
  </si>
  <si>
    <t>Ste 118 - 1100 Sunshine Coast Hwy</t>
  </si>
  <si>
    <t>Surrey, B.C. V3S 1C7</t>
  </si>
  <si>
    <t>Gibsons, B.C. V0N 1V0</t>
  </si>
  <si>
    <t>1997-1998</t>
  </si>
  <si>
    <t>Plastic, Cardboard, Metal Can</t>
  </si>
  <si>
    <t>Cathy Mihailides (McCor Management)</t>
  </si>
  <si>
    <t>845 Marine Drive</t>
  </si>
  <si>
    <t>North Vancouver, B.C. V7P 3K6</t>
  </si>
  <si>
    <t>Glass Bottles, Cardboard, Metal Can, Organic Disposals</t>
  </si>
  <si>
    <t>Recycling program for cardboard and paper since 2011.  Organic waste since July 2015.</t>
  </si>
  <si>
    <t>Lifelabs</t>
  </si>
  <si>
    <t>info@gulfpacific.ca</t>
  </si>
  <si>
    <t>Camille Poon</t>
  </si>
  <si>
    <t>6540 Fraser St</t>
  </si>
  <si>
    <t>Plastic, Glass Bottles, Mixed Paper , Cardboard, Metal Can, Organic Disposals</t>
  </si>
  <si>
    <t>Vancouver, B.C. V5X 3T3</t>
  </si>
  <si>
    <t>karen@kapmanagement.com; camille@kapmanagement.com</t>
  </si>
  <si>
    <t>Lynn Bastien</t>
  </si>
  <si>
    <t>370 Davis Road</t>
  </si>
  <si>
    <t>Ladysmith, B.C. V9G 1T9</t>
  </si>
  <si>
    <t>Karin Fung</t>
  </si>
  <si>
    <t>215-1916 Lonsdale</t>
  </si>
  <si>
    <t>1916 Lonsdale Ave, North Vancouver, BC</t>
  </si>
  <si>
    <t>North Vancouver, B.C. V7M 2K1</t>
  </si>
  <si>
    <t>ON0022</t>
  </si>
  <si>
    <t>22 Richmond Street, Richmond Hill ON</t>
  </si>
  <si>
    <t>Rock Hill Design and Build Inc.</t>
  </si>
  <si>
    <t>10212 Yonge Street</t>
  </si>
  <si>
    <t>Richmond Hill</t>
  </si>
  <si>
    <t>L4C 3B6</t>
  </si>
  <si>
    <t>Mason</t>
  </si>
  <si>
    <t>Sanglakhi</t>
  </si>
  <si>
    <t>mason500@yahoo.ca</t>
  </si>
  <si>
    <t>416-875-5016</t>
  </si>
  <si>
    <t>ON0038</t>
  </si>
  <si>
    <t>15017 Yonge Street, #106</t>
  </si>
  <si>
    <t>Aurora Medical Centre Inc.</t>
  </si>
  <si>
    <t>Aurora</t>
  </si>
  <si>
    <t>L4G  1M5</t>
  </si>
  <si>
    <t>Fiona</t>
  </si>
  <si>
    <t>Fraser</t>
  </si>
  <si>
    <t>905 841 0731</t>
  </si>
  <si>
    <t>ON0040</t>
  </si>
  <si>
    <t>190 Cundles Road, Barrie</t>
  </si>
  <si>
    <t>767841 Ontario Limited</t>
  </si>
  <si>
    <t>Melchior Management Corp.</t>
  </si>
  <si>
    <t>299 Lakeshore Drive</t>
  </si>
  <si>
    <t>Suite 300</t>
  </si>
  <si>
    <t>Barrie</t>
  </si>
  <si>
    <t>L4N 7Y9</t>
  </si>
  <si>
    <t>Val</t>
  </si>
  <si>
    <t>Bloom</t>
  </si>
  <si>
    <t>vbloom@mmcorp.ca</t>
  </si>
  <si>
    <t>705 726 6706</t>
  </si>
  <si>
    <t>ON0069</t>
  </si>
  <si>
    <t>206 James Street S, # 103, Hamilton, ON</t>
  </si>
  <si>
    <t>Dominion Management</t>
  </si>
  <si>
    <t>200 James Street South, #202</t>
  </si>
  <si>
    <t>Hamilton</t>
  </si>
  <si>
    <t>L8P  3A9</t>
  </si>
  <si>
    <t>Valorie</t>
  </si>
  <si>
    <t>Dyck</t>
  </si>
  <si>
    <t>905 522 3357</t>
  </si>
  <si>
    <t>ON0084</t>
  </si>
  <si>
    <t>450 Central Avenue, #211, London, ON</t>
  </si>
  <si>
    <t>London Medical-Dental Building Limited</t>
  </si>
  <si>
    <t>450 Central Avenue</t>
  </si>
  <si>
    <t>Suite 209</t>
  </si>
  <si>
    <t>London</t>
  </si>
  <si>
    <t>N6B 2E8</t>
  </si>
  <si>
    <t>Laskey</t>
  </si>
  <si>
    <t>519 663 2207</t>
  </si>
  <si>
    <t>ON0090</t>
  </si>
  <si>
    <t>279 Wharncliffe Road, #B25, London, ON</t>
  </si>
  <si>
    <t>2404751 Ontario Inc.</t>
  </si>
  <si>
    <t>39 Pleasant Blvd.</t>
  </si>
  <si>
    <t>Suite 200</t>
  </si>
  <si>
    <t>M4T 1K2</t>
  </si>
  <si>
    <t>Tim</t>
  </si>
  <si>
    <t>Kelly</t>
  </si>
  <si>
    <t>admin@wharncliffehealthcentre.ca</t>
  </si>
  <si>
    <t>226 236 4870</t>
  </si>
  <si>
    <t>2300 Eglinton Avenue W., #G03, Miss. ON</t>
  </si>
  <si>
    <t>PAR-Med Property Services Inc. - 2300 Eglinton</t>
  </si>
  <si>
    <t>370 Queens Quay West</t>
  </si>
  <si>
    <t>M5V 3J3</t>
  </si>
  <si>
    <t>Evans</t>
  </si>
  <si>
    <t>416 364 5959</t>
  </si>
  <si>
    <t>426</t>
  </si>
  <si>
    <t>ON0103</t>
  </si>
  <si>
    <t>10 Waterloo Street, New Hamburg, ON</t>
  </si>
  <si>
    <t>1543548 Ontario Inc.</t>
  </si>
  <si>
    <t>3121 King Street East</t>
  </si>
  <si>
    <t>Kitchener</t>
  </si>
  <si>
    <t>N2A 1B1</t>
  </si>
  <si>
    <t>Willy</t>
  </si>
  <si>
    <t>Heffner</t>
  </si>
  <si>
    <t>wheffner@heffner.ca</t>
  </si>
  <si>
    <t>519 748 9666</t>
  </si>
  <si>
    <t>ON0104</t>
  </si>
  <si>
    <t>679 Davis Drive, Newmarket, ON</t>
  </si>
  <si>
    <t>The Torgan Group - 679 Davis Drive</t>
  </si>
  <si>
    <t>4950 Yonge Street</t>
  </si>
  <si>
    <t>Suite 1010</t>
  </si>
  <si>
    <t>M2N 6K1</t>
  </si>
  <si>
    <t>Edwin</t>
  </si>
  <si>
    <t>Buonanno</t>
  </si>
  <si>
    <t>416 221 9348</t>
  </si>
  <si>
    <t>307</t>
  </si>
  <si>
    <t>ON0111</t>
  </si>
  <si>
    <t>1060 Speers Road, #120, Oakville, ON</t>
  </si>
  <si>
    <t>PAR-MED Property Services Inc.</t>
  </si>
  <si>
    <t>Kim</t>
  </si>
  <si>
    <t>kmccarthy@par-med.com</t>
  </si>
  <si>
    <t>430</t>
  </si>
  <si>
    <t>ON0112</t>
  </si>
  <si>
    <t>1235 Trafalgar Road, #B08, Oakville, ON,</t>
  </si>
  <si>
    <t>Northwest Healthcare Properties  - 1235 Trafalgar</t>
  </si>
  <si>
    <t>180 Dundas Street West</t>
  </si>
  <si>
    <t>Suite 1900</t>
  </si>
  <si>
    <t>M5G 1Z8</t>
  </si>
  <si>
    <t>Anna</t>
  </si>
  <si>
    <t>Montalbano</t>
  </si>
  <si>
    <t>anna.montalbano@nwhp.ca</t>
  </si>
  <si>
    <t>416 648 9694</t>
  </si>
  <si>
    <t>ON0113</t>
  </si>
  <si>
    <t>16 O'Brien Street, #104, Orillia, ON</t>
  </si>
  <si>
    <t>The Torgan Group  - 16 O'Brien Street</t>
  </si>
  <si>
    <t>Aaron</t>
  </si>
  <si>
    <t>Goldenberg</t>
  </si>
  <si>
    <t>aaron@torgan.com</t>
  </si>
  <si>
    <t>321</t>
  </si>
  <si>
    <t>ON0135</t>
  </si>
  <si>
    <t>250 Harding Blvd,  Richmond Hill, ON</t>
  </si>
  <si>
    <t>The Torgan Group - 250 Harding</t>
  </si>
  <si>
    <t>Madison Centre</t>
  </si>
  <si>
    <t>ON0147</t>
  </si>
  <si>
    <t>1371 Neilson Road, #108 , Toronto, ON</t>
  </si>
  <si>
    <t>Par-Med Property Services Inc. - 1371 Neilson</t>
  </si>
  <si>
    <t>Geoff</t>
  </si>
  <si>
    <t>Miller</t>
  </si>
  <si>
    <t>gmiller@par-med.com</t>
  </si>
  <si>
    <t>405</t>
  </si>
  <si>
    <t>ON0192</t>
  </si>
  <si>
    <t>2425 Bloor St.W., #104, Toronto, ON</t>
  </si>
  <si>
    <t>PAR-Med Property Services Inc. - 2425 Bloor</t>
  </si>
  <si>
    <t>ON0195</t>
  </si>
  <si>
    <t>2917 Bloor Street W. BSMT, Toronto, ON</t>
  </si>
  <si>
    <t>Cetus Incorporated</t>
  </si>
  <si>
    <t>2917 Bloor St. West St.</t>
  </si>
  <si>
    <t>Suite 25</t>
  </si>
  <si>
    <t>M8X 1B4</t>
  </si>
  <si>
    <t>Susanne</t>
  </si>
  <si>
    <t xml:space="preserve"> Gilbert</t>
  </si>
  <si>
    <t>cetuskingsway@rogers.com</t>
  </si>
  <si>
    <t>416 236 7878</t>
  </si>
  <si>
    <t>ON0196</t>
  </si>
  <si>
    <t>3101 Bloor Street W., # 406, Toronto, ON</t>
  </si>
  <si>
    <t>The Torgan  Group - 3101 Bloor</t>
  </si>
  <si>
    <t>ON0203</t>
  </si>
  <si>
    <t>586 Eglinton Ave. E., Toronto, ON</t>
  </si>
  <si>
    <t>Hannah Property Management Ltd</t>
  </si>
  <si>
    <t>40 Wynford Drive</t>
  </si>
  <si>
    <t>Suite 316</t>
  </si>
  <si>
    <t>M3C 1J5</t>
  </si>
  <si>
    <t>Gerald</t>
  </si>
  <si>
    <t>Rozario</t>
  </si>
  <si>
    <t>416 484 7786</t>
  </si>
  <si>
    <t>ext. 104</t>
  </si>
  <si>
    <t>ON0208</t>
  </si>
  <si>
    <t>2221 Keele Street, #104, Toronto, ON</t>
  </si>
  <si>
    <t>Par-Med Property Services Inc. - 2221 Keele</t>
  </si>
  <si>
    <t>ON0210</t>
  </si>
  <si>
    <t>250 Lawrence Ave. W, Toronto, ON</t>
  </si>
  <si>
    <t>2418832 Ontario Inc. c/o Graywood Developments Ltd.</t>
  </si>
  <si>
    <t>200 King Street West</t>
  </si>
  <si>
    <t>Suite 1602, Box 42</t>
  </si>
  <si>
    <t>M5H 3T4</t>
  </si>
  <si>
    <t>Barbara</t>
  </si>
  <si>
    <t>Fowler</t>
  </si>
  <si>
    <t>bfowler@graywoodgroup.com</t>
  </si>
  <si>
    <t>416 599 1930</t>
  </si>
  <si>
    <t>ON0213</t>
  </si>
  <si>
    <t>491 Lawrence Avenue W, Toronto, ON</t>
  </si>
  <si>
    <t>Firm Capital Properties Inc.</t>
  </si>
  <si>
    <t>163 Cartwright Ave.</t>
  </si>
  <si>
    <t>M6A 1V5</t>
  </si>
  <si>
    <t>Angie</t>
  </si>
  <si>
    <t>Colomvakos</t>
  </si>
  <si>
    <t>acolomvakos@firmcapital .com</t>
  </si>
  <si>
    <t>416 635 0221</t>
  </si>
  <si>
    <t>256</t>
  </si>
  <si>
    <t>ON0215</t>
  </si>
  <si>
    <t>1333 Sheppard Ave E. #147/149, Toronto</t>
  </si>
  <si>
    <t>NorthWest Healthcare Prop., 1333 Sheppard</t>
  </si>
  <si>
    <t>Alexandra</t>
  </si>
  <si>
    <t>Chapman</t>
  </si>
  <si>
    <t>alexandra.macleod@nwhp.ca</t>
  </si>
  <si>
    <t>416 366 2000</t>
  </si>
  <si>
    <t>4103</t>
  </si>
  <si>
    <t>ON0216</t>
  </si>
  <si>
    <t>30 King Street, Trenton ON</t>
  </si>
  <si>
    <t>Applewood Realty Corp.</t>
  </si>
  <si>
    <t>P.O. Box 22040</t>
  </si>
  <si>
    <t>Belleville</t>
  </si>
  <si>
    <t>K8N 5V7</t>
  </si>
  <si>
    <t>Mark</t>
  </si>
  <si>
    <t>Almeida</t>
  </si>
  <si>
    <t>mark.almeida@sympatico.ca</t>
  </si>
  <si>
    <t>613-813-0348</t>
  </si>
  <si>
    <t>ON0218</t>
  </si>
  <si>
    <t>65 University Avenue East, Waterloo, ON</t>
  </si>
  <si>
    <t>PM365 Inc.</t>
  </si>
  <si>
    <t>18 Fischer-Hallman Road North</t>
  </si>
  <si>
    <t>Waterloo</t>
  </si>
  <si>
    <t>N2L 2X3</t>
  </si>
  <si>
    <t>George</t>
  </si>
  <si>
    <t>ON0224</t>
  </si>
  <si>
    <t>945 Third Ave. East, Owen Sound, ON</t>
  </si>
  <si>
    <t>2159417 Ontario Ltd</t>
  </si>
  <si>
    <t>Professional Centre Administration Office</t>
  </si>
  <si>
    <t>945 Third Avenue East</t>
  </si>
  <si>
    <t>Unit 18B</t>
  </si>
  <si>
    <t>Owen Sound</t>
  </si>
  <si>
    <t>N4K 2K8</t>
  </si>
  <si>
    <t>McKague</t>
  </si>
  <si>
    <t>ospcentre@rogers.com</t>
  </si>
  <si>
    <t>519 376-7552</t>
  </si>
  <si>
    <t>ON0225</t>
  </si>
  <si>
    <t>185 Inkerman Street, East, Listowel, ON</t>
  </si>
  <si>
    <t>Listowel Memorial Hospital</t>
  </si>
  <si>
    <t>255 Elizabeth Street East</t>
  </si>
  <si>
    <t>Listowel</t>
  </si>
  <si>
    <t>N4W 2P5</t>
  </si>
  <si>
    <t>ON0236</t>
  </si>
  <si>
    <t>955 Queen St. E., Sault Ste. Marie, ON</t>
  </si>
  <si>
    <t>Fleming &amp; Smith (1990) Ltd.</t>
  </si>
  <si>
    <t>688 Second Line East</t>
  </si>
  <si>
    <t>Sault Ste. Marie</t>
  </si>
  <si>
    <t>P6B 4K3</t>
  </si>
  <si>
    <t>McLeod</t>
  </si>
  <si>
    <t>rjmc@fsrental.ca</t>
  </si>
  <si>
    <t>705 949 5400</t>
  </si>
  <si>
    <t>ON0251</t>
  </si>
  <si>
    <t>342 Erie Street, # 106, Stratford, ON</t>
  </si>
  <si>
    <t>Mohawk Medical Management Corp. - 342 Erie</t>
  </si>
  <si>
    <t>161 Bay Street, 27th Floor</t>
  </si>
  <si>
    <t>M5J 2S1</t>
  </si>
  <si>
    <t>nfalcomer@mohawkmedical.ca</t>
  </si>
  <si>
    <t>ON0276</t>
  </si>
  <si>
    <t>820 McConnell Avenue, #121, Cornwall, ON</t>
  </si>
  <si>
    <t>McConnell Medical Centre Holdings Ltd.</t>
  </si>
  <si>
    <t>820 McConnell Avenue</t>
  </si>
  <si>
    <t>Suite 126</t>
  </si>
  <si>
    <t>Cornwall</t>
  </si>
  <si>
    <t>K6H  4M4</t>
  </si>
  <si>
    <t>Sheila</t>
  </si>
  <si>
    <t>Gatien</t>
  </si>
  <si>
    <t>sheila.gatien@gmail.com</t>
  </si>
  <si>
    <t>613 577 9989</t>
  </si>
  <si>
    <t>ON0312</t>
  </si>
  <si>
    <t>389 Main Street, Picton, ON</t>
  </si>
  <si>
    <t>Picton Clinic Corporation</t>
  </si>
  <si>
    <t>8 Hill Street</t>
  </si>
  <si>
    <t>Picton</t>
  </si>
  <si>
    <t>K0K  2T0</t>
  </si>
  <si>
    <t>Dr. Janikowski</t>
  </si>
  <si>
    <t>andrew.janikowski@sympatico.ca</t>
  </si>
  <si>
    <t>613 969 6798</t>
  </si>
  <si>
    <t>ON0329</t>
  </si>
  <si>
    <t>564 Belmont Avenue W, Kitchener, ON</t>
  </si>
  <si>
    <t>Infinity Management Group</t>
  </si>
  <si>
    <t>50 Westmount Road North</t>
  </si>
  <si>
    <t>PO Box 22005 Westmount PO</t>
  </si>
  <si>
    <t>N2L 6J7</t>
  </si>
  <si>
    <t>519 893 7184</t>
  </si>
  <si>
    <t>227</t>
  </si>
  <si>
    <t>ON0369</t>
  </si>
  <si>
    <t>3155 Harvester Road, Burlington. ON</t>
  </si>
  <si>
    <t>PAR-Med Property Services Inc. - 3155 Harvester</t>
  </si>
  <si>
    <t>Palin</t>
  </si>
  <si>
    <t>apalin@par-med.com</t>
  </si>
  <si>
    <t>402</t>
  </si>
  <si>
    <t>ON0371</t>
  </si>
  <si>
    <t>857 Grand Avenue W., # 106, Chatham, ON</t>
  </si>
  <si>
    <t>Northwest Healthcare Properties - 857 Grand</t>
  </si>
  <si>
    <t>Nadia</t>
  </si>
  <si>
    <t>Hindi</t>
  </si>
  <si>
    <t>nadia.hindi@nwhp.ca</t>
  </si>
  <si>
    <t>519 258 3523</t>
  </si>
  <si>
    <t>ON0395</t>
  </si>
  <si>
    <t>180 Parsons Street, # 39, Alliston, ON</t>
  </si>
  <si>
    <t>V. Swarbreck, E. Gray, G. Hendrick</t>
  </si>
  <si>
    <t>180 Parsons Road</t>
  </si>
  <si>
    <t>Suite 40</t>
  </si>
  <si>
    <t>Alliston</t>
  </si>
  <si>
    <t>L9R 1E8</t>
  </si>
  <si>
    <t>Office</t>
  </si>
  <si>
    <t>Doctors</t>
  </si>
  <si>
    <t>705 435 5633</t>
  </si>
  <si>
    <t>15 Mountain Ave. South, Stoney Creek</t>
  </si>
  <si>
    <t>Stoney Creek Health Sciences Building Ltd.</t>
  </si>
  <si>
    <t>15 Mountain Ave. South</t>
  </si>
  <si>
    <t>Ste. 201</t>
  </si>
  <si>
    <t>Stoney Creek</t>
  </si>
  <si>
    <t>L8G  2V6</t>
  </si>
  <si>
    <t>Jennifer</t>
  </si>
  <si>
    <t>Pawczuk</t>
  </si>
  <si>
    <t>Other</t>
  </si>
  <si>
    <t>289 456 3447</t>
  </si>
  <si>
    <t>ON0406</t>
  </si>
  <si>
    <t>222A Catharine Street, Port Colborne, ON</t>
  </si>
  <si>
    <t>Benefit Partners Inc.</t>
  </si>
  <si>
    <t>222 Catharine Street</t>
  </si>
  <si>
    <t>Port Colborne</t>
  </si>
  <si>
    <t>L3K 4K8</t>
  </si>
  <si>
    <t>Millar</t>
  </si>
  <si>
    <t>dan.millar@benefitpartners.com</t>
  </si>
  <si>
    <t>905.834.9228</t>
  </si>
  <si>
    <t>1</t>
  </si>
  <si>
    <t>ON0449</t>
  </si>
  <si>
    <t>93 Notre Dame St., Sudbury, ON</t>
  </si>
  <si>
    <t>Luxor Management Inc.</t>
  </si>
  <si>
    <t>128 Pine St.,</t>
  </si>
  <si>
    <t>Sudbury</t>
  </si>
  <si>
    <t>P3C 1X3</t>
  </si>
  <si>
    <t>Rhealt</t>
  </si>
  <si>
    <t>robertr@mgre.ca</t>
  </si>
  <si>
    <t>705 673 3000</t>
  </si>
  <si>
    <t>ON0452</t>
  </si>
  <si>
    <t>190 Sherway Drive #108, Toronto, ON</t>
  </si>
  <si>
    <t>Par-Med Property Services Inc. - 190 Sherway</t>
  </si>
  <si>
    <t>emichael@par-med.com</t>
  </si>
  <si>
    <t>ON0492</t>
  </si>
  <si>
    <t>245 Pelham Road, #203, St. Catherines</t>
  </si>
  <si>
    <t>The Torgan Group - 245 Pelham Road</t>
  </si>
  <si>
    <t>ON0550</t>
  </si>
  <si>
    <t>400 The East Mall, Toronto, ON</t>
  </si>
  <si>
    <t>Beckington Holdings Limited</t>
  </si>
  <si>
    <t>400 The East Mall</t>
  </si>
  <si>
    <t>M9B  3Z9</t>
  </si>
  <si>
    <t>Peter</t>
  </si>
  <si>
    <t>Dr. Goldfarb</t>
  </si>
  <si>
    <t>drpg@rogers.com</t>
  </si>
  <si>
    <t>275</t>
  </si>
  <si>
    <t>ON0551</t>
  </si>
  <si>
    <t>5293 Highway 7, # 203, Markham, ON</t>
  </si>
  <si>
    <t>Tolomi Construction Ltd.</t>
  </si>
  <si>
    <t>1911 Eglinton Avenue East</t>
  </si>
  <si>
    <t>Scarborough</t>
  </si>
  <si>
    <t>M1L  2L6</t>
  </si>
  <si>
    <t>Kaye</t>
  </si>
  <si>
    <t>irenekaye@hotmail.com</t>
  </si>
  <si>
    <t>416 759 4448</t>
  </si>
  <si>
    <t>ON0553</t>
  </si>
  <si>
    <t>6855 Meadowvale Town Ctr Circle, Miss.</t>
  </si>
  <si>
    <t>Jim Natterer Investments Inc.</t>
  </si>
  <si>
    <t>2176 Torquay Mews</t>
  </si>
  <si>
    <t>Mississauga</t>
  </si>
  <si>
    <t>L5N  2M6</t>
  </si>
  <si>
    <t>Flannagan</t>
  </si>
  <si>
    <t>rflannagan@conceptcomputer.com</t>
  </si>
  <si>
    <t>416 795 7539</t>
  </si>
  <si>
    <t>ON0557</t>
  </si>
  <si>
    <t>4949 Bathurst Street, Toronto, ON</t>
  </si>
  <si>
    <t>Daughton Property Management Inc.</t>
  </si>
  <si>
    <t>873079 5th Line EHS</t>
  </si>
  <si>
    <t>R.R. #5</t>
  </si>
  <si>
    <t>Orangeville</t>
  </si>
  <si>
    <t>L9W  2Z2</t>
  </si>
  <si>
    <t>Daughton</t>
  </si>
  <si>
    <t>daughton@sympatico.ca</t>
  </si>
  <si>
    <t>888 458 5563</t>
  </si>
  <si>
    <t>ON0562</t>
  </si>
  <si>
    <t>4800 Leslie St., LL, Toronto, ON</t>
  </si>
  <si>
    <t>The Torgan Group - 4800 Lesie St.</t>
  </si>
  <si>
    <t>ON0586</t>
  </si>
  <si>
    <t>55 Queen St. E., # 121, Toronto ON</t>
  </si>
  <si>
    <t>Ontim Investments Ltd.</t>
  </si>
  <si>
    <t>55 Queen Street E.</t>
  </si>
  <si>
    <t>M5C 1R6</t>
  </si>
  <si>
    <t>Pat</t>
  </si>
  <si>
    <t>Merriam</t>
  </si>
  <si>
    <t>416 364 1287</t>
  </si>
  <si>
    <t>ON0588</t>
  </si>
  <si>
    <t>8077 Islington Ave. N. Woodbridge ON</t>
  </si>
  <si>
    <t>Delso Investments Inc.</t>
  </si>
  <si>
    <t>7200 Tranmere Drive</t>
  </si>
  <si>
    <t>Unit B</t>
  </si>
  <si>
    <t>L5S 1L6</t>
  </si>
  <si>
    <t>Joan</t>
  </si>
  <si>
    <t>Deschene</t>
  </si>
  <si>
    <t>joand@delso.on.ca</t>
  </si>
  <si>
    <t>905 676 0066</t>
  </si>
  <si>
    <t>ON0591</t>
  </si>
  <si>
    <t>140 Oxford Street E., London, ON</t>
  </si>
  <si>
    <t>Northwest Heathcare Properties, 140 Oxford</t>
  </si>
  <si>
    <t>1 888 366 6947</t>
  </si>
  <si>
    <t>4562</t>
  </si>
  <si>
    <t>ON0623</t>
  </si>
  <si>
    <t>1200 Markham Road, #121, Toronto, ON</t>
  </si>
  <si>
    <t>B. Goldberger Holdings Limited</t>
  </si>
  <si>
    <t>2100 Ellesmere Ave.</t>
  </si>
  <si>
    <t>M1H  3B7</t>
  </si>
  <si>
    <t>Larry</t>
  </si>
  <si>
    <t>Goldberger</t>
  </si>
  <si>
    <t>416 431 9622</t>
  </si>
  <si>
    <t>ON0905</t>
  </si>
  <si>
    <t>707 Charlotte Street, Peterborough, ON</t>
  </si>
  <si>
    <t>Medical Centre Holdings (Peterborough) Limited</t>
  </si>
  <si>
    <t>707 Charlotte Street</t>
  </si>
  <si>
    <t>Peterborough</t>
  </si>
  <si>
    <t>K9J  7B3</t>
  </si>
  <si>
    <t>Gordon</t>
  </si>
  <si>
    <t>Co-op</t>
  </si>
  <si>
    <t>705 743 6222</t>
  </si>
  <si>
    <t>ON0981</t>
  </si>
  <si>
    <t>145 Queenston Street, St. Catharines, ON</t>
  </si>
  <si>
    <t>1434236 Ontario Inc.</t>
  </si>
  <si>
    <t>c/o Internet Commercial Realty Inc.</t>
  </si>
  <si>
    <t>4 Queen Street</t>
  </si>
  <si>
    <t>St. Catharines</t>
  </si>
  <si>
    <t>L2R 6Z4</t>
  </si>
  <si>
    <t>Raz</t>
  </si>
  <si>
    <t>Majumder</t>
  </si>
  <si>
    <t>905 988 1800</t>
  </si>
  <si>
    <t>ON0988</t>
  </si>
  <si>
    <t>4421 Queen Street, Niagara Falls, ON</t>
  </si>
  <si>
    <t>2121534 Ontario Limited</t>
  </si>
  <si>
    <t>c/o Queen Street Pharmacy</t>
  </si>
  <si>
    <t>4421 Queen Street</t>
  </si>
  <si>
    <t>Niagara Falls</t>
  </si>
  <si>
    <t>L2E 2L2</t>
  </si>
  <si>
    <t>Medhat</t>
  </si>
  <si>
    <t>Ibrahim</t>
  </si>
  <si>
    <t>info@queenstreetpharmacy.com</t>
  </si>
  <si>
    <t>905 354 5604</t>
  </si>
  <si>
    <t>ON1034</t>
  </si>
  <si>
    <t>121 Wellington St.W, Barrie ON</t>
  </si>
  <si>
    <t>Firm Capital Property &amp; Realty Asset Management</t>
  </si>
  <si>
    <t>1244 Caledonia Road</t>
  </si>
  <si>
    <t>M6A 2X5</t>
  </si>
  <si>
    <t>Pruss</t>
  </si>
  <si>
    <t>dpruss@firmcapital.com</t>
  </si>
  <si>
    <t>254</t>
  </si>
  <si>
    <t>ON1314</t>
  </si>
  <si>
    <t>45 Wolsley Street , Kenora, ON</t>
  </si>
  <si>
    <t>Kenora Health Care Centre</t>
  </si>
  <si>
    <t>45 Wolsley Street</t>
  </si>
  <si>
    <t>Kenora</t>
  </si>
  <si>
    <t>P9N  3W7</t>
  </si>
  <si>
    <t>Warren</t>
  </si>
  <si>
    <t>Spencer</t>
  </si>
  <si>
    <t>wmspencer@kmts.ca</t>
  </si>
  <si>
    <t>1 807 547 2663</t>
  </si>
  <si>
    <t>ON1331</t>
  </si>
  <si>
    <t>658 Danforth Ave., #207, Toronto, ON</t>
  </si>
  <si>
    <t>Sterling Karamar Property Management</t>
  </si>
  <si>
    <t>53 Links Road</t>
  </si>
  <si>
    <t>M2P 1T7</t>
  </si>
  <si>
    <t>ON1335</t>
  </si>
  <si>
    <t>1 Belton Blvd., #103, St. Catharines, ON</t>
  </si>
  <si>
    <t>Glenridge Medical Building Limited</t>
  </si>
  <si>
    <t>131 Cushman Road</t>
  </si>
  <si>
    <t>Unit 1</t>
  </si>
  <si>
    <t>L2M 6T5</t>
  </si>
  <si>
    <t>Mary</t>
  </si>
  <si>
    <t>Gaiser</t>
  </si>
  <si>
    <t>905 688 2241</t>
  </si>
  <si>
    <t>ON1347</t>
  </si>
  <si>
    <t>1A Princess Anne Drive, Georgetown, ON</t>
  </si>
  <si>
    <t>Georgetown Medical Centre Ltd.</t>
  </si>
  <si>
    <t>c/o North Halton Holdings Inc.</t>
  </si>
  <si>
    <t>P.O. Box 132</t>
  </si>
  <si>
    <t>Georgetown</t>
  </si>
  <si>
    <t>L7G  4T1</t>
  </si>
  <si>
    <t>Syl</t>
  </si>
  <si>
    <t>Carle</t>
  </si>
  <si>
    <t>syl.carle@northhaltongroup.com</t>
  </si>
  <si>
    <t>416 305 9901</t>
  </si>
  <si>
    <t>ON1600</t>
  </si>
  <si>
    <t>282 Linwell Rd., St. Catharines, ON</t>
  </si>
  <si>
    <t>Trivieri Investments Ltd.</t>
  </si>
  <si>
    <t>20 Wakelin Terrace</t>
  </si>
  <si>
    <t>L2M 4K3</t>
  </si>
  <si>
    <t>Trivieri</t>
  </si>
  <si>
    <t>jtrivieri@cogeco.ca</t>
  </si>
  <si>
    <t>905 708 3654</t>
  </si>
  <si>
    <t>ON1604</t>
  </si>
  <si>
    <t>194 North Court Street , Thunder Bay, ON</t>
  </si>
  <si>
    <t>Lorne Extensions Limited</t>
  </si>
  <si>
    <t>194 North Court Street</t>
  </si>
  <si>
    <t>Thunder Bay</t>
  </si>
  <si>
    <t>P7A 4V7</t>
  </si>
  <si>
    <t>Marrello</t>
  </si>
  <si>
    <t>807 346 6254</t>
  </si>
  <si>
    <t>ON1630</t>
  </si>
  <si>
    <t>477 King Street, 103&amp;105, Welland ON</t>
  </si>
  <si>
    <t>The Torgan Group - 477 King St.</t>
  </si>
  <si>
    <t>M2K 6K1</t>
  </si>
  <si>
    <t>ON1650</t>
  </si>
  <si>
    <t>200 Lorraine Ave., Kitchener, ON</t>
  </si>
  <si>
    <t>Kaysar Investments Inc.</t>
  </si>
  <si>
    <t>497 Victoria Street South</t>
  </si>
  <si>
    <t>N2M 3A6</t>
  </si>
  <si>
    <t>Salim</t>
  </si>
  <si>
    <t>Kanani</t>
  </si>
  <si>
    <t>skanani@rogers.com</t>
  </si>
  <si>
    <t>519 496 6667</t>
  </si>
  <si>
    <t>ON1654</t>
  </si>
  <si>
    <t>425 Cecelia Street, Pembroke, ON</t>
  </si>
  <si>
    <t>Carefor Health &amp; Community Services</t>
  </si>
  <si>
    <t>425 Cecelia Street</t>
  </si>
  <si>
    <t>Pembroke</t>
  </si>
  <si>
    <t>K8A 1S7</t>
  </si>
  <si>
    <t>Perry</t>
  </si>
  <si>
    <t>sperry@carefor.ca</t>
  </si>
  <si>
    <t>613 732 9993</t>
  </si>
  <si>
    <t>ON1663</t>
  </si>
  <si>
    <t>701 Sheppard Ave. E., # 301, Willowdale</t>
  </si>
  <si>
    <t>PKS Development Group Inc.</t>
  </si>
  <si>
    <t>701 Sheppard Ave. E.</t>
  </si>
  <si>
    <t>Suite 211</t>
  </si>
  <si>
    <t>M2K 2Z3</t>
  </si>
  <si>
    <t>Piera</t>
  </si>
  <si>
    <t>Kshuen</t>
  </si>
  <si>
    <t>pkshuen@yahoo.ca</t>
  </si>
  <si>
    <t>416 707 8066</t>
  </si>
  <si>
    <t>ON1665</t>
  </si>
  <si>
    <t>849 Alexander Court, Peterborough ON</t>
  </si>
  <si>
    <t>2478658 Ontario Ltd.</t>
  </si>
  <si>
    <t>421 Brant Street</t>
  </si>
  <si>
    <t>Upper Level</t>
  </si>
  <si>
    <t>Burlington</t>
  </si>
  <si>
    <t>L7R 2G3</t>
  </si>
  <si>
    <t>Dickson</t>
  </si>
  <si>
    <t>kdickson@medicaone.ca</t>
  </si>
  <si>
    <t>519-208-6027</t>
  </si>
  <si>
    <t>ON1669</t>
  </si>
  <si>
    <t>210 Dundas East, Belleville</t>
  </si>
  <si>
    <t>Mohawk Medical Management Corp. - 210 Dundas</t>
  </si>
  <si>
    <t>c/o Mohawk Medical Management Corp.</t>
  </si>
  <si>
    <t>Mohawk Belleville</t>
  </si>
  <si>
    <t>ON1683</t>
  </si>
  <si>
    <t>91 Cornelia Street West, Smith Falls, ON</t>
  </si>
  <si>
    <t>Philip Howard &amp; Associates</t>
  </si>
  <si>
    <t>91 Cornelia Street West</t>
  </si>
  <si>
    <t>Smith Falls</t>
  </si>
  <si>
    <t>K7A 5L3</t>
  </si>
  <si>
    <t>Wendy</t>
  </si>
  <si>
    <t>Gifford</t>
  </si>
  <si>
    <t>613 283 0737</t>
  </si>
  <si>
    <t>ON1684</t>
  </si>
  <si>
    <t>7700 Bathurst St., Vaughan, ON</t>
  </si>
  <si>
    <t>The Torgan Group - 7700 Bathurst St.</t>
  </si>
  <si>
    <t>ON1685</t>
  </si>
  <si>
    <t>245 King Street West, Oshawa</t>
  </si>
  <si>
    <t>Tzogas Enterprises Inc.</t>
  </si>
  <si>
    <t>245 King Street West</t>
  </si>
  <si>
    <t>Suite # 15</t>
  </si>
  <si>
    <t>Oshawa</t>
  </si>
  <si>
    <t>L1J 2J7</t>
  </si>
  <si>
    <t>Ted</t>
  </si>
  <si>
    <t>Tzogas</t>
  </si>
  <si>
    <t>905 579 5529</t>
  </si>
  <si>
    <t>ON1687</t>
  </si>
  <si>
    <t>Haliburton Hospital, P.O. Box 115</t>
  </si>
  <si>
    <t>Haliburton Highland Health Services</t>
  </si>
  <si>
    <t>Administration Office</t>
  </si>
  <si>
    <t>P.O. Box 115</t>
  </si>
  <si>
    <t>Haliburton</t>
  </si>
  <si>
    <t>K0M  1S0</t>
  </si>
  <si>
    <t>Keith</t>
  </si>
  <si>
    <t>Sansford</t>
  </si>
  <si>
    <t>705 457 4508</t>
  </si>
  <si>
    <t>ON1695</t>
  </si>
  <si>
    <t>1 Quarry Ridge, # 101, Barrie, ON</t>
  </si>
  <si>
    <t>Anmar Property Management</t>
  </si>
  <si>
    <t>97 Arthur Avenue</t>
  </si>
  <si>
    <t>L4M 6H6</t>
  </si>
  <si>
    <t>Neil</t>
  </si>
  <si>
    <t>neil@anmarproperty.com</t>
  </si>
  <si>
    <t>705 734 0455</t>
  </si>
  <si>
    <t>ON1696</t>
  </si>
  <si>
    <t>University Community Centre, London, ON</t>
  </si>
  <si>
    <t>The Board of Govenors The University of Western  Ontario</t>
  </si>
  <si>
    <t>The University of Western Ontario</t>
  </si>
  <si>
    <t>Room 2107</t>
  </si>
  <si>
    <t>Stevenson Hall</t>
  </si>
  <si>
    <t>N6A 5B8</t>
  </si>
  <si>
    <t>Jarrett</t>
  </si>
  <si>
    <t>519 661 4217</t>
  </si>
  <si>
    <t>ON1712</t>
  </si>
  <si>
    <t>281 Stone Road East, Guelph, ON</t>
  </si>
  <si>
    <t>Reid's Heritage Homes Ltd</t>
  </si>
  <si>
    <t>6783 Wellington Road</t>
  </si>
  <si>
    <t>R.R. #22</t>
  </si>
  <si>
    <t>Guelph</t>
  </si>
  <si>
    <t>N3C 2V4</t>
  </si>
  <si>
    <t>Scott</t>
  </si>
  <si>
    <t>Reid</t>
  </si>
  <si>
    <t>sreid@heritagehomes.com</t>
  </si>
  <si>
    <t>519 658 6656</t>
  </si>
  <si>
    <t>ON1722</t>
  </si>
  <si>
    <t>7217 Gelert Road, Haliburton, ON</t>
  </si>
  <si>
    <t>Municipality of Dysart et al</t>
  </si>
  <si>
    <t>P.O. Box 389</t>
  </si>
  <si>
    <t>135 Maple Ave</t>
  </si>
  <si>
    <t>K0M 1S0</t>
  </si>
  <si>
    <t>Cheryl</t>
  </si>
  <si>
    <t>Coulson</t>
  </si>
  <si>
    <t xml:space="preserve"> ccoulson@dysartetal.ca</t>
  </si>
  <si>
    <t>705 457 1740</t>
  </si>
  <si>
    <t>31</t>
  </si>
  <si>
    <t>ON1726</t>
  </si>
  <si>
    <t>372 Hollandview Trail Rd, Aurora, ON</t>
  </si>
  <si>
    <t>Cheval Developments &amp; Property Management Ltd.</t>
  </si>
  <si>
    <t>372 Hollandview Trail</t>
  </si>
  <si>
    <t>Suite 103</t>
  </si>
  <si>
    <t>L4G 0A5</t>
  </si>
  <si>
    <t>Warbuck</t>
  </si>
  <si>
    <t>chevalproperty@bellnet.ca</t>
  </si>
  <si>
    <t>905 726 3586</t>
  </si>
  <si>
    <t>ON1729</t>
  </si>
  <si>
    <t>2009 Long Lake Road, # B4, Sudbury, ON</t>
  </si>
  <si>
    <t>Northwest Healcare Properties - 2009 Long Lake</t>
  </si>
  <si>
    <t>Faith</t>
  </si>
  <si>
    <t>Lupia</t>
  </si>
  <si>
    <t>faith.lupia@nwhp.ca</t>
  </si>
  <si>
    <t>905 276 2155</t>
  </si>
  <si>
    <t>ON1731</t>
  </si>
  <si>
    <t>216 West Street, # 204A, Simcoe, ON</t>
  </si>
  <si>
    <t>Marino Medical Ltd</t>
  </si>
  <si>
    <t>3883 Highway # 7</t>
  </si>
  <si>
    <t>Suite 228</t>
  </si>
  <si>
    <t>Woodbridge</t>
  </si>
  <si>
    <t>L4L 6C1</t>
  </si>
  <si>
    <t>Sam</t>
  </si>
  <si>
    <t>silviomarino@bell.net</t>
  </si>
  <si>
    <t>905 265 1535</t>
  </si>
  <si>
    <t>ON1752</t>
  </si>
  <si>
    <t>ON1754</t>
  </si>
  <si>
    <t>60 Hatt Street, # 204, Dundas, ON</t>
  </si>
  <si>
    <t>1186468 Ontario Ltd</t>
  </si>
  <si>
    <t>1063 King St. West</t>
  </si>
  <si>
    <t>Suite 166</t>
  </si>
  <si>
    <t>L8S 1L8</t>
  </si>
  <si>
    <t>Leibtag</t>
  </si>
  <si>
    <t>905 627 4371</t>
  </si>
  <si>
    <t>ON1758</t>
  </si>
  <si>
    <t>101 The Queensway Blvd, Mississauga, ON</t>
  </si>
  <si>
    <t>Northwest Healthcare Properties - 101 Queensway</t>
  </si>
  <si>
    <t>Eric</t>
  </si>
  <si>
    <t>Vasilopoulos</t>
  </si>
  <si>
    <t>eric.vasilopoulos@nwhp.ca</t>
  </si>
  <si>
    <t>ON1759</t>
  </si>
  <si>
    <t>255 Bagot St., Kingston, ON</t>
  </si>
  <si>
    <t>Limestone Property Management</t>
  </si>
  <si>
    <t>C/o 804503 Ontario Ltd.</t>
  </si>
  <si>
    <t>303 Bagot Street</t>
  </si>
  <si>
    <t>Unit 5F</t>
  </si>
  <si>
    <t>Kingston</t>
  </si>
  <si>
    <t>K7K 5W7</t>
  </si>
  <si>
    <t>Ivan</t>
  </si>
  <si>
    <t>Suddergaard</t>
  </si>
  <si>
    <t>limeprop@kos.net</t>
  </si>
  <si>
    <t>613 530 3340</t>
  </si>
  <si>
    <t>ON1763</t>
  </si>
  <si>
    <t>429 Exmouth Street, #3, Sarnia, ON</t>
  </si>
  <si>
    <t>Longo Management Inc.</t>
  </si>
  <si>
    <t>765 St. Clair Parkway</t>
  </si>
  <si>
    <t>Corunna</t>
  </si>
  <si>
    <t>N0N 1G0</t>
  </si>
  <si>
    <t>Lou</t>
  </si>
  <si>
    <t>Longo</t>
  </si>
  <si>
    <t>llongo3@cogeco.ca</t>
  </si>
  <si>
    <t>519 481 0230</t>
  </si>
  <si>
    <t>ON1764</t>
  </si>
  <si>
    <t>245 Union St., Fergus, ON</t>
  </si>
  <si>
    <t>Groves Memorial Hospital</t>
  </si>
  <si>
    <t>235 Union Street</t>
  </si>
  <si>
    <t>Fergus</t>
  </si>
  <si>
    <t>N1M 1W3</t>
  </si>
  <si>
    <t>Steven</t>
  </si>
  <si>
    <t>Strret</t>
  </si>
  <si>
    <t>sstreet@nwhealthcare.ca</t>
  </si>
  <si>
    <t>519-843-5331</t>
  </si>
  <si>
    <t>3321</t>
  </si>
  <si>
    <t>ON1769</t>
  </si>
  <si>
    <t>44 Great Northern Rd., Sault Ste. Marie</t>
  </si>
  <si>
    <t>Riocan Holdings Inc. - Cambrian Mall</t>
  </si>
  <si>
    <t>Cambrian Mall</t>
  </si>
  <si>
    <t>C/o Rio Can Property Services</t>
  </si>
  <si>
    <t>44 Great Northern Road</t>
  </si>
  <si>
    <t>P6B 4Y5</t>
  </si>
  <si>
    <t>Capisciolto</t>
  </si>
  <si>
    <t>tcapisciolto@riocan.com</t>
  </si>
  <si>
    <t>705 759 4900</t>
  </si>
  <si>
    <t>ON1771</t>
  </si>
  <si>
    <t>240 McNabb Street, Sault Ste. Marie, ON</t>
  </si>
  <si>
    <t>Sault Ste. Marie &amp; District Group Health Ass.</t>
  </si>
  <si>
    <t>240 McNabb Street</t>
  </si>
  <si>
    <t>P6B 1Y5</t>
  </si>
  <si>
    <t>CFO</t>
  </si>
  <si>
    <t>Alex</t>
  </si>
  <si>
    <t>Lambert</t>
  </si>
  <si>
    <t>Lambert_A@ghc.on.ca</t>
  </si>
  <si>
    <t>705 759 5606</t>
  </si>
  <si>
    <t>ON1773</t>
  </si>
  <si>
    <t>208 Bloor St. West, #801, Toronto, ON</t>
  </si>
  <si>
    <t>Esbin Property Management Inc.</t>
  </si>
  <si>
    <t>162 Cumberland Street</t>
  </si>
  <si>
    <t>M5R 3N5</t>
  </si>
  <si>
    <t>Isacc</t>
  </si>
  <si>
    <t>Steinberg</t>
  </si>
  <si>
    <t>416 995 4893</t>
  </si>
  <si>
    <t>ON1775</t>
  </si>
  <si>
    <t>78-80 Dufferin Street, Perth, ON</t>
  </si>
  <si>
    <t>Crombie Property Holdings Limited</t>
  </si>
  <si>
    <t>610 East River Road</t>
  </si>
  <si>
    <t>New Glasgow</t>
  </si>
  <si>
    <t>NS</t>
  </si>
  <si>
    <t>B2H 3S2</t>
  </si>
  <si>
    <t>Dan</t>
  </si>
  <si>
    <t>Boston</t>
  </si>
  <si>
    <t>dan.boston@crombie.ca</t>
  </si>
  <si>
    <t>514-232-2742</t>
  </si>
  <si>
    <t>ON1778</t>
  </si>
  <si>
    <t>240 Duncan Mill Road, Toronto ON</t>
  </si>
  <si>
    <t>North York Family Health Team Inc.</t>
  </si>
  <si>
    <t>240 Duncan Mill Road</t>
  </si>
  <si>
    <t>M3B 3S6</t>
  </si>
  <si>
    <t>Clarys</t>
  </si>
  <si>
    <t>Tirel</t>
  </si>
  <si>
    <t>ctirel@nyfht.com</t>
  </si>
  <si>
    <t>416 494 3003</t>
  </si>
  <si>
    <t>ON1780</t>
  </si>
  <si>
    <t>365 Bloor St., Unit 1005, Toronto, ON</t>
  </si>
  <si>
    <t>Greenrock Property Management Limited</t>
  </si>
  <si>
    <t>365 Bloor Street East</t>
  </si>
  <si>
    <t>Suite 1601</t>
  </si>
  <si>
    <t>M4W 3L4</t>
  </si>
  <si>
    <t>Alaric</t>
  </si>
  <si>
    <t>da Cunha</t>
  </si>
  <si>
    <t>adacunha@greenrockpm.ca</t>
  </si>
  <si>
    <t>416-924-8388</t>
  </si>
  <si>
    <t>ON1781</t>
  </si>
  <si>
    <t>660 Garrison Rd., Unit 5, Fort Erie, ON</t>
  </si>
  <si>
    <t>Garrison Square Plaza Inc.</t>
  </si>
  <si>
    <t>6150 Valley Way</t>
  </si>
  <si>
    <t>Suite 104</t>
  </si>
  <si>
    <t>L2E 1Y3</t>
  </si>
  <si>
    <t>Windsor</t>
  </si>
  <si>
    <t>admin@primarycareniagara.com</t>
  </si>
  <si>
    <t>905 371 1881</t>
  </si>
  <si>
    <t>208</t>
  </si>
  <si>
    <t>ON1782</t>
  </si>
  <si>
    <t>1220 Place D'Orleans Dr., Orleans, ON</t>
  </si>
  <si>
    <t>Choice Properties GP Inc. (D'Orleans)</t>
  </si>
  <si>
    <t>260 Centum Boulevard</t>
  </si>
  <si>
    <t>Orleans</t>
  </si>
  <si>
    <t>K1E 3P4</t>
  </si>
  <si>
    <t>St. Amand</t>
  </si>
  <si>
    <t>chris.stamand@choicereit.ca</t>
  </si>
  <si>
    <t>613-590-2121</t>
  </si>
  <si>
    <t>104</t>
  </si>
  <si>
    <t>ON1785</t>
  </si>
  <si>
    <t>751 Victoria St. S, Kitchener, Ontario</t>
  </si>
  <si>
    <t>Canlight Hall</t>
  </si>
  <si>
    <t>5160 Explorer Drive</t>
  </si>
  <si>
    <t>Suite 17</t>
  </si>
  <si>
    <t>L4W 4T7</t>
  </si>
  <si>
    <t>Nicholas</t>
  </si>
  <si>
    <t>Pope</t>
  </si>
  <si>
    <t>npope@canlighthall.com</t>
  </si>
  <si>
    <t>905 625 1524</t>
  </si>
  <si>
    <t>298</t>
  </si>
  <si>
    <t>ON1786</t>
  </si>
  <si>
    <t>68 Hasting St. N Bancroft, ON</t>
  </si>
  <si>
    <t>Corporation of the Town of Bancroft</t>
  </si>
  <si>
    <t>24 Flint Ave</t>
  </si>
  <si>
    <t>Bancroft</t>
  </si>
  <si>
    <t>K0L 1C0</t>
  </si>
  <si>
    <t>Shannick</t>
  </si>
  <si>
    <t>dshannick@town.bancroft.on.ca</t>
  </si>
  <si>
    <t>613 332 3331</t>
  </si>
  <si>
    <t>ON1787</t>
  </si>
  <si>
    <t>14 Ramblewood Dr. #104, Wasaga</t>
  </si>
  <si>
    <t>Pro Guard Property Management</t>
  </si>
  <si>
    <t>391 First Street</t>
  </si>
  <si>
    <t>Collingwood</t>
  </si>
  <si>
    <t>L9Y 1B3</t>
  </si>
  <si>
    <t>Salneck</t>
  </si>
  <si>
    <t>pgm@proguardmgmt.com</t>
  </si>
  <si>
    <t>705 445 6383</t>
  </si>
  <si>
    <t>ON1792</t>
  </si>
  <si>
    <t>1100 Sheppard Ave., #108, 109</t>
  </si>
  <si>
    <t>Baseland Developments Inc.</t>
  </si>
  <si>
    <t>191 Highbourne Road</t>
  </si>
  <si>
    <t>M5P 2J8</t>
  </si>
  <si>
    <t>Jeffrey P.</t>
  </si>
  <si>
    <t>Peters</t>
  </si>
  <si>
    <t>jeff@baseland.com</t>
  </si>
  <si>
    <t>416 544 0033</t>
  </si>
  <si>
    <t>24</t>
  </si>
  <si>
    <t>ICL / PSC</t>
  </si>
  <si>
    <t>ON1795</t>
  </si>
  <si>
    <t>CFB Borden, Borden, ON</t>
  </si>
  <si>
    <t>CANEX</t>
  </si>
  <si>
    <t>Department of National Defence</t>
  </si>
  <si>
    <t>400 Coventry Road</t>
  </si>
  <si>
    <t>Ottawa</t>
  </si>
  <si>
    <t>K1K 2C7</t>
  </si>
  <si>
    <t>Ward</t>
  </si>
  <si>
    <t>Wilkinson</t>
  </si>
  <si>
    <t>wilkinson.ward@cfpsa.com</t>
  </si>
  <si>
    <t>613 740 3910</t>
  </si>
  <si>
    <t>ON1797</t>
  </si>
  <si>
    <t>474 College St., #B1, Toronto, ON</t>
  </si>
  <si>
    <t>Roxville Investments Limited</t>
  </si>
  <si>
    <t>C/o MGSL</t>
  </si>
  <si>
    <t>House 13, Fire Route 128</t>
  </si>
  <si>
    <t>Bobcaygeon</t>
  </si>
  <si>
    <t>K0M 1A0</t>
  </si>
  <si>
    <t>McClure</t>
  </si>
  <si>
    <t>cmcclure@bellnet.ca</t>
  </si>
  <si>
    <t>ON1799</t>
  </si>
  <si>
    <t>5805 Yonge St Unit 5, Toronto, ON</t>
  </si>
  <si>
    <t>Silvercore Properties Inc.</t>
  </si>
  <si>
    <t>5799 Yonge Street</t>
  </si>
  <si>
    <t>Unit 1100</t>
  </si>
  <si>
    <t>M2M 3V3</t>
  </si>
  <si>
    <t>Axel</t>
  </si>
  <si>
    <t>Pullman</t>
  </si>
  <si>
    <t>416 225 8841</t>
  </si>
  <si>
    <t>ON1818</t>
  </si>
  <si>
    <t>1060 Burnham st., #4, Cobourg, ON</t>
  </si>
  <si>
    <t>Jasmas Inc.</t>
  </si>
  <si>
    <t>5 Lynden Court</t>
  </si>
  <si>
    <t>Cobourg</t>
  </si>
  <si>
    <t>K9A 4J9</t>
  </si>
  <si>
    <t>Glen</t>
  </si>
  <si>
    <t>Gray</t>
  </si>
  <si>
    <t>905 372 8958</t>
  </si>
  <si>
    <t>ON1819</t>
  </si>
  <si>
    <t>425 Algonquin Blvd., Timmins, ON</t>
  </si>
  <si>
    <t>Park Square (Timmins) Inc. Davpart Inc.</t>
  </si>
  <si>
    <t>4576 Yonge Street</t>
  </si>
  <si>
    <t>M2N 6N4</t>
  </si>
  <si>
    <t>ON1821</t>
  </si>
  <si>
    <t>350 Conestoga, #C2, Cambridge, ON</t>
  </si>
  <si>
    <t>Northwest Healthcare Properties - 350 Conestoga</t>
  </si>
  <si>
    <t>Jean</t>
  </si>
  <si>
    <t>Coles</t>
  </si>
  <si>
    <t>jean.coles@nwhp.ca</t>
  </si>
  <si>
    <t>4563</t>
  </si>
  <si>
    <t>ON1822</t>
  </si>
  <si>
    <t>417 Wellington Street, St. Thomas, ON</t>
  </si>
  <si>
    <t>417 Wellington Street Property Holdings Inc.</t>
  </si>
  <si>
    <t>Arcturus Realty Corporation</t>
  </si>
  <si>
    <t>200 Broadway</t>
  </si>
  <si>
    <t>Tillsonburg</t>
  </si>
  <si>
    <t>N4G 5A7</t>
  </si>
  <si>
    <t>Darlene</t>
  </si>
  <si>
    <t>Covey</t>
  </si>
  <si>
    <t>dcovey@arcturusrealty.com</t>
  </si>
  <si>
    <t>519-842-7397</t>
  </si>
  <si>
    <t>ON1823</t>
  </si>
  <si>
    <t>1560 Lasalle Blvd, Sudbury, ON</t>
  </si>
  <si>
    <t>Timestone Corporation</t>
  </si>
  <si>
    <t>1730 Regent Street</t>
  </si>
  <si>
    <t>Unit 5</t>
  </si>
  <si>
    <t>P3E 3Z8</t>
  </si>
  <si>
    <t>Zulich</t>
  </si>
  <si>
    <t>pzulich@zulich.com</t>
  </si>
  <si>
    <t>705 523 1000</t>
  </si>
  <si>
    <t>ON1824</t>
  </si>
  <si>
    <t>176 Wellington St., Niagara on the Lake</t>
  </si>
  <si>
    <t>Niagara Health System</t>
  </si>
  <si>
    <t>155 Ontario Street</t>
  </si>
  <si>
    <t>Corporate Services 3C</t>
  </si>
  <si>
    <t>L2R 5K3</t>
  </si>
  <si>
    <t>Jackie</t>
  </si>
  <si>
    <t>jackie.moore@niagarahealth.on.ca</t>
  </si>
  <si>
    <t>905 378 4647</t>
  </si>
  <si>
    <t>43104</t>
  </si>
  <si>
    <t>ON1825</t>
  </si>
  <si>
    <t>210 Memorial Avenue, #107, Orillia, ON</t>
  </si>
  <si>
    <t>Canust Property Management Inc.</t>
  </si>
  <si>
    <t>7501 Woodbine Avenue</t>
  </si>
  <si>
    <t>Suite 6</t>
  </si>
  <si>
    <t>Markham</t>
  </si>
  <si>
    <t>L3R 2W1</t>
  </si>
  <si>
    <t>info@canust.com</t>
  </si>
  <si>
    <t>905 475 1223</t>
  </si>
  <si>
    <t>Tsang</t>
  </si>
  <si>
    <t>ON1827</t>
  </si>
  <si>
    <t>1350 Fanshawe Park Road W, London</t>
  </si>
  <si>
    <t>The Sofa Gallery Ltd.</t>
  </si>
  <si>
    <t>1350 Fanshawe Park Road W</t>
  </si>
  <si>
    <t>N6G 5B1</t>
  </si>
  <si>
    <t>McGimmon</t>
  </si>
  <si>
    <t>at@austinandtaylor.com</t>
  </si>
  <si>
    <t>519 473 5400</t>
  </si>
  <si>
    <t>ON1828</t>
  </si>
  <si>
    <t>379 Church Street, #111, Markham, ON</t>
  </si>
  <si>
    <t>PAR-Med Property Services Inc. - 379 Church</t>
  </si>
  <si>
    <t>ON1830</t>
  </si>
  <si>
    <t>44 Queen Street, Kincardine, ON</t>
  </si>
  <si>
    <t>Kincardine Family Health Organization</t>
  </si>
  <si>
    <t>44 Queen Street</t>
  </si>
  <si>
    <t>Kincardine</t>
  </si>
  <si>
    <t>N2Z 3C1</t>
  </si>
  <si>
    <t>Glover</t>
  </si>
  <si>
    <t>ceo@kincardinefht.ca</t>
  </si>
  <si>
    <t>519 396 2700</t>
  </si>
  <si>
    <t>211</t>
  </si>
  <si>
    <t>ON1831</t>
  </si>
  <si>
    <t>1007 Fennell Ave, Hamilton, ON</t>
  </si>
  <si>
    <t>Biddington Property Management Corp.</t>
  </si>
  <si>
    <t>1962 Yonge Street</t>
  </si>
  <si>
    <t>M4S 1Z4</t>
  </si>
  <si>
    <t>Renato</t>
  </si>
  <si>
    <t>Rebelo</t>
  </si>
  <si>
    <t>rrebelo@biddington.com</t>
  </si>
  <si>
    <t>416 924 2244</t>
  </si>
  <si>
    <t>226</t>
  </si>
  <si>
    <t>ON1833</t>
  </si>
  <si>
    <t>95 Spring Street, Almonte, ON</t>
  </si>
  <si>
    <t>The Almonte General Hospital</t>
  </si>
  <si>
    <t>95 Spring Street</t>
  </si>
  <si>
    <t>Almonte</t>
  </si>
  <si>
    <t>K0A 1A0</t>
  </si>
  <si>
    <t>Shaw</t>
  </si>
  <si>
    <t>rshaw@agh-frm.com</t>
  </si>
  <si>
    <t>613 256 2514</t>
  </si>
  <si>
    <t>2264</t>
  </si>
  <si>
    <t>ON1836</t>
  </si>
  <si>
    <t>1919 Riverside Drive</t>
  </si>
  <si>
    <t>PAR-Med Property Services - 1919 Riverside</t>
  </si>
  <si>
    <t>416-364-5959</t>
  </si>
  <si>
    <t>ON1837</t>
  </si>
  <si>
    <t>54 Wilson Street, Ancaster, ON</t>
  </si>
  <si>
    <t>Choice Properties GP Inc. (54 Wilson)</t>
  </si>
  <si>
    <t>2025 Guelph Line</t>
  </si>
  <si>
    <t>Suite 152</t>
  </si>
  <si>
    <t>L7P 4M8</t>
  </si>
  <si>
    <t>Jackson</t>
  </si>
  <si>
    <t>faith.jackson@nwhp.ca</t>
  </si>
  <si>
    <t>ON1842</t>
  </si>
  <si>
    <t>33 Lakeshore Road, St. Catharines, ON</t>
  </si>
  <si>
    <t>DTZ Barnicke Niagara MGMT &amp; MTCE Ltd.</t>
  </si>
  <si>
    <t>4056 Dorchester Road</t>
  </si>
  <si>
    <t>Suite 105</t>
  </si>
  <si>
    <t>L2E 6M9</t>
  </si>
  <si>
    <t>Taylor</t>
  </si>
  <si>
    <t>Wilson</t>
  </si>
  <si>
    <t>taylor.wilson@dtzbarnicke.com</t>
  </si>
  <si>
    <t>905 354 7413</t>
  </si>
  <si>
    <t>ON1845</t>
  </si>
  <si>
    <t>21 Surrey Street, Guelph ON</t>
  </si>
  <si>
    <t>Grandview Property Management</t>
  </si>
  <si>
    <t>178 Saint George Street</t>
  </si>
  <si>
    <t>MJR 2M7</t>
  </si>
  <si>
    <t>Von Teichman</t>
  </si>
  <si>
    <t>mike@grandviewpma.com</t>
  </si>
  <si>
    <t>416 817 3337</t>
  </si>
  <si>
    <t>CML / PSC</t>
  </si>
  <si>
    <t>ON1846</t>
  </si>
  <si>
    <t>3850 Finch Ave. E. Toronto ON</t>
  </si>
  <si>
    <t>PWT Property Advisors Inc.</t>
  </si>
  <si>
    <t>70 Silver Star Blvd.</t>
  </si>
  <si>
    <t>Unit 122</t>
  </si>
  <si>
    <t>M1V 4W1</t>
  </si>
  <si>
    <t>3850finch@consultpwt.com</t>
  </si>
  <si>
    <t>647-727-1113</t>
  </si>
  <si>
    <t>ON1847</t>
  </si>
  <si>
    <t>59 Main Street East, Kingsville, ON</t>
  </si>
  <si>
    <t>Kingsville Plaza Inc.</t>
  </si>
  <si>
    <t>20 Talbot Street East</t>
  </si>
  <si>
    <t>Leamington</t>
  </si>
  <si>
    <t>N8H 1L2</t>
  </si>
  <si>
    <t>Vickers</t>
  </si>
  <si>
    <t>mrv1@bell.blackberry.com</t>
  </si>
  <si>
    <t>519 326 5778</t>
  </si>
  <si>
    <t>ON1848</t>
  </si>
  <si>
    <t>1119 Fennell Avenue, Hamilton ON</t>
  </si>
  <si>
    <t>VLK Inc.</t>
  </si>
  <si>
    <t>1 Lailey Cres.</t>
  </si>
  <si>
    <t>M2N 4G8</t>
  </si>
  <si>
    <t>Thorton</t>
  </si>
  <si>
    <t>289 237 2805</t>
  </si>
  <si>
    <t>ON1849</t>
  </si>
  <si>
    <t>1420 Burhamthorpe Road East, Mississauga</t>
  </si>
  <si>
    <t>V.G.R. Investments Ltd.</t>
  </si>
  <si>
    <t>2495 Old Bronte Road</t>
  </si>
  <si>
    <t>Oakville</t>
  </si>
  <si>
    <t>L6M 4J2</t>
  </si>
  <si>
    <t>Christine</t>
  </si>
  <si>
    <t>Burton</t>
  </si>
  <si>
    <t>christineburton_@hotmail.com</t>
  </si>
  <si>
    <t>905 827 4441</t>
  </si>
  <si>
    <t>ON1850</t>
  </si>
  <si>
    <t>2421 Bristol Circle, Oakville ON</t>
  </si>
  <si>
    <t>Bristol Investments (2421) Ltd.</t>
  </si>
  <si>
    <t>411 Richmond Street East</t>
  </si>
  <si>
    <t>Suite 302</t>
  </si>
  <si>
    <t>M5A 3S4</t>
  </si>
  <si>
    <t>Didi</t>
  </si>
  <si>
    <t>Caputo</t>
  </si>
  <si>
    <t>didic@coloniatreuhand.com</t>
  </si>
  <si>
    <t>CML / IT Data Centre</t>
  </si>
  <si>
    <t>416 628 5420</t>
  </si>
  <si>
    <t>ON1851</t>
  </si>
  <si>
    <t>221 Brant Avenue, Suite 101, Brantford O</t>
  </si>
  <si>
    <t>The Torgan Group - 221 Brant Ave.</t>
  </si>
  <si>
    <t>221 Brant Avenue</t>
  </si>
  <si>
    <t>Brantford</t>
  </si>
  <si>
    <t>N3T 3J3</t>
  </si>
  <si>
    <t>Susan</t>
  </si>
  <si>
    <t>Hall</t>
  </si>
  <si>
    <t>shall@avenuemedical.ca</t>
  </si>
  <si>
    <t>519-752-0970</t>
  </si>
  <si>
    <t>258</t>
  </si>
  <si>
    <t>ON1853</t>
  </si>
  <si>
    <t>55 Wyndham Street North, Suite 213 Guelp</t>
  </si>
  <si>
    <t>Barrel Works Guelph Ltd.</t>
  </si>
  <si>
    <t>55 Wyndham Street Nortth</t>
  </si>
  <si>
    <t>Suite 213</t>
  </si>
  <si>
    <t>N1H 7T8</t>
  </si>
  <si>
    <t>Judy</t>
  </si>
  <si>
    <t>Carrick</t>
  </si>
  <si>
    <t>leasing@oldquebecstreet.com</t>
  </si>
  <si>
    <t>519 837 0259</t>
  </si>
  <si>
    <t>ON1856</t>
  </si>
  <si>
    <t>154 Civic Centre Road, Petawawa ON</t>
  </si>
  <si>
    <t>Petawawa Centennial Family Health Centre</t>
  </si>
  <si>
    <t>154 Civic Centre Road</t>
  </si>
  <si>
    <t>Petawawa</t>
  </si>
  <si>
    <t>K8H 3M5</t>
  </si>
  <si>
    <t>Hill</t>
  </si>
  <si>
    <t>Judy.Hill@pcfhc.ca</t>
  </si>
  <si>
    <t>613-687-8504</t>
  </si>
  <si>
    <t>108</t>
  </si>
  <si>
    <t>ON1857</t>
  </si>
  <si>
    <t>700 Markahm Road, Toronto ON</t>
  </si>
  <si>
    <t>Boniface Medical</t>
  </si>
  <si>
    <t>700 Markham Road</t>
  </si>
  <si>
    <t>Unit 3B</t>
  </si>
  <si>
    <t>M1H 2A7</t>
  </si>
  <si>
    <t>Du</t>
  </si>
  <si>
    <t>dusteve8@gmail.com</t>
  </si>
  <si>
    <t>647-764-2277</t>
  </si>
  <si>
    <t>ON1858</t>
  </si>
  <si>
    <t>40 Shellington Place, Brantford ON</t>
  </si>
  <si>
    <t>Brantford Radiology Group</t>
  </si>
  <si>
    <t>9 Nobbs Drive</t>
  </si>
  <si>
    <t>Ajax</t>
  </si>
  <si>
    <t>N3S OC5</t>
  </si>
  <si>
    <t>Ruban</t>
  </si>
  <si>
    <t>Kandasamy</t>
  </si>
  <si>
    <t>ruban@brantfordradiology.com</t>
  </si>
  <si>
    <t>647 290 4009</t>
  </si>
  <si>
    <t>ON1859</t>
  </si>
  <si>
    <t>2797 Bathurst Strret, Toronto ON</t>
  </si>
  <si>
    <t>Riverking Development LP</t>
  </si>
  <si>
    <t>145 Adelaide Street West</t>
  </si>
  <si>
    <t>Suite #500</t>
  </si>
  <si>
    <t>M5H 4EH</t>
  </si>
  <si>
    <t>Nathan</t>
  </si>
  <si>
    <t>McLachlan</t>
  </si>
  <si>
    <t>nmclachlan@taliskercorp.com</t>
  </si>
  <si>
    <t>416 864 0213</t>
  </si>
  <si>
    <t>ON1862</t>
  </si>
  <si>
    <t>791 Princess Street, Kingston ON</t>
  </si>
  <si>
    <t>Masar Investment Group</t>
  </si>
  <si>
    <t>791 Princess Street</t>
  </si>
  <si>
    <t>K7L 1E9</t>
  </si>
  <si>
    <t>Hong</t>
  </si>
  <si>
    <t>Chen</t>
  </si>
  <si>
    <t>hong@frontenacmedical.ca</t>
  </si>
  <si>
    <t>613 542 7002</t>
  </si>
  <si>
    <t>ON1863</t>
  </si>
  <si>
    <t>2021 Cliff Road Mississauga ON</t>
  </si>
  <si>
    <t>2354093 Ontario Inc.</t>
  </si>
  <si>
    <t>2021 Cliff Road</t>
  </si>
  <si>
    <t>L5A 3N7</t>
  </si>
  <si>
    <t>Roy</t>
  </si>
  <si>
    <t>Prez</t>
  </si>
  <si>
    <t>rprez@jaldinc.com</t>
  </si>
  <si>
    <t>905 738 5264</t>
  </si>
  <si>
    <t>ON1864</t>
  </si>
  <si>
    <t>4600 Highway #7, Woodbridge ON</t>
  </si>
  <si>
    <t>Pine Seven Office Park Inc.</t>
  </si>
  <si>
    <t>3655 Keele Street</t>
  </si>
  <si>
    <t>M3J 1M8</t>
  </si>
  <si>
    <t>Zentil</t>
  </si>
  <si>
    <t>paulz@zentil.com</t>
  </si>
  <si>
    <t>416 638 6300</t>
  </si>
  <si>
    <t>250</t>
  </si>
  <si>
    <t>ON1866</t>
  </si>
  <si>
    <t>1011 Dufferin Street, Toronto ON</t>
  </si>
  <si>
    <t>Mogul Properties Limited</t>
  </si>
  <si>
    <t>1011 Dufferin Street</t>
  </si>
  <si>
    <t>Suite 203</t>
  </si>
  <si>
    <t>M6H 4B5</t>
  </si>
  <si>
    <t>Sheik</t>
  </si>
  <si>
    <t>Husein</t>
  </si>
  <si>
    <t>sheik@mogulproperties.com</t>
  </si>
  <si>
    <t>647 986 4534</t>
  </si>
  <si>
    <t>ON1868</t>
  </si>
  <si>
    <t>1243 Islington Avenue, Toronto ON</t>
  </si>
  <si>
    <t>Canderel Commercial Services Inc,</t>
  </si>
  <si>
    <t>1075 Bay Street</t>
  </si>
  <si>
    <t>M5S 2B1</t>
  </si>
  <si>
    <t>Janis</t>
  </si>
  <si>
    <t>Braun</t>
  </si>
  <si>
    <t>jbraun@canderel.com</t>
  </si>
  <si>
    <t>416-607-5577</t>
  </si>
  <si>
    <t>ON1869</t>
  </si>
  <si>
    <t>65 Angeline Street North, Lindsay ON</t>
  </si>
  <si>
    <t>PAR-MED Property Services Inc. - 65 Angeline Street</t>
  </si>
  <si>
    <t>ON1870</t>
  </si>
  <si>
    <t>20 Wynford Drive, North York ON</t>
  </si>
  <si>
    <t>Northwest Healthcare Properties</t>
  </si>
  <si>
    <t>284 King Street East</t>
  </si>
  <si>
    <t>M3C 1J4</t>
  </si>
  <si>
    <t>Macleod Chapman</t>
  </si>
  <si>
    <t>ON1871</t>
  </si>
  <si>
    <t>210 Centrum Blvd., Orleans ON</t>
  </si>
  <si>
    <t>Calfra Management Ltd.</t>
  </si>
  <si>
    <t>1725 St. Laurent Blvd.</t>
  </si>
  <si>
    <t>Suite 227</t>
  </si>
  <si>
    <t>K1G 3V4</t>
  </si>
  <si>
    <t>Robb</t>
  </si>
  <si>
    <t>greg.robb@calfra.ca</t>
  </si>
  <si>
    <t>613 247 2235</t>
  </si>
  <si>
    <t>ON1872</t>
  </si>
  <si>
    <t>5 Fairview Mall Drive, Suite 160, Toront</t>
  </si>
  <si>
    <t>Northwest Healthcare Properties Corporation - 5 Fairview Mall Drive</t>
  </si>
  <si>
    <t>Suite 160</t>
  </si>
  <si>
    <t>M5K 1K4</t>
  </si>
  <si>
    <t>416-366-2000</t>
  </si>
  <si>
    <t>ON1873</t>
  </si>
  <si>
    <t>1333 Neilson Road, Suite 205/210, Toront</t>
  </si>
  <si>
    <t>Northwest Healthcare Properties Corporation - 1333 Neilson Road</t>
  </si>
  <si>
    <t>ON1874</t>
  </si>
  <si>
    <t>581 Argus Road, Oakville ON</t>
  </si>
  <si>
    <t>Adamson Properties Inc.</t>
  </si>
  <si>
    <t>P.O. Box 52011</t>
  </si>
  <si>
    <t>L6J 7N5</t>
  </si>
  <si>
    <t>mail@adamsonproperties.com</t>
  </si>
  <si>
    <t>289 259 2881</t>
  </si>
  <si>
    <t>ON1875</t>
  </si>
  <si>
    <t>301 Victoria Avenue, Fort Frances</t>
  </si>
  <si>
    <t>Fort Frances Clinic Holdings Ltd.</t>
  </si>
  <si>
    <t>301 Victoria Avenue</t>
  </si>
  <si>
    <t>Fort Frances</t>
  </si>
  <si>
    <t>P9A 2C1</t>
  </si>
  <si>
    <t>Marlis</t>
  </si>
  <si>
    <t>Bruyere</t>
  </si>
  <si>
    <t>marlis@jam21.net</t>
  </si>
  <si>
    <t>807-274-3287</t>
  </si>
  <si>
    <t>255</t>
  </si>
  <si>
    <t>ON1876</t>
  </si>
  <si>
    <t>274 Dundas Street East, Suite 102, Belle</t>
  </si>
  <si>
    <t>Dr. James Dolan</t>
  </si>
  <si>
    <t>274 Dundas Street Eastt</t>
  </si>
  <si>
    <t>Bellevile</t>
  </si>
  <si>
    <t>K8N 1E6</t>
  </si>
  <si>
    <t>Dolan</t>
  </si>
  <si>
    <t>jnwdolan@magma.ca</t>
  </si>
  <si>
    <t>613 968 5709</t>
  </si>
  <si>
    <t>ON1877</t>
  </si>
  <si>
    <t>531 Davis Drive, Suite 105, Newmarket ON</t>
  </si>
  <si>
    <t>PAR-Med Property Services - 531 Davis Drive</t>
  </si>
  <si>
    <t>Helder</t>
  </si>
  <si>
    <t>Goncalves</t>
  </si>
  <si>
    <t>hgoncalves@par-med.com</t>
  </si>
  <si>
    <t>ON1878</t>
  </si>
  <si>
    <t>170A Rebecca Street, Oakville ON</t>
  </si>
  <si>
    <t>817710 Ontario Inc.</t>
  </si>
  <si>
    <t>170A Rebecca Street</t>
  </si>
  <si>
    <t>L6K 1J6</t>
  </si>
  <si>
    <t>Boin</t>
  </si>
  <si>
    <t>905 845 9293</t>
  </si>
  <si>
    <t>ON1880</t>
  </si>
  <si>
    <t>424 Talbot Street West, Aylmer ON</t>
  </si>
  <si>
    <t>Bunkie Holdings</t>
  </si>
  <si>
    <t>3995 South Winds Court</t>
  </si>
  <si>
    <t>N6P 1E6</t>
  </si>
  <si>
    <t>Troop</t>
  </si>
  <si>
    <t>bunkieholdings@gmail.com</t>
  </si>
  <si>
    <t>519 494 8672</t>
  </si>
  <si>
    <t>ON1881</t>
  </si>
  <si>
    <t>83 Dawson Road, Guelph ON</t>
  </si>
  <si>
    <t>NorthWest Healthcare Properties Corporation - 83 Dawson Road</t>
  </si>
  <si>
    <t>140 Oxford Street East</t>
  </si>
  <si>
    <t>Suite 407</t>
  </si>
  <si>
    <t>N6A 5R9</t>
  </si>
  <si>
    <t>ON1882</t>
  </si>
  <si>
    <t>460 Springbank Drive, Unit 107, London O</t>
  </si>
  <si>
    <t>NorthWest Healthcare Properties - 460 Springbank Dr.</t>
  </si>
  <si>
    <t>Cattrysse</t>
  </si>
  <si>
    <t>ian.cattrysse@nwhp.ca</t>
  </si>
  <si>
    <t>3505</t>
  </si>
  <si>
    <t>ON1883</t>
  </si>
  <si>
    <t>697 Coronation Blvd., Suite 1A, Cambridg</t>
  </si>
  <si>
    <t>FCR Management Services - 697 Coronation Blvd.</t>
  </si>
  <si>
    <t>589 Fairway Road South</t>
  </si>
  <si>
    <t>Unit 6</t>
  </si>
  <si>
    <t>N2C 1X4</t>
  </si>
  <si>
    <t>Thomas</t>
  </si>
  <si>
    <t>Powell</t>
  </si>
  <si>
    <t>thomas.powell@fcrms.ca</t>
  </si>
  <si>
    <t>ON1884</t>
  </si>
  <si>
    <t>99 Sinclair Avenue, Suite 102, Geoergeto</t>
  </si>
  <si>
    <t>PAR-Med Property Services Inc - 99 Sinclair Ave.</t>
  </si>
  <si>
    <t>ON1885</t>
  </si>
  <si>
    <t>95 First Street, Unit H2A, Orangeville O</t>
  </si>
  <si>
    <t>RioCan Holdings Inc - 95 First Street</t>
  </si>
  <si>
    <t>95 First Street</t>
  </si>
  <si>
    <t>Unit 3HB</t>
  </si>
  <si>
    <t>L9W 2E8</t>
  </si>
  <si>
    <t>519 943 1218</t>
  </si>
  <si>
    <t>ON1887</t>
  </si>
  <si>
    <t>14 College Street, Suite 402, Toronto ON</t>
  </si>
  <si>
    <t>Morkos Management Inc.</t>
  </si>
  <si>
    <t>111 Northdale Road</t>
  </si>
  <si>
    <t>M2L 2M3</t>
  </si>
  <si>
    <t>Theo</t>
  </si>
  <si>
    <t>647 403 3510</t>
  </si>
  <si>
    <t>ON1888</t>
  </si>
  <si>
    <t>30 13th Street East, Cornwall ON</t>
  </si>
  <si>
    <t>837273 Ontario Inc.</t>
  </si>
  <si>
    <t>600 Glengarry Blvd.</t>
  </si>
  <si>
    <t>K6H 6P8</t>
  </si>
  <si>
    <t>Markell</t>
  </si>
  <si>
    <t>dmarkell@rjbourgon.com</t>
  </si>
  <si>
    <t>613 932 2022</t>
  </si>
  <si>
    <t>ON1889</t>
  </si>
  <si>
    <t>118 7th Avenue, Suite 103, Hanover ON</t>
  </si>
  <si>
    <t>Corporation of the Town of Hanover</t>
  </si>
  <si>
    <t>269 7th Avenue</t>
  </si>
  <si>
    <t>Hanover</t>
  </si>
  <si>
    <t>N4N 2H5</t>
  </si>
  <si>
    <t>Adam</t>
  </si>
  <si>
    <t>Parsons</t>
  </si>
  <si>
    <t>aparsons@hanover.ca</t>
  </si>
  <si>
    <t>519 364 2310</t>
  </si>
  <si>
    <t>ON1890</t>
  </si>
  <si>
    <t>34 Whitewood Avenue, New Liskeard ON</t>
  </si>
  <si>
    <t>1339787 Ontario Inc.</t>
  </si>
  <si>
    <t>34 Whitewood Avenue</t>
  </si>
  <si>
    <t>New Liskeard</t>
  </si>
  <si>
    <t>P0J 1P0</t>
  </si>
  <si>
    <t>Madeleine</t>
  </si>
  <si>
    <t>Ziebarth</t>
  </si>
  <si>
    <t>tinaziebarth@yahoo.ca</t>
  </si>
  <si>
    <t>705 647 1690</t>
  </si>
  <si>
    <t>ON1892</t>
  </si>
  <si>
    <t>1366 Yonge Street, Suite 203, Toronto ON</t>
  </si>
  <si>
    <t>Tarjay Investments Inc.</t>
  </si>
  <si>
    <t>1366 Yonge Street</t>
  </si>
  <si>
    <t>M4T 3A7</t>
  </si>
  <si>
    <t>Joseph</t>
  </si>
  <si>
    <t>Dermastja</t>
  </si>
  <si>
    <t>416 924 4758</t>
  </si>
  <si>
    <t>ON1893</t>
  </si>
  <si>
    <t>180 Vine Street St Catharines ON</t>
  </si>
  <si>
    <t>Prime Real Estate Group Inc.</t>
  </si>
  <si>
    <t>200 Ronson Drive</t>
  </si>
  <si>
    <t>M9W 5Z9</t>
  </si>
  <si>
    <t>Elena</t>
  </si>
  <si>
    <t>Plesa</t>
  </si>
  <si>
    <t>eplesa@primerealestategroup.ca</t>
  </si>
  <si>
    <t>416 749 9954</t>
  </si>
  <si>
    <t>225</t>
  </si>
  <si>
    <t>ON1894</t>
  </si>
  <si>
    <t>2200 Fairview Street, Burlington ON</t>
  </si>
  <si>
    <t>1630199 Ontario Inc.</t>
  </si>
  <si>
    <t>2200 Fairview Street</t>
  </si>
  <si>
    <t>L7R 4H9</t>
  </si>
  <si>
    <t>Choi</t>
  </si>
  <si>
    <t>john.choi@utoronto.ca</t>
  </si>
  <si>
    <t>905 333 5668</t>
  </si>
  <si>
    <t>ON1895</t>
  </si>
  <si>
    <t>280 Queenston Road, Suite 101, Hamilton</t>
  </si>
  <si>
    <t>280 Queenston Inc.</t>
  </si>
  <si>
    <t>242 Main Street East</t>
  </si>
  <si>
    <t>L8N 1H5</t>
  </si>
  <si>
    <t>Ciardullo</t>
  </si>
  <si>
    <t>paulc@efforttrust.ca</t>
  </si>
  <si>
    <t>905 528 8956</t>
  </si>
  <si>
    <t>4128</t>
  </si>
  <si>
    <t>ON1896</t>
  </si>
  <si>
    <t>601 Hardwood Avenue South, Ajax ON</t>
  </si>
  <si>
    <t>Hardwood Medical Building Corp.</t>
  </si>
  <si>
    <t>555 Kingston Road</t>
  </si>
  <si>
    <t>L1S 6M1</t>
  </si>
  <si>
    <t>Bob</t>
  </si>
  <si>
    <t>Oldman</t>
  </si>
  <si>
    <t>boldman@lakeridge.com</t>
  </si>
  <si>
    <t>905 428 7677</t>
  </si>
  <si>
    <t>ON1897</t>
  </si>
  <si>
    <t>100 Holland Court, Bradford ON</t>
  </si>
  <si>
    <t>Town of Bradford West Gwillimbury</t>
  </si>
  <si>
    <t>125 Simcoe Road</t>
  </si>
  <si>
    <t>Bradford</t>
  </si>
  <si>
    <t>L3Z 1Y3</t>
  </si>
  <si>
    <t>O'Hare</t>
  </si>
  <si>
    <t>mohare@townofbwg.com</t>
  </si>
  <si>
    <t>905 775 5359</t>
  </si>
  <si>
    <t>ON1898</t>
  </si>
  <si>
    <t>950 Southdown Road, Unit 3B, Mississauga</t>
  </si>
  <si>
    <t>RioCan Management Inc.</t>
  </si>
  <si>
    <t>60 Bristol Road East</t>
  </si>
  <si>
    <t>Unit 1A</t>
  </si>
  <si>
    <t>L4Z 3K8</t>
  </si>
  <si>
    <t>Gord</t>
  </si>
  <si>
    <t>Brady</t>
  </si>
  <si>
    <t>gbrady@riocan.com</t>
  </si>
  <si>
    <t>905 361 3114</t>
  </si>
  <si>
    <t>ON1899</t>
  </si>
  <si>
    <t>4190 Finch Avenue East, Suite LL01, Toro</t>
  </si>
  <si>
    <t>Torgan Construction Limited - 4190 Finch Ave.</t>
  </si>
  <si>
    <t>Gabriela</t>
  </si>
  <si>
    <t>Hayward</t>
  </si>
  <si>
    <t>gaby@torgan.com</t>
  </si>
  <si>
    <t>647 998 5729</t>
  </si>
  <si>
    <t>ON1901</t>
  </si>
  <si>
    <t>200 Brock Street North, Whiby ON</t>
  </si>
  <si>
    <t>Whitby Medical Associates Ltd.</t>
  </si>
  <si>
    <t>200 Brock Street North</t>
  </si>
  <si>
    <t>L1N 4H5</t>
  </si>
  <si>
    <t>Soomae</t>
  </si>
  <si>
    <t>Li</t>
  </si>
  <si>
    <t>whitbyclinic@hotmail.com</t>
  </si>
  <si>
    <t>905 668 3378</t>
  </si>
  <si>
    <t>230</t>
  </si>
  <si>
    <t>ON1902</t>
  </si>
  <si>
    <t>807 Broadview Avenue, Suite 220, Toronto</t>
  </si>
  <si>
    <t>Northwest Healthcare Properties - 807 Broadview Ave.</t>
  </si>
  <si>
    <t>1849 Yonge Street</t>
  </si>
  <si>
    <t>M4S 1Y2</t>
  </si>
  <si>
    <t>Moez</t>
  </si>
  <si>
    <t>Jiwa</t>
  </si>
  <si>
    <t>moez.jiwa@nwhp.ca</t>
  </si>
  <si>
    <t>416 483 9523</t>
  </si>
  <si>
    <t>ON1905</t>
  </si>
  <si>
    <t>6633 Highway 7, Suite 010, Markham ON</t>
  </si>
  <si>
    <t>1567097 Ontario Ltd. O/A Ashgrove Medical Centre</t>
  </si>
  <si>
    <t>8953 Woodbine Avenue</t>
  </si>
  <si>
    <t>L3R 0J9</t>
  </si>
  <si>
    <t>Albert</t>
  </si>
  <si>
    <t>Marchand</t>
  </si>
  <si>
    <t>albert.marchand@krestongta.com</t>
  </si>
  <si>
    <t>905 474 9839</t>
  </si>
  <si>
    <t>ON1907</t>
  </si>
  <si>
    <t>222 King Street East, Suite 100, Bowmanv</t>
  </si>
  <si>
    <t>Bowmanville Professional Building Limited</t>
  </si>
  <si>
    <t>222 King Street East</t>
  </si>
  <si>
    <t>Suite 1102</t>
  </si>
  <si>
    <t>Bowmanville</t>
  </si>
  <si>
    <t>L1C 1P6</t>
  </si>
  <si>
    <t>Jim</t>
  </si>
  <si>
    <t>Wallace</t>
  </si>
  <si>
    <t>bpb222@outlook.com</t>
  </si>
  <si>
    <t>905 623 3476</t>
  </si>
  <si>
    <t>ON1911</t>
  </si>
  <si>
    <t>1615 Dufferin St., Suite 106, Toronto ON</t>
  </si>
  <si>
    <t>1066102 Ontario Inc.</t>
  </si>
  <si>
    <t>7050 Weston Road</t>
  </si>
  <si>
    <t>Suite 507</t>
  </si>
  <si>
    <t>Vaughan</t>
  </si>
  <si>
    <t>L4L 8G7</t>
  </si>
  <si>
    <t>Daniele</t>
  </si>
  <si>
    <t>Cudizio</t>
  </si>
  <si>
    <t>daniele@delucagroup.ca</t>
  </si>
  <si>
    <t>905 850 2464</t>
  </si>
  <si>
    <t>ON1912</t>
  </si>
  <si>
    <t>4430 Bathurst Street, Unit 211, Toronto</t>
  </si>
  <si>
    <t>Bayview Summit Development Limited</t>
  </si>
  <si>
    <t>1485 Whitehorse Road</t>
  </si>
  <si>
    <t>M3J 2Z2</t>
  </si>
  <si>
    <t>Johnson</t>
  </si>
  <si>
    <t>mark.johnson@bayviewwycliffe.com</t>
  </si>
  <si>
    <t>416 635 2910</t>
  </si>
  <si>
    <t>2109</t>
  </si>
  <si>
    <t>ON1913</t>
  </si>
  <si>
    <t>510 Ingersol Avenue, Suite 205, Woodstoc</t>
  </si>
  <si>
    <t>2187424 Ontario Inc.</t>
  </si>
  <si>
    <t>144 Bradgate Drive</t>
  </si>
  <si>
    <t>Thornhill</t>
  </si>
  <si>
    <t>L3T 7M2</t>
  </si>
  <si>
    <t>Demars</t>
  </si>
  <si>
    <t>k.demars@bell.net</t>
  </si>
  <si>
    <t>519 917 5300</t>
  </si>
  <si>
    <t>ON1914</t>
  </si>
  <si>
    <t>2863 Ellesmere Road, Suite 201, Toronto</t>
  </si>
  <si>
    <t>Par-Med Property Services Inc. - 2863 Ellesmere Rd.</t>
  </si>
  <si>
    <t>ON1915</t>
  </si>
  <si>
    <t>10425 Kennedy Road North, Suite 104, Bra</t>
  </si>
  <si>
    <t>The Typhon Group Ltd. - 10425 Kennedy Rd. N.</t>
  </si>
  <si>
    <t>8400 Jane Street</t>
  </si>
  <si>
    <t>Concord</t>
  </si>
  <si>
    <t>L4K 4L8</t>
  </si>
  <si>
    <t>Mull</t>
  </si>
  <si>
    <t>cmull@typhon-group.com</t>
  </si>
  <si>
    <t>416 775 5382</t>
  </si>
  <si>
    <t>ON1916</t>
  </si>
  <si>
    <t>40 Finchgate Blvd., Brampton ON</t>
  </si>
  <si>
    <t>The Typhon Group Ltd. - 40 Finchgate Blvd.</t>
  </si>
  <si>
    <t>ON1917</t>
  </si>
  <si>
    <t>800 Bathurst Street, Suite 306, Toronto</t>
  </si>
  <si>
    <t>The Typhon Group Ltd. - 800 Bathurst Street</t>
  </si>
  <si>
    <t>ON1918</t>
  </si>
  <si>
    <t>600 Sherbourne, Toronto ON</t>
  </si>
  <si>
    <t>Unit 15</t>
  </si>
  <si>
    <t>L3R 3Y4</t>
  </si>
  <si>
    <t>55</t>
  </si>
  <si>
    <t>Admin</t>
  </si>
  <si>
    <t>ON1919</t>
  </si>
  <si>
    <t>535 Belmont Avenue West, Kitchener</t>
  </si>
  <si>
    <t>2463198 Ontario Inc.</t>
  </si>
  <si>
    <t>342 Old Post Road</t>
  </si>
  <si>
    <t>N2L 5Y7</t>
  </si>
  <si>
    <t>Madhuri</t>
  </si>
  <si>
    <t>Nathwani</t>
  </si>
  <si>
    <t>madhuri_nathwani@hotmail.com</t>
  </si>
  <si>
    <t>519-572-1698</t>
  </si>
  <si>
    <t>ON1920</t>
  </si>
  <si>
    <t>3025 Hurontario Street, Suite 503, Missi</t>
  </si>
  <si>
    <t>Centre City Capital Limited</t>
  </si>
  <si>
    <t>1 Port Street East</t>
  </si>
  <si>
    <t>L5G 4N1</t>
  </si>
  <si>
    <t>Dawn</t>
  </si>
  <si>
    <t>O'Toole</t>
  </si>
  <si>
    <t>dotoole@centrecity.ca</t>
  </si>
  <si>
    <t>905 274 5212</t>
  </si>
  <si>
    <t>ON1921</t>
  </si>
  <si>
    <t>430 The Boardwalk, Suite D, Waterloo ON</t>
  </si>
  <si>
    <t>PAR-Med Property Services Inc - 430 The Baordwalk</t>
  </si>
  <si>
    <t>ON1922</t>
  </si>
  <si>
    <t>130 Cedar Street West, Unit #5, Cambridg</t>
  </si>
  <si>
    <t>Terrace Manor Limited</t>
  </si>
  <si>
    <t>1407 Yonge Street</t>
  </si>
  <si>
    <t>Suite 303</t>
  </si>
  <si>
    <t>M4T 1Y7</t>
  </si>
  <si>
    <t>Harvey</t>
  </si>
  <si>
    <t>Diamond</t>
  </si>
  <si>
    <t>harvey@terracemanor.ca</t>
  </si>
  <si>
    <t>416 968-6555</t>
  </si>
  <si>
    <t>ON1923</t>
  </si>
  <si>
    <t>12277 Tenth Street, Stouffville ON</t>
  </si>
  <si>
    <t>Craigmore Construction Limited</t>
  </si>
  <si>
    <t>881 St Clair Avenue West</t>
  </si>
  <si>
    <t>M6C 1C4</t>
  </si>
  <si>
    <t>rondoucette@rogers.com</t>
  </si>
  <si>
    <t>416 789 4145</t>
  </si>
  <si>
    <t>ON1924</t>
  </si>
  <si>
    <t>1615 Dundas Street East, Whitby ON</t>
  </si>
  <si>
    <t>Impexxus Realty Whitby Inc.</t>
  </si>
  <si>
    <t>1615 Dundas Street East</t>
  </si>
  <si>
    <t>Whitby</t>
  </si>
  <si>
    <t>L1N 2LI</t>
  </si>
  <si>
    <t>Wade</t>
  </si>
  <si>
    <t>Halabi</t>
  </si>
  <si>
    <t>canada1tax@gmail.com</t>
  </si>
  <si>
    <t>416 519 0787</t>
  </si>
  <si>
    <t>ON1925</t>
  </si>
  <si>
    <t>340 College Street, Suite 401, Toronto O</t>
  </si>
  <si>
    <t>C.D.P. Property Management Inc.</t>
  </si>
  <si>
    <t>5 Mcintosh Drive</t>
  </si>
  <si>
    <t>L3R 8C7</t>
  </si>
  <si>
    <t>Raffaela</t>
  </si>
  <si>
    <t>Di Paola</t>
  </si>
  <si>
    <t>rdipaola@trebnet.com</t>
  </si>
  <si>
    <t>905 475 1433</t>
  </si>
  <si>
    <t>222</t>
  </si>
  <si>
    <t>ON1926</t>
  </si>
  <si>
    <t>2065 Finche Avenue West, Suite 301, Toro</t>
  </si>
  <si>
    <t>Avison Young - 2065 Finch Ave. W.</t>
  </si>
  <si>
    <t>401 Bay Street</t>
  </si>
  <si>
    <t>11th Floor</t>
  </si>
  <si>
    <t>Mail Box #11</t>
  </si>
  <si>
    <t>M5H 2Y4</t>
  </si>
  <si>
    <t>Pieri</t>
  </si>
  <si>
    <t>damian.pieri@avisonyoung.com</t>
  </si>
  <si>
    <t>905 968 8026</t>
  </si>
  <si>
    <t>ON1927</t>
  </si>
  <si>
    <t>688 Coxwell Avenue, Suite 100/109, Toron</t>
  </si>
  <si>
    <t>The Typhon Group Ltd. - 688 Coxwell Ave.</t>
  </si>
  <si>
    <t>admin@typhon-group.com</t>
  </si>
  <si>
    <t>ON1928</t>
  </si>
  <si>
    <t>5400 Portage Road, Unit 1 and 3, Niagra</t>
  </si>
  <si>
    <t>ON1929</t>
  </si>
  <si>
    <t>36 Vodden Street East, Brampton ON</t>
  </si>
  <si>
    <t>Wilsondale Assets Management Inc.</t>
  </si>
  <si>
    <t>71 Silton Road</t>
  </si>
  <si>
    <t>Suite 10</t>
  </si>
  <si>
    <t>L4L 7Z8</t>
  </si>
  <si>
    <t>Roberto</t>
  </si>
  <si>
    <t>Ferrari</t>
  </si>
  <si>
    <t>roberto@wilsondale.ca</t>
  </si>
  <si>
    <t>905 264 1555</t>
  </si>
  <si>
    <t>ON1930</t>
  </si>
  <si>
    <t>1935 Paris Street, Sudbury ON</t>
  </si>
  <si>
    <t>Eldon Drug Limited</t>
  </si>
  <si>
    <t>1630 Paris Street</t>
  </si>
  <si>
    <t>Unit 504</t>
  </si>
  <si>
    <t>P3C 3C1</t>
  </si>
  <si>
    <t>Fred</t>
  </si>
  <si>
    <t>Mens</t>
  </si>
  <si>
    <t>fredcmens@gmail.com</t>
  </si>
  <si>
    <t>705 929 6599</t>
  </si>
  <si>
    <t>ON1931</t>
  </si>
  <si>
    <t>124 Barker Street, London ON</t>
  </si>
  <si>
    <t>1919187 Ontario Limited</t>
  </si>
  <si>
    <t>165 Dundas Street</t>
  </si>
  <si>
    <t>Suite 618</t>
  </si>
  <si>
    <t>L5B 2N6</t>
  </si>
  <si>
    <t>Naimul</t>
  </si>
  <si>
    <t>Lodi</t>
  </si>
  <si>
    <t>lnaimul@yahoo.com</t>
  </si>
  <si>
    <t>416-816-0305</t>
  </si>
  <si>
    <t>ON1933</t>
  </si>
  <si>
    <t>4235 Sheppard Avenue East, Toronto ON</t>
  </si>
  <si>
    <t>Comfield Management Services Inc.</t>
  </si>
  <si>
    <t>2171 Avenue Road</t>
  </si>
  <si>
    <t>M5M 4B4</t>
  </si>
  <si>
    <t>Vivian</t>
  </si>
  <si>
    <t>Foo</t>
  </si>
  <si>
    <t>vivianf@cfdi.ca</t>
  </si>
  <si>
    <t>416 640 6730</t>
  </si>
  <si>
    <t>112</t>
  </si>
  <si>
    <t>ON1936</t>
  </si>
  <si>
    <t>89 Humber College Blvd., Toronto ON</t>
  </si>
  <si>
    <t>William Osler Health System</t>
  </si>
  <si>
    <t>2100 Bovaird Drive East</t>
  </si>
  <si>
    <t>Brampton</t>
  </si>
  <si>
    <t>L6R 3J7</t>
  </si>
  <si>
    <t>Lucy</t>
  </si>
  <si>
    <t>Oliver</t>
  </si>
  <si>
    <t>lucy.oliver@williamoslerhs.ca</t>
  </si>
  <si>
    <t>905 494 2100</t>
  </si>
  <si>
    <t>ON1938</t>
  </si>
  <si>
    <t>1400 Ritson Road North, Oshawa ON</t>
  </si>
  <si>
    <t>734963 Ontario Ltd.</t>
  </si>
  <si>
    <t>1400 Ritson Road North</t>
  </si>
  <si>
    <t>L1G 7W4</t>
  </si>
  <si>
    <t>Lainey</t>
  </si>
  <si>
    <t>nomcp@sympatico.ca</t>
  </si>
  <si>
    <t>905 433 4284</t>
  </si>
  <si>
    <t>ON1939</t>
  </si>
  <si>
    <t>807 St. George Street, Port Dover ON</t>
  </si>
  <si>
    <t>Port Dover Medical R.C.C.</t>
  </si>
  <si>
    <t>807 St. George Street</t>
  </si>
  <si>
    <t>Port Dover</t>
  </si>
  <si>
    <t>N0A 1N0</t>
  </si>
  <si>
    <t>Willaert</t>
  </si>
  <si>
    <t>willaert@pharmacy@hotmail.com</t>
  </si>
  <si>
    <t>519 583 3335</t>
  </si>
  <si>
    <t>ON1940</t>
  </si>
  <si>
    <t>840 Coxwell Avenue, Suite 217, Toronto O</t>
  </si>
  <si>
    <t>Toronto East General Hospital</t>
  </si>
  <si>
    <t>825 Coxwell Avenue</t>
  </si>
  <si>
    <t>M4C 3E7</t>
  </si>
  <si>
    <t>Rena</t>
  </si>
  <si>
    <t>Ellinas</t>
  </si>
  <si>
    <t>relli@tegh.on.ca</t>
  </si>
  <si>
    <t>416 469 6580</t>
  </si>
  <si>
    <t>3454</t>
  </si>
  <si>
    <t>ON1941</t>
  </si>
  <si>
    <t>2333 Dundas Street West, Suite 301, Toro</t>
  </si>
  <si>
    <t>Windsor Construction Company</t>
  </si>
  <si>
    <t>2333 Dundas Street West, Suite 210</t>
  </si>
  <si>
    <t>M6R 3A6</t>
  </si>
  <si>
    <t>Koplowitz</t>
  </si>
  <si>
    <t>windsorconstruction@bellnet.ca</t>
  </si>
  <si>
    <t>416 534 6216</t>
  </si>
  <si>
    <t>ON1942</t>
  </si>
  <si>
    <t>4129 Lawrence Avenue East, Toronto ON</t>
  </si>
  <si>
    <t>Woburn Medical Dental Centre Inc.</t>
  </si>
  <si>
    <t>4129 Lawrence Avenue East</t>
  </si>
  <si>
    <t>M1E 2S2</t>
  </si>
  <si>
    <t>Padmore</t>
  </si>
  <si>
    <t>woburn.med@rogers.com</t>
  </si>
  <si>
    <t>416 439 1982</t>
  </si>
  <si>
    <t>ON1943</t>
  </si>
  <si>
    <t>421 Greenbrook Drive, Unit 23A, K</t>
  </si>
  <si>
    <t>Oxford Medical Imaging - 421 Greenbrook Dr.</t>
  </si>
  <si>
    <t>430 The Boardwalk</t>
  </si>
  <si>
    <t>N2T OC1</t>
  </si>
  <si>
    <t>Mackay-Dunn</t>
  </si>
  <si>
    <t>reid.mackay-dunn@oxfordmedicalimaging.ca</t>
  </si>
  <si>
    <t>416 233 5460</t>
  </si>
  <si>
    <t>ON1945</t>
  </si>
  <si>
    <t>5010 Timberlea Blvd., Mississauga ON</t>
  </si>
  <si>
    <t>Public Storage Canada</t>
  </si>
  <si>
    <t>5010 Timberlea Blvd.</t>
  </si>
  <si>
    <t>L4W 2S5</t>
  </si>
  <si>
    <t>Aloma</t>
  </si>
  <si>
    <t>De Zilwa</t>
  </si>
  <si>
    <t>P0016@publicstorage.ca</t>
  </si>
  <si>
    <t>CML / Storage</t>
  </si>
  <si>
    <t>905 625 9078</t>
  </si>
  <si>
    <t>ON1948</t>
  </si>
  <si>
    <t>7131 Bathurst Street, Suite 106, Thornhi</t>
  </si>
  <si>
    <t>North Med Developments</t>
  </si>
  <si>
    <t>edwin@torgan.com</t>
  </si>
  <si>
    <t>ON1952</t>
  </si>
  <si>
    <t>1436 Royal York Road, Toronto ON</t>
  </si>
  <si>
    <t>PAR-Med Property Services - 1436 Royal York Rd</t>
  </si>
  <si>
    <t>kmccarthy@pard-med.com</t>
  </si>
  <si>
    <t>ON1961</t>
  </si>
  <si>
    <t>14-16 Cross Street, Dundas ON</t>
  </si>
  <si>
    <t>Mark Shankman</t>
  </si>
  <si>
    <t>4 Ogilvie Street</t>
  </si>
  <si>
    <t>Dundas</t>
  </si>
  <si>
    <t>L9H 2S2</t>
  </si>
  <si>
    <t>Shankman</t>
  </si>
  <si>
    <t>markevanshankman@hotmail.com</t>
  </si>
  <si>
    <t>905-902-7776</t>
  </si>
  <si>
    <t>ON1984</t>
  </si>
  <si>
    <t>1105 Kingston Road, Pickering ON</t>
  </si>
  <si>
    <t>Oxford Partners Inc - 1105 Kingston Road</t>
  </si>
  <si>
    <t>4949 Bathurst Street</t>
  </si>
  <si>
    <t>M2R 1Y1</t>
  </si>
  <si>
    <t>416 223 5460</t>
  </si>
  <si>
    <t>ON1986</t>
  </si>
  <si>
    <t>105 Main Street, Delhi ON</t>
  </si>
  <si>
    <t>Delhi Community Health Centre</t>
  </si>
  <si>
    <t>105 Main Street</t>
  </si>
  <si>
    <t>Delhi</t>
  </si>
  <si>
    <t>N4B 2L8</t>
  </si>
  <si>
    <t>Vanlondersele</t>
  </si>
  <si>
    <t>linda@dchc.ca</t>
  </si>
  <si>
    <t>519 582 2323</t>
  </si>
  <si>
    <t>ON1988</t>
  </si>
  <si>
    <t>2562 Lawrence Ave. E., Scarborough ON</t>
  </si>
  <si>
    <t>Colliers Macaulay Nicolls Inc. ITF Lawrence Midland MF Holding Corp.</t>
  </si>
  <si>
    <t>4 Robert Speck Parkway</t>
  </si>
  <si>
    <t>Suite 260</t>
  </si>
  <si>
    <t>L4Z 1S1</t>
  </si>
  <si>
    <t>michael.george@colliers.com</t>
  </si>
  <si>
    <t>905 281 7217</t>
  </si>
  <si>
    <t>ON1989</t>
  </si>
  <si>
    <t>65 Donly Drive, SImcoe ON</t>
  </si>
  <si>
    <t>SSJL Holdings Inc.</t>
  </si>
  <si>
    <t>2630 Kipling Avenue</t>
  </si>
  <si>
    <t>Suite 1</t>
  </si>
  <si>
    <t>Rexdale</t>
  </si>
  <si>
    <t>M9V 4B9</t>
  </si>
  <si>
    <t>Anca</t>
  </si>
  <si>
    <t>Niculae</t>
  </si>
  <si>
    <t>aniculae@humbervalleyimaging.com</t>
  </si>
  <si>
    <t>PSC / Sublease</t>
  </si>
  <si>
    <t>416-748-8434</t>
  </si>
  <si>
    <t>ON1993</t>
  </si>
  <si>
    <t>210 Kortright Road East, Guelph ON</t>
  </si>
  <si>
    <t>Riocan Management Inc. - 210 Kortright Road East</t>
  </si>
  <si>
    <t>395 Wellington Road South</t>
  </si>
  <si>
    <t>N6C 5Z6</t>
  </si>
  <si>
    <t>Swiston</t>
  </si>
  <si>
    <t>dswiston@riocan.com</t>
  </si>
  <si>
    <t>519-457-3404</t>
  </si>
  <si>
    <t>ON1995</t>
  </si>
  <si>
    <t>2330 Kennedy Road, Scarborough ON</t>
  </si>
  <si>
    <t>CBRE Limited - 2330 Kennedy Road</t>
  </si>
  <si>
    <t>2001 Sheppard Avenue East</t>
  </si>
  <si>
    <t>M2J 4Z8</t>
  </si>
  <si>
    <t>Trent</t>
  </si>
  <si>
    <t>Pringle</t>
  </si>
  <si>
    <t>trent.pringle@cbre.com</t>
  </si>
  <si>
    <t>416-495-6242</t>
  </si>
  <si>
    <t>ON1996</t>
  </si>
  <si>
    <t>526 St. Clair Avenue West, Toronto ON</t>
  </si>
  <si>
    <t>530 St. Clair Commercial Centre Inc.</t>
  </si>
  <si>
    <t>10 Kodiak Cres</t>
  </si>
  <si>
    <t>M3J 3G5</t>
  </si>
  <si>
    <t>Karapanev</t>
  </si>
  <si>
    <t>alekk@lashgroup.ca</t>
  </si>
  <si>
    <t>416 630 9393</t>
  </si>
  <si>
    <t>ON1998</t>
  </si>
  <si>
    <t>575 River Glen Blvd., Oakville ON</t>
  </si>
  <si>
    <t>ARJ Investments Ltd.</t>
  </si>
  <si>
    <t>255 Duncan Mill Road</t>
  </si>
  <si>
    <t>Suite 308</t>
  </si>
  <si>
    <t>M3B 3H9</t>
  </si>
  <si>
    <t>Mariam</t>
  </si>
  <si>
    <t>Ahmed</t>
  </si>
  <si>
    <t>mariam@arj.ca</t>
  </si>
  <si>
    <t>416 447 9334</t>
  </si>
  <si>
    <t>ON1999</t>
  </si>
  <si>
    <t>11 Lakeside Terrace, Barrie ON</t>
  </si>
  <si>
    <t>Melchoir Management 777 Corporation</t>
  </si>
  <si>
    <t>Suite #300</t>
  </si>
  <si>
    <t>P.O Box 628</t>
  </si>
  <si>
    <t>L4M 4V1</t>
  </si>
  <si>
    <t>Trentadue</t>
  </si>
  <si>
    <t>mtrentadue@mmcorp.ca</t>
  </si>
  <si>
    <t>705-722-6706</t>
  </si>
  <si>
    <t>272</t>
  </si>
  <si>
    <t>ON2000</t>
  </si>
  <si>
    <t>2340 Dundas St. W. Unit G-27, Toronto ON</t>
  </si>
  <si>
    <t>Creccal Investments Ltd.</t>
  </si>
  <si>
    <t>2340 Dundas Street West</t>
  </si>
  <si>
    <t>Main Floor, Administration Office</t>
  </si>
  <si>
    <t>M6P 4A9</t>
  </si>
  <si>
    <t>Luigi</t>
  </si>
  <si>
    <t>Di Geso</t>
  </si>
  <si>
    <t>ldigeso@creccal.com</t>
  </si>
  <si>
    <t>416-532-3331</t>
  </si>
  <si>
    <t>1040 Oliver Road, Thunder Bay ON</t>
  </si>
  <si>
    <t>2359031 Ontario Inc.</t>
  </si>
  <si>
    <t>560 Squier Place</t>
  </si>
  <si>
    <t>P.O. Box 10662</t>
  </si>
  <si>
    <t>P7B 6V1</t>
  </si>
  <si>
    <t>Jones</t>
  </si>
  <si>
    <t>tajones@tomjonescorp.com</t>
  </si>
  <si>
    <t>807 345 1204</t>
  </si>
  <si>
    <t>ON2002</t>
  </si>
  <si>
    <t>86 Angeline Street S., #100, Lindsay, ON</t>
  </si>
  <si>
    <t>NorthWest Healthcare Prop. (86 Angeline, Lindsay)</t>
  </si>
  <si>
    <t>ON2003</t>
  </si>
  <si>
    <t>1448 Lawrence Ave., Toronto, ON</t>
  </si>
  <si>
    <t>First Capital Holdings (Ontario) Corp. - 1448 Lawrence</t>
  </si>
  <si>
    <t>85 Ellesmere Road</t>
  </si>
  <si>
    <t>M1R 4B8</t>
  </si>
  <si>
    <t>Debora</t>
  </si>
  <si>
    <t>Heath</t>
  </si>
  <si>
    <t>debora.heath@fcrms.ca</t>
  </si>
  <si>
    <t>416-445-3108</t>
  </si>
  <si>
    <t>232</t>
  </si>
  <si>
    <t>ON2004</t>
  </si>
  <si>
    <t>33 Farley Drive, Guelph ON</t>
  </si>
  <si>
    <t>Westminister Square Ltd.</t>
  </si>
  <si>
    <t>5068 Whitelaw Road</t>
  </si>
  <si>
    <t>RR#6 - Unit 1</t>
  </si>
  <si>
    <t>N1H 6J3</t>
  </si>
  <si>
    <t>Langolle</t>
  </si>
  <si>
    <t>dlangolle@coldpt.com</t>
  </si>
  <si>
    <t>519-827-1900</t>
  </si>
  <si>
    <t>4</t>
  </si>
  <si>
    <t>ON2005</t>
  </si>
  <si>
    <t>6505 Tecumseh Road East, Windsor ON</t>
  </si>
  <si>
    <t>Today Management (Windsor) Inc.</t>
  </si>
  <si>
    <t>300 Giles Blvd.</t>
  </si>
  <si>
    <t>Suite B</t>
  </si>
  <si>
    <t>N9A 4C4</t>
  </si>
  <si>
    <t>Joy</t>
  </si>
  <si>
    <t>Laramie</t>
  </si>
  <si>
    <t>tmwi@mnsi.net</t>
  </si>
  <si>
    <t>519-254-5193</t>
  </si>
  <si>
    <t>ON2006</t>
  </si>
  <si>
    <t>37 Voyager Court North, Toronto ON</t>
  </si>
  <si>
    <t>Sunup Realty Inc.</t>
  </si>
  <si>
    <t>470 Midwest Road</t>
  </si>
  <si>
    <t>M1P 4Y5</t>
  </si>
  <si>
    <t>Hopper</t>
  </si>
  <si>
    <t>kim.hopper@sunuprealty.com</t>
  </si>
  <si>
    <t>416-288-9968</t>
  </si>
  <si>
    <t>ON2008</t>
  </si>
  <si>
    <t>18 Kensington Rd. Suite 303, Bramalea ON</t>
  </si>
  <si>
    <t>Bramalea Medical Holdings Limited</t>
  </si>
  <si>
    <t>c/o Mallette-Goring (Southern) Ltd.</t>
  </si>
  <si>
    <t>P.O Box 310</t>
  </si>
  <si>
    <t>K0M 1AO</t>
  </si>
  <si>
    <t>908-874-0811</t>
  </si>
  <si>
    <t>Sessional</t>
  </si>
  <si>
    <t>ON2009</t>
  </si>
  <si>
    <t>520 Ellesmere Road, Scarborugh ON</t>
  </si>
  <si>
    <t>1828700 Ontario Inc.</t>
  </si>
  <si>
    <t>511 Millway Avenue</t>
  </si>
  <si>
    <t>L4K 3V4</t>
  </si>
  <si>
    <t>Ray</t>
  </si>
  <si>
    <t>Atienza</t>
  </si>
  <si>
    <t>rey@520medical.com</t>
  </si>
  <si>
    <t>416-909-0758</t>
  </si>
  <si>
    <t>ON2010</t>
  </si>
  <si>
    <t>3075 Hospital Gate, Oakville ON</t>
  </si>
  <si>
    <t>The Torgan Group</t>
  </si>
  <si>
    <t>Kurt</t>
  </si>
  <si>
    <t>Gunmer</t>
  </si>
  <si>
    <t>kurt@torgan.com</t>
  </si>
  <si>
    <t>416-221-9348</t>
  </si>
  <si>
    <t>314</t>
  </si>
  <si>
    <t>ON2012</t>
  </si>
  <si>
    <t>139 Greenbank Road, Ottawa ON</t>
  </si>
  <si>
    <t>Gold Key Management Corp.</t>
  </si>
  <si>
    <t>303-275 Bank Street</t>
  </si>
  <si>
    <t>K2P 2L6</t>
  </si>
  <si>
    <t>Caparelli</t>
  </si>
  <si>
    <t>Michael@high-rise.ca</t>
  </si>
  <si>
    <t>613-725-1111</t>
  </si>
  <si>
    <t>223</t>
  </si>
  <si>
    <t>ON2013</t>
  </si>
  <si>
    <t>1871 Danforth Avenue, Toronto ON</t>
  </si>
  <si>
    <t>Delcom Management Services Inc. - 1871 Danforth Ave.</t>
  </si>
  <si>
    <t>4810 Dufferin Street</t>
  </si>
  <si>
    <t>Suite E</t>
  </si>
  <si>
    <t>M3H 5S8</t>
  </si>
  <si>
    <t>416-664-5168</t>
  </si>
  <si>
    <t>ON2015</t>
  </si>
  <si>
    <t>40 Shellington Avenue, Brantford ON</t>
  </si>
  <si>
    <t>Mohawk Brantford Inc.</t>
  </si>
  <si>
    <t>161 Bay Street</t>
  </si>
  <si>
    <t>27th Floor</t>
  </si>
  <si>
    <t>Anton</t>
  </si>
  <si>
    <t>Bondarenko</t>
  </si>
  <si>
    <t>abondarenko@mohawkmedical.ca</t>
  </si>
  <si>
    <t>416-532-2226</t>
  </si>
  <si>
    <t>ON1983</t>
  </si>
  <si>
    <t>1290 Ellesmere Road, Scarborough ON</t>
  </si>
  <si>
    <t>Anna Dan and 1018774 Ontario Ltd.</t>
  </si>
  <si>
    <t>298 Sheppard Avenue</t>
  </si>
  <si>
    <t>M2N 1N5</t>
  </si>
  <si>
    <t>Gottieb</t>
  </si>
  <si>
    <t>bgottlieb@midkingproperties.com</t>
  </si>
  <si>
    <t>CML / Analytics</t>
  </si>
  <si>
    <t>(416) 665-1458</t>
  </si>
  <si>
    <t>ON1755</t>
  </si>
  <si>
    <t>51 Adam Street, Belleville, ON</t>
  </si>
  <si>
    <t>Pan Properties Limited</t>
  </si>
  <si>
    <t>P. O. Box 666</t>
  </si>
  <si>
    <t>K8N 5B3</t>
  </si>
  <si>
    <t>Mehgan</t>
  </si>
  <si>
    <t>Meathrell</t>
  </si>
  <si>
    <t>613-966-5200</t>
  </si>
  <si>
    <t>ON1991</t>
  </si>
  <si>
    <t>PSC / Lab / Admin</t>
  </si>
  <si>
    <t>ON0161</t>
  </si>
  <si>
    <t>1265 Arthur Street East, Thunder Bay ON</t>
  </si>
  <si>
    <t>Chartier Property Management Inc.</t>
  </si>
  <si>
    <t>877 Corydon Avenue</t>
  </si>
  <si>
    <t>Unit #200</t>
  </si>
  <si>
    <t>Winnapeg</t>
  </si>
  <si>
    <t>Manitoba</t>
  </si>
  <si>
    <t>R3M 0W7</t>
  </si>
  <si>
    <t>McNabb</t>
  </si>
  <si>
    <t>mikem@chartierpropertymgmt.com</t>
  </si>
  <si>
    <t>807-622-7377</t>
  </si>
  <si>
    <t>ON1644</t>
  </si>
  <si>
    <t>746 Baseline Rd East, London, ON</t>
  </si>
  <si>
    <t>FCR Management Services LP (Baseline Road)</t>
  </si>
  <si>
    <t>589 Fairway Road Services LP</t>
  </si>
  <si>
    <t>Baden</t>
  </si>
  <si>
    <t>angela.baden@fcrms.ca</t>
  </si>
  <si>
    <t>ON1779</t>
  </si>
  <si>
    <t>65 Larch Street, Sudbury, ON</t>
  </si>
  <si>
    <t>Northwest Healthcare Properties Corp. - 65 Larch Street</t>
  </si>
  <si>
    <t>705 791 7376</t>
  </si>
  <si>
    <t>ON1834</t>
  </si>
  <si>
    <t>ON1840</t>
  </si>
  <si>
    <t>1473 John Counter Blvd., Kingston, ON</t>
  </si>
  <si>
    <t>Bob Martin Contruction Co. Ltd.</t>
  </si>
  <si>
    <t>1473 John Counter Blvd.</t>
  </si>
  <si>
    <t>K7M 8Z6</t>
  </si>
  <si>
    <t>Curtis</t>
  </si>
  <si>
    <t>Branscombe</t>
  </si>
  <si>
    <t>curtis@martingroup.ca</t>
  </si>
  <si>
    <t>613 548 7136</t>
  </si>
  <si>
    <t>15</t>
  </si>
  <si>
    <t>ON1979</t>
  </si>
  <si>
    <t>6560 Kennedy Road, Mississauga ON</t>
  </si>
  <si>
    <t>The Typhon Group Ltd - 6560 Kennedy Road</t>
  </si>
  <si>
    <t>Suite 200A</t>
  </si>
  <si>
    <t>L4K 4C8</t>
  </si>
  <si>
    <t>CML / Admin</t>
  </si>
  <si>
    <t>3460 Schmon Parkway, Thorold, ON</t>
  </si>
  <si>
    <t xml:space="preserve">Kevin </t>
  </si>
  <si>
    <t>Patterson</t>
  </si>
  <si>
    <t>kevin.patterson@lifelabs.com</t>
  </si>
  <si>
    <t>100 International Blvd, Toronto ON</t>
  </si>
  <si>
    <t>ON3000</t>
  </si>
  <si>
    <t>ON3001</t>
  </si>
  <si>
    <t>Salim Kanani</t>
  </si>
  <si>
    <t>200 Lorraine Ave</t>
  </si>
  <si>
    <t>Kitchener, O.N.</t>
  </si>
  <si>
    <t>Ken</t>
  </si>
  <si>
    <t>ktrinh@dmsproperty.com</t>
  </si>
  <si>
    <t>154 Civic Centre Rd</t>
  </si>
  <si>
    <t>Petawawa, O.N</t>
  </si>
  <si>
    <t>CRECCAL INVESTMENTS LTD</t>
  </si>
  <si>
    <t>2340 DUNDAS ST WEST, UNIT G-27</t>
  </si>
  <si>
    <t>Plastic, Glass Bottles, Mixed Paper , Cardboard, Metal Can</t>
  </si>
  <si>
    <t>Toronto, O.N.</t>
  </si>
  <si>
    <t>Brad
Michael</t>
  </si>
  <si>
    <t>Stoneburgh
Evans</t>
  </si>
  <si>
    <t>bstoneburgh@par-med.com
mevans@par-med.com</t>
  </si>
  <si>
    <t>416 364 5959
416 364 5959</t>
  </si>
  <si>
    <t>403
426</t>
  </si>
  <si>
    <t>Carlo
Dave</t>
  </si>
  <si>
    <t>Calla Lana
Casimiro</t>
  </si>
  <si>
    <t>cdl@nwhreit.com
ldave.casimiro@nwhreit.com</t>
  </si>
  <si>
    <t>416-366-2000
416-366-2000</t>
  </si>
  <si>
    <t>4101
4302</t>
  </si>
  <si>
    <t>'auroramedicalinc@gmail.com'</t>
  </si>
  <si>
    <t>gwalker@themedicalcentre.net]</t>
  </si>
  <si>
    <t>The Typhon Group - 5400 Portage Road
NSCC #11-B-1</t>
  </si>
  <si>
    <t>8400 Jane Street
P.O. Box 877</t>
  </si>
  <si>
    <t>Craig
Patricia</t>
  </si>
  <si>
    <t xml:space="preserve">cmull@typhon-group.com
shabri@niagara.com
</t>
  </si>
  <si>
    <t>416 775 5382
(905) 684-6333</t>
  </si>
  <si>
    <t>Ron
Sid</t>
  </si>
  <si>
    <t>Doucette
Jelinek</t>
  </si>
  <si>
    <t>York Condo Corp No 194 c/o ICC Property Management Ltd.
The Typhon Group Ltd. - 600 Sherbourne St.</t>
  </si>
  <si>
    <t>1151 Denison Street
8400 Jane Street</t>
  </si>
  <si>
    <t>Avi
Craig</t>
  </si>
  <si>
    <t>Goldshmidt
Mull</t>
  </si>
  <si>
    <t xml:space="preserve">agoldshmidt@iccpropertymanagement.com
cmull@typhon-group.com
</t>
  </si>
  <si>
    <t>905 940 1234
416 775 5382</t>
  </si>
  <si>
    <t>Kim
Margaret</t>
  </si>
  <si>
    <t>Hillis
LaRocca</t>
  </si>
  <si>
    <t>khillis@riocan.com
mlarocca@riocan.com</t>
  </si>
  <si>
    <t>Carmela
Judi</t>
  </si>
  <si>
    <t>Corrado
Francis</t>
  </si>
  <si>
    <t>carmela.corrado@choicereit.ca
lisa.stys@choicereit.ca</t>
  </si>
  <si>
    <t>416 232 3035
905 336 1881</t>
  </si>
  <si>
    <t xml:space="preserve">
11</t>
  </si>
  <si>
    <t>Andrew
Brad</t>
  </si>
  <si>
    <t>Palin
Stoneburgh</t>
  </si>
  <si>
    <t>apalin@par-med.com
bstoneburgh@par-med.com</t>
  </si>
  <si>
    <t>416-364-5959
416 364 5959</t>
  </si>
  <si>
    <t>402
403</t>
  </si>
  <si>
    <t>Desmond
Peter</t>
  </si>
  <si>
    <t>Au
Tsang</t>
  </si>
  <si>
    <t>Jean
Mark</t>
  </si>
  <si>
    <t>Coles
Bennett</t>
  </si>
  <si>
    <t>jean.coles@nwhp.ca
mark.bennett@nwhp.cca</t>
  </si>
  <si>
    <t>1 888 366 6947
416 366 2000</t>
  </si>
  <si>
    <t>4563
241</t>
  </si>
  <si>
    <t>Carmen
Jennifer</t>
  </si>
  <si>
    <t>Colafella
Huntley</t>
  </si>
  <si>
    <t>colafellac@davpart.com
huntleyj@davpart.com</t>
  </si>
  <si>
    <t>416 222 3010
416 222 3010</t>
  </si>
  <si>
    <t>287
249</t>
  </si>
  <si>
    <t>Campbell
John</t>
  </si>
  <si>
    <t>McClure
Santos</t>
  </si>
  <si>
    <t>905 874 0811
416 921 3180</t>
  </si>
  <si>
    <t>Natalka
Wayne</t>
  </si>
  <si>
    <t>Falcomer
Cruwys</t>
  </si>
  <si>
    <t>416 532 2220
613 849 5450</t>
  </si>
  <si>
    <t>Katherine
Robert</t>
  </si>
  <si>
    <t>Keeling
Cristiano</t>
  </si>
  <si>
    <t>katherine@sterlingkaramar.com
robert@sterlingkaramar.com</t>
  </si>
  <si>
    <t>416 847 4686
416 256 4434</t>
  </si>
  <si>
    <t xml:space="preserve">
238</t>
  </si>
  <si>
    <t>Anthony
Nadia</t>
  </si>
  <si>
    <t>Koncan
Hindi</t>
  </si>
  <si>
    <t>anthony.koncan@nwhp.ca
nadia.hindi@nwhp.ca</t>
  </si>
  <si>
    <t>1 888 366 6947
519 258 3523</t>
  </si>
  <si>
    <t>416 621 2228
416-420-1098</t>
  </si>
  <si>
    <t>Robert
Shawn</t>
  </si>
  <si>
    <t>Silverson
Hopps</t>
  </si>
  <si>
    <t>robert.silverson@fcrms.ca
shawn.hopps@gmail.com</t>
  </si>
  <si>
    <t>Natalka
Brian</t>
  </si>
  <si>
    <t>Falcomer
Morrison</t>
  </si>
  <si>
    <t>416 532-2220
519-949-2007</t>
  </si>
  <si>
    <t>Chris
Kevin</t>
  </si>
  <si>
    <t>Turner
Webb</t>
  </si>
  <si>
    <t>chris.turner@lwha.ca
kevin.Webb@lwha.ca</t>
  </si>
  <si>
    <t>519 291 3120
519 291 3120</t>
  </si>
  <si>
    <t>5525
6245</t>
  </si>
  <si>
    <t>George
George</t>
  </si>
  <si>
    <t>Georghiades
Tsintaris</t>
  </si>
  <si>
    <t>George.Georghiades@lexingtonpark.ca
george.tsintaris@pm365.ca</t>
  </si>
  <si>
    <t>519 725 4900
519 886 5400</t>
  </si>
  <si>
    <t>231
203</t>
  </si>
  <si>
    <t>Aaron
Edward</t>
  </si>
  <si>
    <t>Goldenberg
Buonanno</t>
  </si>
  <si>
    <t>aaron@torgan.com
edward@torgan.com</t>
  </si>
  <si>
    <t>416 221 9348
416 221 9348</t>
  </si>
  <si>
    <t>321
307</t>
  </si>
  <si>
    <t>Aaron
Elan</t>
  </si>
  <si>
    <t>Goldenberg
Azar</t>
  </si>
  <si>
    <t>aaron@torgan.com
elan@torgan.com</t>
  </si>
  <si>
    <t>321
306</t>
  </si>
  <si>
    <t>Gillian Rice</t>
  </si>
  <si>
    <t>14 Ramblewood Drive, Wasaga Beach</t>
  </si>
  <si>
    <t xml:space="preserve">Collingwood, O.N. </t>
  </si>
  <si>
    <t>Bernie Finkelstein</t>
  </si>
  <si>
    <t>Cambridge, O.N.</t>
  </si>
  <si>
    <t>130 Cedar Street Westgate Centre</t>
  </si>
  <si>
    <t>Elan Azar</t>
  </si>
  <si>
    <t xml:space="preserve">approx 1966 </t>
  </si>
  <si>
    <t>DOUBLE WIN INTERNATIONAL GROUP INC.</t>
  </si>
  <si>
    <t>3850 Finch Ave. E.</t>
  </si>
  <si>
    <t xml:space="preserve">Toronto, O.N. </t>
  </si>
  <si>
    <t>Brian Nicholson</t>
  </si>
  <si>
    <t xml:space="preserve">Haliburton, O.N. </t>
  </si>
  <si>
    <t>7217 Gelert Rd</t>
  </si>
  <si>
    <t>Plastic, Glass Bottles, Mixed Paper, Cardboard, Metal Can</t>
  </si>
  <si>
    <t>The municipality has mandatory recycling. To be done by occupants</t>
  </si>
  <si>
    <t>Debbie McKague</t>
  </si>
  <si>
    <t>1940-1960</t>
  </si>
  <si>
    <t>945-3rd Ave. East</t>
  </si>
  <si>
    <t>Owen Sound, O.N</t>
  </si>
  <si>
    <t>PET #1, HDPE #2, LDPE #4, PP #5, PP #6, Other #7</t>
  </si>
  <si>
    <t>800 Bathurst Street</t>
  </si>
  <si>
    <t>16 O'Brien St</t>
  </si>
  <si>
    <t>844 Bathurst St</t>
  </si>
  <si>
    <t>844 Bathurst St, Toronto, O.N.</t>
  </si>
  <si>
    <t>Elan</t>
  </si>
  <si>
    <t>Azar</t>
  </si>
  <si>
    <t>elan@torgan.com</t>
  </si>
  <si>
    <t>Longo Management Inc</t>
  </si>
  <si>
    <t>429 Exmouth St</t>
  </si>
  <si>
    <t>PET #1, HDPE #2, LDPE #4</t>
  </si>
  <si>
    <t>955 Queen Street East</t>
  </si>
  <si>
    <t>Other #7, Not Acceptable</t>
  </si>
  <si>
    <t>Fort Frances Clinic Holdings</t>
  </si>
  <si>
    <t>301 Victoria Ave</t>
  </si>
  <si>
    <t>Plastic, Mixed Paper , Cardboard, Metal Can</t>
  </si>
  <si>
    <t>Paper, plastic, metal cans, tetra packs</t>
  </si>
  <si>
    <t>Paul J Royce</t>
  </si>
  <si>
    <t>170-6451 Buswell Street</t>
  </si>
  <si>
    <t>Richmond, B.C.</t>
  </si>
  <si>
    <t xml:space="preserve">Orillia, O.N. </t>
  </si>
  <si>
    <t>Sarnia, O.N.</t>
  </si>
  <si>
    <t>Sault Ste Marie, O.N.</t>
  </si>
  <si>
    <t>Fort Frances, O.N.</t>
  </si>
  <si>
    <t>1987-1988</t>
  </si>
  <si>
    <t>In progress - no specifics as of yet</t>
  </si>
  <si>
    <t>Gregory Almas</t>
  </si>
  <si>
    <t>115-2419 Bellevue Avenue</t>
  </si>
  <si>
    <t>West Vancouver, B.C.</t>
  </si>
  <si>
    <t>Plastic, Glass Bottles, Cardboard, Organic Disposals</t>
  </si>
  <si>
    <t>Amritpal Gill</t>
  </si>
  <si>
    <t>Mixed Paper , Cardboard, Organic Disposals</t>
  </si>
  <si>
    <t>Not Acceptable, Not Applicable</t>
  </si>
  <si>
    <t>7120/7130 - 120 Street</t>
  </si>
  <si>
    <t>Peter Tsang</t>
  </si>
  <si>
    <t>Surrey, B.C.</t>
  </si>
  <si>
    <t>210 Memorial Avenue</t>
  </si>
  <si>
    <t>Benefit Partners - Dan Millar</t>
  </si>
  <si>
    <t>222 Catharine St, Suite 3</t>
  </si>
  <si>
    <t>20+ years</t>
  </si>
  <si>
    <t>PET #1, HDPE #2, PS #6</t>
  </si>
  <si>
    <t>3680 Gilmore Way</t>
  </si>
  <si>
    <t>7455 130th Street</t>
  </si>
  <si>
    <t>Grandview Property Management fro Surrey Street Medical Centre</t>
  </si>
  <si>
    <t xml:space="preserve">21 Surrey Street West </t>
  </si>
  <si>
    <t xml:space="preserve">All waste is sorted in to Recycling, Organics and regular waste </t>
  </si>
  <si>
    <t>1980's</t>
  </si>
  <si>
    <t>Guelph, O.N</t>
  </si>
  <si>
    <t>Syl Carle</t>
  </si>
  <si>
    <t>1A Princess Anne Drive</t>
  </si>
  <si>
    <t>Georgetown, O.N.</t>
  </si>
  <si>
    <t>Wasn't entirely certain about plastic types, but can follow up with removal guys if necessary</t>
  </si>
  <si>
    <t>Today Management (Windsor) Inc. for K &amp; G Management</t>
  </si>
  <si>
    <t>6505 Tecumseh Road East</t>
  </si>
  <si>
    <t>Windsor, O.N.</t>
  </si>
  <si>
    <t>GARRISON SQUARE PLAZA</t>
  </si>
  <si>
    <t>660 GARRIOSN ROAD</t>
  </si>
  <si>
    <t>2915 Bloor Developments Limited</t>
  </si>
  <si>
    <t>2917 Bloor St. West</t>
  </si>
  <si>
    <t>George Tsintaris</t>
  </si>
  <si>
    <t>65 University Avenue East</t>
  </si>
  <si>
    <t>Waterloo, O.N.</t>
  </si>
  <si>
    <t>Whitby Clinic</t>
  </si>
  <si>
    <t>Cardboard, Mixed Paper, Plastic, Metal Can,  Glass Bottles</t>
  </si>
  <si>
    <t>Trivieri Investments Limited</t>
  </si>
  <si>
    <t>282 Linwell Road</t>
  </si>
  <si>
    <t>St. Catharines, O.N.</t>
  </si>
  <si>
    <t>FORT ERIE, O.N.</t>
  </si>
  <si>
    <t>Whitby, O.N. L1H 4H5</t>
  </si>
  <si>
    <t>Brianne Clark</t>
  </si>
  <si>
    <t>Nanaimo, B.C.</t>
  </si>
  <si>
    <t>Planning to introduce cardboard, mixed paper recycling as well as organics disposal program</t>
  </si>
  <si>
    <t>107 - 50 Tenth Street</t>
  </si>
  <si>
    <t>240 - 2720 Mill Bay Road</t>
  </si>
  <si>
    <t>Mill Bay, B.C.</t>
  </si>
  <si>
    <t>207 - 12080 Nordel Way</t>
  </si>
  <si>
    <t xml:space="preserve">Life-Lab is responsible for garbage pick-up and the store manager will have all the details for the survey.
Life-Labs has own contract for waste management and by the building is acceptable any recycling options.
</t>
  </si>
  <si>
    <t>Bins are standard recycling bins for whole building</t>
  </si>
  <si>
    <t xml:space="preserve">Damian forwarded to property manager for 2065 Finch. He no longer manages the building. </t>
  </si>
  <si>
    <t xml:space="preserve">Ottawa, O.N. </t>
  </si>
  <si>
    <t>139 Greenbank Road</t>
  </si>
  <si>
    <t>Michael Caparelli</t>
  </si>
  <si>
    <t>Karen Yip</t>
  </si>
  <si>
    <t>1448 Lawrence Ave E</t>
  </si>
  <si>
    <t>North York</t>
  </si>
  <si>
    <t>mid 1970</t>
  </si>
  <si>
    <t>Glass Bottles, Mixed Paper , Cardboard</t>
  </si>
  <si>
    <t>John Choi</t>
  </si>
  <si>
    <t>Burlington, O.N</t>
  </si>
  <si>
    <t>2200 Fairview St. Burlington</t>
  </si>
  <si>
    <t>SIMCOE DIAGNOSTIC IMAGING</t>
  </si>
  <si>
    <t>65 Donly Dr. North</t>
  </si>
  <si>
    <t>Simcoe</t>
  </si>
  <si>
    <t>PET #1, HDPE #2</t>
  </si>
  <si>
    <t>Agincourt Professional Centre</t>
  </si>
  <si>
    <t>2330 Kennedy Road</t>
  </si>
  <si>
    <t>Paper, cardboard recycling</t>
  </si>
  <si>
    <t>Alaric da Cunha</t>
  </si>
  <si>
    <t>365 Bloor St. E -Homecare</t>
  </si>
  <si>
    <t>Windsor Property Management</t>
  </si>
  <si>
    <t>2333 Dundas St. W.</t>
  </si>
  <si>
    <t>Mogul Properties Ltd</t>
  </si>
  <si>
    <t>1968 ??</t>
  </si>
  <si>
    <t>Michael O'Hare</t>
  </si>
  <si>
    <t>100 Holland Court</t>
  </si>
  <si>
    <t>Didi Caputo</t>
  </si>
  <si>
    <t>2421 Bristol Circle</t>
  </si>
  <si>
    <t>Oakville, O.N.</t>
  </si>
  <si>
    <t>Bradford, O.N.</t>
  </si>
  <si>
    <t>Sorting Recommendation: Paper Only, Cans &amp; Bottles, Not including Styrofoam or Garbage in the Clean Bags. Breakdown of cardboard for recycling. Recycle Batteries, Metals, E-Waste, and Ballasts</t>
  </si>
  <si>
    <t>Mike Trentadue</t>
  </si>
  <si>
    <t>11 Lake Side Terrace</t>
  </si>
  <si>
    <t>Barrie, O.N.</t>
  </si>
  <si>
    <t>Shelly Klein</t>
  </si>
  <si>
    <t>425 Algonquin Blvd. East</t>
  </si>
  <si>
    <t xml:space="preserve">Timmins, O.N. </t>
  </si>
  <si>
    <t>857 Grand Ave. W.</t>
  </si>
  <si>
    <t>Chatham, O.N.</t>
  </si>
  <si>
    <t>Tom Capisciolto</t>
  </si>
  <si>
    <t>44 Great Northern Road - Cambrian Mall</t>
  </si>
  <si>
    <t>Plastic, Glass Bottle, Mixed Paper, Cardboard</t>
  </si>
  <si>
    <t>Only conduct service at location; do not have a suite - Long Term Care Facility. Not expecting a response</t>
  </si>
  <si>
    <t>Elgin Mall</t>
  </si>
  <si>
    <t>417 Wellington Street</t>
  </si>
  <si>
    <t>St. Thomas, O.N.</t>
  </si>
  <si>
    <t>Plastic, Glass Bottles, Mixed paper, Cardboard, Metal Can</t>
  </si>
  <si>
    <t>Recyclables are picked up monthly. Cardboard bi-weekly.</t>
  </si>
  <si>
    <t>Cory Lee</t>
  </si>
  <si>
    <t xml:space="preserve">2187424 Ontario Inc. </t>
  </si>
  <si>
    <t>Woodstock, O.N.</t>
  </si>
  <si>
    <t>510 Ingersoll Avenue</t>
  </si>
  <si>
    <t>HDPE #2, PP #5, PS #6</t>
  </si>
  <si>
    <t>City of Woodstock Recycling Program</t>
  </si>
  <si>
    <t>Kevin Patterson</t>
  </si>
  <si>
    <t>100 International Blvd</t>
  </si>
  <si>
    <t>Brenda Severyns</t>
  </si>
  <si>
    <t xml:space="preserve">32 Royal Vista Drive N.W. </t>
  </si>
  <si>
    <t>Calgary, A.B.</t>
  </si>
  <si>
    <t>Calgary City Council approved changes to Waste and Recycling Bylaw</t>
  </si>
  <si>
    <t>No LifeLabs location operating at this site address</t>
  </si>
  <si>
    <t>Edwin Buonanno</t>
  </si>
  <si>
    <t>7131 Bathurst St.</t>
  </si>
  <si>
    <t xml:space="preserve">Cleaners collect and discard of cardboard for tenants nightly
</t>
  </si>
  <si>
    <t>679 Davis Drive</t>
  </si>
  <si>
    <t>4800 Leslie St</t>
  </si>
  <si>
    <t>Cleaners collect and discard of cardboard for tenants nightly</t>
  </si>
  <si>
    <t>7700 Bathurst Street</t>
  </si>
  <si>
    <t>Cardboard recycling</t>
  </si>
  <si>
    <t>Thornhill, O.N.</t>
  </si>
  <si>
    <t>Newmarket, O.N.</t>
  </si>
  <si>
    <t>North York, O.N.</t>
  </si>
  <si>
    <t xml:space="preserve">Thornhill, O.N. </t>
  </si>
  <si>
    <t>104-888 W 8th Ave</t>
  </si>
  <si>
    <t>Vancouver, B.C. V5Z 3Y1</t>
  </si>
  <si>
    <t>Arminia Canita</t>
  </si>
  <si>
    <t>Plastic, Glass Bottles, Mixed Paper, Cardboard</t>
  </si>
  <si>
    <t xml:space="preserve">Tzogos Enterprises Inc. </t>
  </si>
  <si>
    <t xml:space="preserve">245 King Street West, Unit 16 </t>
  </si>
  <si>
    <t>Oshawa, O.N. L1J 2J7</t>
  </si>
  <si>
    <t>Marion Taylor</t>
  </si>
  <si>
    <t>582 Goldstream Avenue</t>
  </si>
  <si>
    <t>Meghan McKinley</t>
  </si>
  <si>
    <t>68 Hastings Street North</t>
  </si>
  <si>
    <t xml:space="preserve">Bancroft, O.N. </t>
  </si>
  <si>
    <t>Bernadette Hubka</t>
  </si>
  <si>
    <t>203-6010 Brickyard Road</t>
  </si>
  <si>
    <t>Plastic, Mixed Paper, Cardboard, Metal Can</t>
  </si>
  <si>
    <t>REBECCA HOLMKVIST</t>
  </si>
  <si>
    <t>105-4635 PARK AVENUE</t>
  </si>
  <si>
    <t>UNSURE</t>
  </si>
  <si>
    <t>Different sections of bldg. of differing vintages: 1950's to 2014</t>
  </si>
  <si>
    <t>Brian Gottlieb</t>
  </si>
  <si>
    <t>1290 Ellesmere Road</t>
  </si>
  <si>
    <t>Lisa</t>
  </si>
  <si>
    <t>208-2763 BEVERLY ST</t>
  </si>
  <si>
    <t>Mixed Paper , Cardboard</t>
  </si>
  <si>
    <t>Gerald Rozario</t>
  </si>
  <si>
    <t>586 Eglinton Avenue East</t>
  </si>
  <si>
    <t>Plastic, Glass Bottles, Mixed Paper, Cardboard, Metal Cans</t>
  </si>
  <si>
    <t>1420 Burnhamthorpe R</t>
  </si>
  <si>
    <t>all options are being considered at this time</t>
  </si>
  <si>
    <t>Elizabeth McKinlay</t>
  </si>
  <si>
    <t>140 Oxford St E</t>
  </si>
  <si>
    <t xml:space="preserve">we have e-waste / paper &amp; card board and will be adding glass / cans/ plastics
</t>
  </si>
  <si>
    <t>Peterborough, O.N.</t>
  </si>
  <si>
    <t>TERRACE, B.C.</t>
  </si>
  <si>
    <t>Duncan, B.C.</t>
  </si>
  <si>
    <t xml:space="preserve">Mississauga, O.N. </t>
  </si>
  <si>
    <t xml:space="preserve">London, O.N. </t>
  </si>
  <si>
    <t>460 Springbank Drive</t>
  </si>
  <si>
    <t xml:space="preserve">we also have e-waste
</t>
  </si>
  <si>
    <t>350 Conestoga Blvd.</t>
  </si>
  <si>
    <t xml:space="preserve">Cambridge, O.N. </t>
  </si>
  <si>
    <t>83 Dawson Rd.</t>
  </si>
  <si>
    <t xml:space="preserve">Guelph, O.N. </t>
  </si>
  <si>
    <t>Albert Marchand</t>
  </si>
  <si>
    <t>6633 Highway #7 East, Suite 011</t>
  </si>
  <si>
    <t>Markham, O.N. L3P 7P2</t>
  </si>
</sst>
</file>

<file path=xl/styles.xml><?xml version="1.0" encoding="utf-8"?>
<styleSheet xmlns="http://schemas.openxmlformats.org/spreadsheetml/2006/main" xmlns:mc="http://schemas.openxmlformats.org/markup-compatibility/2006" xmlns:x14ac="http://schemas.microsoft.com/office/spreadsheetml/2009/9/ac" mc:Ignorable="x14ac">
  <fonts count="35" x14ac:knownFonts="1">
    <font>
      <sz val="11"/>
      <color theme="1"/>
      <name val="Calibri"/>
      <family val="2"/>
      <scheme val="minor"/>
    </font>
    <font>
      <sz val="11"/>
      <name val="Calibri"/>
      <family val="2"/>
      <scheme val="minor"/>
    </font>
    <font>
      <b/>
      <sz val="11"/>
      <color theme="1" tint="4.9989318521683403E-2"/>
      <name val="Calibri"/>
      <family val="2"/>
      <scheme val="minor"/>
    </font>
    <font>
      <b/>
      <sz val="28"/>
      <color theme="1"/>
      <name val="Agency FB"/>
      <family val="2"/>
    </font>
    <font>
      <b/>
      <sz val="28"/>
      <color theme="1" tint="0.499984740745262"/>
      <name val="Agency FB"/>
      <family val="2"/>
    </font>
    <font>
      <b/>
      <sz val="26"/>
      <name val="Agency FB"/>
      <family val="2"/>
    </font>
    <font>
      <b/>
      <sz val="11"/>
      <color theme="1"/>
      <name val="Calibri"/>
      <family val="2"/>
      <scheme val="minor"/>
    </font>
    <font>
      <b/>
      <u/>
      <sz val="11"/>
      <color theme="1"/>
      <name val="Calibri"/>
      <family val="2"/>
      <scheme val="minor"/>
    </font>
    <font>
      <sz val="9"/>
      <color indexed="81"/>
      <name val="Tahoma"/>
      <family val="2"/>
    </font>
    <font>
      <b/>
      <sz val="9"/>
      <color indexed="81"/>
      <name val="Tahoma"/>
      <family val="2"/>
    </font>
    <font>
      <b/>
      <sz val="9"/>
      <color theme="1"/>
      <name val="Calibri"/>
      <family val="2"/>
      <scheme val="minor"/>
    </font>
    <font>
      <sz val="9"/>
      <color theme="1"/>
      <name val="Calibri"/>
      <family val="2"/>
      <scheme val="minor"/>
    </font>
    <font>
      <sz val="8"/>
      <color theme="1"/>
      <name val="Calibri"/>
      <family val="2"/>
      <scheme val="minor"/>
    </font>
    <font>
      <sz val="11"/>
      <color theme="1"/>
      <name val="Calibri"/>
      <family val="2"/>
      <scheme val="minor"/>
    </font>
    <font>
      <b/>
      <sz val="10"/>
      <name val="Arial"/>
      <family val="2"/>
    </font>
    <font>
      <b/>
      <sz val="11"/>
      <color indexed="8"/>
      <name val="Arial"/>
      <family val="2"/>
    </font>
    <font>
      <sz val="11"/>
      <color indexed="8"/>
      <name val="Arial"/>
      <family val="2"/>
    </font>
    <font>
      <u/>
      <sz val="11"/>
      <color theme="10"/>
      <name val="Calibri"/>
      <family val="2"/>
      <scheme val="minor"/>
    </font>
    <font>
      <i/>
      <sz val="11"/>
      <color indexed="8"/>
      <name val="Arial"/>
      <family val="2"/>
    </font>
    <font>
      <u/>
      <sz val="11"/>
      <color theme="1"/>
      <name val="Calibri"/>
      <family val="2"/>
      <scheme val="minor"/>
    </font>
    <font>
      <b/>
      <sz val="10"/>
      <color theme="1"/>
      <name val="Arial"/>
      <family val="2"/>
    </font>
    <font>
      <b/>
      <sz val="11"/>
      <color theme="1" tint="4.9989318521683403E-2"/>
      <name val="Calibri"/>
      <family val="2"/>
      <scheme val="minor"/>
    </font>
    <font>
      <sz val="10"/>
      <name val="Arial"/>
      <family val="2"/>
    </font>
    <font>
      <u/>
      <sz val="10"/>
      <color theme="10"/>
      <name val="Arial"/>
      <family val="2"/>
    </font>
    <font>
      <sz val="11"/>
      <name val="Arial"/>
      <family val="2"/>
    </font>
    <font>
      <sz val="11"/>
      <color theme="1"/>
      <name val="Calibri"/>
      <family val="2"/>
      <scheme val="minor"/>
    </font>
    <font>
      <sz val="11"/>
      <color indexed="8"/>
      <name val="Arial"/>
      <family val="2"/>
    </font>
    <font>
      <sz val="10"/>
      <name val="Microsoft Sans Serif"/>
      <family val="2"/>
    </font>
    <font>
      <sz val="11"/>
      <color theme="1"/>
      <name val="Calibri"/>
      <family val="2"/>
      <scheme val="minor"/>
    </font>
    <font>
      <sz val="11"/>
      <color indexed="8"/>
      <name val="Arial"/>
      <family val="2"/>
    </font>
    <font>
      <sz val="8"/>
      <color indexed="8"/>
      <name val="Arial"/>
      <family val="2"/>
    </font>
    <font>
      <sz val="11"/>
      <color theme="1"/>
      <name val="Calibri"/>
      <scheme val="minor"/>
    </font>
    <font>
      <sz val="11"/>
      <color indexed="8"/>
      <name val="Arial"/>
    </font>
    <font>
      <sz val="9"/>
      <color indexed="81"/>
      <name val="Tahoma"/>
      <charset val="1"/>
    </font>
    <font>
      <b/>
      <sz val="9"/>
      <color indexed="81"/>
      <name val="Tahoma"/>
      <charset val="1"/>
    </font>
  </fonts>
  <fills count="22">
    <fill>
      <patternFill patternType="none"/>
    </fill>
    <fill>
      <patternFill patternType="gray125"/>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0" tint="-0.499984740745262"/>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indexed="9"/>
        <bgColor indexed="64"/>
      </patternFill>
    </fill>
    <fill>
      <patternFill patternType="solid">
        <fgColor rgb="FFFFFF00"/>
        <bgColor indexed="64"/>
      </patternFill>
    </fill>
    <fill>
      <patternFill patternType="solid">
        <fgColor rgb="FFFFC000"/>
        <bgColor indexed="64"/>
      </patternFill>
    </fill>
    <fill>
      <patternFill patternType="solid">
        <fgColor rgb="FF00B0F0"/>
        <bgColor indexed="64"/>
      </patternFill>
    </fill>
    <fill>
      <patternFill patternType="solid">
        <fgColor rgb="FF92D050"/>
        <bgColor indexed="64"/>
      </patternFill>
    </fill>
    <fill>
      <patternFill patternType="solid">
        <fgColor rgb="FFFF000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indexed="12"/>
        <bgColor indexed="64"/>
      </patternFill>
    </fill>
    <fill>
      <patternFill patternType="solid">
        <fgColor theme="0"/>
        <bgColor indexed="64"/>
      </patternFill>
    </fill>
  </fills>
  <borders count="17">
    <border>
      <left/>
      <right/>
      <top/>
      <bottom/>
      <diagonal/>
    </border>
    <border>
      <left style="thin">
        <color theme="4" tint="0.39997558519241921"/>
      </left>
      <right/>
      <top/>
      <bottom/>
      <diagonal/>
    </border>
    <border>
      <left/>
      <right style="thin">
        <color theme="4" tint="0.39997558519241921"/>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style="thin">
        <color indexed="64"/>
      </left>
      <right style="thin">
        <color indexed="64"/>
      </right>
      <top/>
      <bottom style="thin">
        <color indexed="64"/>
      </bottom>
      <diagonal/>
    </border>
    <border>
      <left style="thin">
        <color indexed="8"/>
      </left>
      <right style="thin">
        <color indexed="8"/>
      </right>
      <top/>
      <bottom style="thin">
        <color indexed="8"/>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8"/>
      </left>
      <right style="thin">
        <color indexed="8"/>
      </right>
      <top style="thin">
        <color indexed="8"/>
      </top>
      <bottom/>
      <diagonal/>
    </border>
    <border>
      <left/>
      <right style="thin">
        <color indexed="8"/>
      </right>
      <top/>
      <bottom style="thin">
        <color indexed="8"/>
      </bottom>
      <diagonal/>
    </border>
    <border>
      <left/>
      <right/>
      <top style="thin">
        <color indexed="8"/>
      </top>
      <bottom style="thin">
        <color indexed="8"/>
      </bottom>
      <diagonal/>
    </border>
  </borders>
  <cellStyleXfs count="6">
    <xf numFmtId="0" fontId="0" fillId="0" borderId="0"/>
    <xf numFmtId="9" fontId="13" fillId="0" borderId="0" applyFont="0" applyFill="0" applyBorder="0" applyAlignment="0" applyProtection="0"/>
    <xf numFmtId="0" fontId="17" fillId="0" borderId="0" applyNumberFormat="0" applyFill="0" applyBorder="0" applyAlignment="0" applyProtection="0"/>
    <xf numFmtId="0" fontId="22" fillId="0" borderId="0"/>
    <xf numFmtId="0" fontId="23" fillId="0" borderId="0" applyNumberFormat="0" applyFill="0" applyBorder="0" applyAlignment="0" applyProtection="0"/>
    <xf numFmtId="0" fontId="27" fillId="0" borderId="0"/>
  </cellStyleXfs>
  <cellXfs count="172">
    <xf numFmtId="0" fontId="0" fillId="0" borderId="0" xfId="0"/>
    <xf numFmtId="0" fontId="0" fillId="0" borderId="0" xfId="0" applyAlignment="1">
      <alignment wrapText="1"/>
    </xf>
    <xf numFmtId="0" fontId="1" fillId="0" borderId="0" xfId="0" applyFont="1" applyAlignment="1">
      <alignment wrapText="1"/>
    </xf>
    <xf numFmtId="0" fontId="1" fillId="0" borderId="0" xfId="0" applyFont="1" applyAlignment="1">
      <alignment horizontal="left" wrapText="1"/>
    </xf>
    <xf numFmtId="0" fontId="1" fillId="3" borderId="1" xfId="0" applyFont="1" applyFill="1" applyBorder="1" applyAlignment="1">
      <alignment horizontal="left" wrapText="1"/>
    </xf>
    <xf numFmtId="0" fontId="1" fillId="3" borderId="0" xfId="0" applyFont="1" applyFill="1" applyBorder="1" applyAlignment="1">
      <alignment horizontal="left" wrapText="1"/>
    </xf>
    <xf numFmtId="0" fontId="1" fillId="3" borderId="0" xfId="0" applyFont="1" applyFill="1" applyBorder="1" applyAlignment="1">
      <alignment wrapText="1"/>
    </xf>
    <xf numFmtId="0" fontId="0" fillId="3" borderId="0" xfId="0" applyFont="1" applyFill="1" applyBorder="1" applyAlignment="1">
      <alignment wrapText="1"/>
    </xf>
    <xf numFmtId="0" fontId="0" fillId="3" borderId="2" xfId="0" applyFont="1" applyFill="1" applyBorder="1" applyAlignment="1">
      <alignment wrapText="1"/>
    </xf>
    <xf numFmtId="0" fontId="0" fillId="0" borderId="0" xfId="0" applyAlignment="1">
      <alignment horizontal="left" wrapText="1"/>
    </xf>
    <xf numFmtId="0" fontId="7" fillId="0" borderId="0" xfId="0" applyFont="1"/>
    <xf numFmtId="0" fontId="0" fillId="0" borderId="3" xfId="0" applyBorder="1"/>
    <xf numFmtId="0" fontId="0" fillId="7" borderId="3" xfId="0" applyFill="1" applyBorder="1"/>
    <xf numFmtId="0" fontId="0" fillId="8" borderId="3" xfId="0" applyFill="1" applyBorder="1" applyAlignment="1">
      <alignment horizontal="center"/>
    </xf>
    <xf numFmtId="0" fontId="0" fillId="5" borderId="3" xfId="0" applyFill="1" applyBorder="1" applyAlignment="1">
      <alignment horizontal="left"/>
    </xf>
    <xf numFmtId="0" fontId="0" fillId="6" borderId="3" xfId="0" applyFill="1" applyBorder="1" applyAlignment="1">
      <alignment horizontal="center"/>
    </xf>
    <xf numFmtId="0" fontId="0" fillId="0" borderId="0" xfId="0" applyBorder="1" applyAlignment="1">
      <alignment wrapText="1"/>
    </xf>
    <xf numFmtId="0" fontId="0" fillId="0" borderId="0" xfId="0" applyFont="1" applyFill="1" applyBorder="1" applyAlignment="1">
      <alignment horizontal="left" vertical="center" wrapText="1"/>
    </xf>
    <xf numFmtId="0" fontId="0" fillId="4" borderId="0" xfId="0" applyFill="1" applyBorder="1"/>
    <xf numFmtId="0" fontId="2" fillId="2" borderId="0" xfId="0" applyFont="1" applyFill="1" applyBorder="1" applyAlignment="1">
      <alignment horizontal="center" vertical="center" wrapText="1"/>
    </xf>
    <xf numFmtId="0" fontId="3" fillId="4" borderId="0" xfId="0" applyFont="1" applyFill="1" applyBorder="1" applyAlignment="1">
      <alignment vertical="center"/>
    </xf>
    <xf numFmtId="0" fontId="4" fillId="4" borderId="0" xfId="0" applyFont="1" applyFill="1" applyBorder="1" applyAlignment="1">
      <alignment vertical="center" wrapText="1"/>
    </xf>
    <xf numFmtId="0" fontId="3" fillId="4" borderId="0" xfId="0" applyFont="1" applyFill="1" applyBorder="1" applyAlignment="1">
      <alignment horizontal="left" vertical="center"/>
    </xf>
    <xf numFmtId="0" fontId="5" fillId="4" borderId="0" xfId="0" applyFont="1" applyFill="1" applyBorder="1" applyAlignment="1">
      <alignment vertical="center"/>
    </xf>
    <xf numFmtId="0" fontId="2" fillId="2" borderId="0" xfId="0" applyFont="1" applyFill="1" applyBorder="1" applyAlignment="1">
      <alignment horizontal="left" vertical="center" wrapText="1"/>
    </xf>
    <xf numFmtId="0" fontId="0" fillId="4" borderId="0" xfId="0" applyFill="1" applyBorder="1" applyAlignment="1">
      <alignment wrapText="1"/>
    </xf>
    <xf numFmtId="0" fontId="10" fillId="0" borderId="0" xfId="0" applyFont="1" applyAlignment="1">
      <alignment wrapText="1"/>
    </xf>
    <xf numFmtId="0" fontId="11" fillId="0" borderId="0" xfId="0" applyFont="1" applyAlignment="1">
      <alignment wrapText="1"/>
    </xf>
    <xf numFmtId="0" fontId="0" fillId="0" borderId="6" xfId="0" applyBorder="1"/>
    <xf numFmtId="0" fontId="0" fillId="0" borderId="0" xfId="0" pivotButton="1"/>
    <xf numFmtId="0" fontId="6" fillId="0" borderId="3" xfId="0" applyFont="1" applyBorder="1"/>
    <xf numFmtId="0" fontId="0" fillId="0" borderId="0" xfId="0" applyAlignment="1">
      <alignment horizontal="left"/>
    </xf>
    <xf numFmtId="0" fontId="0" fillId="0" borderId="0" xfId="0" applyNumberFormat="1"/>
    <xf numFmtId="0" fontId="0" fillId="6" borderId="3" xfId="0" applyFill="1" applyBorder="1" applyAlignment="1">
      <alignment horizontal="center" wrapText="1"/>
    </xf>
    <xf numFmtId="0" fontId="0" fillId="7" borderId="5" xfId="0" applyFill="1" applyBorder="1"/>
    <xf numFmtId="0" fontId="0" fillId="0" borderId="0" xfId="0" quotePrefix="1" applyAlignment="1">
      <alignment horizontal="center" wrapText="1"/>
    </xf>
    <xf numFmtId="0" fontId="0" fillId="15" borderId="3" xfId="0" applyFont="1" applyFill="1" applyBorder="1" applyAlignment="1">
      <alignment horizontal="center" vertical="center"/>
    </xf>
    <xf numFmtId="0" fontId="0" fillId="15" borderId="3" xfId="0" applyFont="1" applyFill="1" applyBorder="1" applyAlignment="1">
      <alignment horizontal="center"/>
    </xf>
    <xf numFmtId="0" fontId="0" fillId="16" borderId="3" xfId="0" applyFont="1" applyFill="1" applyBorder="1" applyAlignment="1">
      <alignment horizontal="center"/>
    </xf>
    <xf numFmtId="0" fontId="0" fillId="10" borderId="3" xfId="0" applyFill="1" applyBorder="1" applyAlignment="1">
      <alignment horizontal="center"/>
    </xf>
    <xf numFmtId="0" fontId="16" fillId="9" borderId="3" xfId="0" applyFont="1" applyFill="1" applyBorder="1" applyAlignment="1">
      <alignment horizontal="left" vertical="top"/>
    </xf>
    <xf numFmtId="0" fontId="0" fillId="15" borderId="3" xfId="0" applyFont="1" applyFill="1" applyBorder="1" applyAlignment="1">
      <alignment horizontal="center" vertical="center" wrapText="1"/>
    </xf>
    <xf numFmtId="0" fontId="0" fillId="10" borderId="3" xfId="0" applyFont="1" applyFill="1" applyBorder="1" applyAlignment="1">
      <alignment horizontal="center"/>
    </xf>
    <xf numFmtId="0" fontId="0" fillId="15" borderId="3" xfId="0" applyFont="1" applyFill="1" applyBorder="1" applyAlignment="1">
      <alignment horizontal="center" wrapText="1"/>
    </xf>
    <xf numFmtId="0" fontId="16" fillId="9" borderId="3" xfId="0" applyFont="1" applyFill="1" applyBorder="1" applyAlignment="1">
      <alignment horizontal="left" vertical="top" wrapText="1"/>
    </xf>
    <xf numFmtId="0" fontId="0" fillId="0" borderId="3" xfId="0" applyBorder="1" applyAlignment="1">
      <alignment horizontal="center"/>
    </xf>
    <xf numFmtId="0" fontId="17" fillId="9" borderId="3" xfId="2" applyFill="1" applyBorder="1" applyAlignment="1">
      <alignment horizontal="left" vertical="top"/>
    </xf>
    <xf numFmtId="0" fontId="0" fillId="0" borderId="3" xfId="0" applyFill="1" applyBorder="1" applyAlignment="1">
      <alignment horizontal="center" vertical="center"/>
    </xf>
    <xf numFmtId="0" fontId="0" fillId="0" borderId="3" xfId="0" applyFill="1" applyBorder="1" applyAlignment="1">
      <alignment horizontal="center"/>
    </xf>
    <xf numFmtId="0" fontId="0" fillId="10" borderId="3" xfId="0" applyFill="1" applyBorder="1" applyAlignment="1">
      <alignment horizontal="center" vertical="center"/>
    </xf>
    <xf numFmtId="0" fontId="0" fillId="0" borderId="3" xfId="0" applyFont="1" applyFill="1" applyBorder="1" applyAlignment="1">
      <alignment horizontal="center" vertical="center"/>
    </xf>
    <xf numFmtId="0" fontId="0" fillId="0" borderId="3" xfId="0" applyFont="1" applyFill="1" applyBorder="1" applyAlignment="1">
      <alignment horizontal="center"/>
    </xf>
    <xf numFmtId="0" fontId="0" fillId="13" borderId="3" xfId="0" applyFont="1" applyFill="1" applyBorder="1" applyAlignment="1">
      <alignment horizontal="center"/>
    </xf>
    <xf numFmtId="0" fontId="0" fillId="0" borderId="0" xfId="0" applyFill="1" applyBorder="1" applyAlignment="1">
      <alignment horizontal="center"/>
    </xf>
    <xf numFmtId="0" fontId="0" fillId="0" borderId="0" xfId="0" applyFont="1" applyFill="1" applyBorder="1" applyAlignment="1">
      <alignment horizontal="left" vertical="center"/>
    </xf>
    <xf numFmtId="0" fontId="0" fillId="0" borderId="4" xfId="0" applyFont="1" applyFill="1" applyBorder="1" applyAlignment="1">
      <alignment horizontal="left" vertical="center"/>
    </xf>
    <xf numFmtId="0" fontId="0" fillId="0" borderId="3" xfId="0" applyFont="1" applyBorder="1"/>
    <xf numFmtId="0" fontId="0" fillId="0" borderId="0" xfId="0" applyBorder="1"/>
    <xf numFmtId="0" fontId="0" fillId="16" borderId="6" xfId="0" applyFont="1" applyFill="1" applyBorder="1" applyAlignment="1">
      <alignment vertical="center"/>
    </xf>
    <xf numFmtId="0" fontId="6" fillId="16" borderId="3" xfId="0" applyFont="1" applyFill="1" applyBorder="1"/>
    <xf numFmtId="0" fontId="0" fillId="16" borderId="3" xfId="0" applyFont="1" applyFill="1" applyBorder="1" applyAlignment="1">
      <alignment vertical="center"/>
    </xf>
    <xf numFmtId="0" fontId="6" fillId="19" borderId="3" xfId="0" applyFont="1" applyFill="1" applyBorder="1" applyAlignment="1">
      <alignment horizontal="left"/>
    </xf>
    <xf numFmtId="0" fontId="6" fillId="5" borderId="3" xfId="0" applyFont="1" applyFill="1" applyBorder="1" applyAlignment="1">
      <alignment horizontal="left"/>
    </xf>
    <xf numFmtId="0" fontId="6" fillId="16" borderId="3" xfId="0" applyFont="1" applyFill="1" applyBorder="1" applyAlignment="1">
      <alignment vertical="center"/>
    </xf>
    <xf numFmtId="0" fontId="6" fillId="7" borderId="3" xfId="0" applyFont="1" applyFill="1" applyBorder="1"/>
    <xf numFmtId="0" fontId="6" fillId="0" borderId="3" xfId="0" applyFont="1" applyFill="1" applyBorder="1"/>
    <xf numFmtId="0" fontId="0" fillId="0" borderId="3" xfId="0" applyFont="1" applyFill="1" applyBorder="1"/>
    <xf numFmtId="0" fontId="12" fillId="6" borderId="3" xfId="0" applyFont="1" applyFill="1" applyBorder="1" applyAlignment="1">
      <alignment horizontal="center" wrapText="1"/>
    </xf>
    <xf numFmtId="0" fontId="14" fillId="0" borderId="10" xfId="0" applyFont="1" applyBorder="1" applyAlignment="1">
      <alignment horizontal="center" vertical="center" wrapText="1"/>
    </xf>
    <xf numFmtId="0" fontId="14" fillId="0" borderId="13" xfId="0" applyFont="1" applyBorder="1" applyAlignment="1">
      <alignment horizontal="center" vertical="center" wrapText="1"/>
    </xf>
    <xf numFmtId="0" fontId="14" fillId="0" borderId="10" xfId="0" applyFont="1" applyFill="1" applyBorder="1" applyAlignment="1">
      <alignment horizontal="center" vertical="center" wrapText="1"/>
    </xf>
    <xf numFmtId="0" fontId="15" fillId="0" borderId="10" xfId="0" applyFont="1" applyFill="1" applyBorder="1" applyAlignment="1">
      <alignment horizontal="center" vertical="top"/>
    </xf>
    <xf numFmtId="0" fontId="15" fillId="0" borderId="10" xfId="0" applyFont="1" applyFill="1" applyBorder="1" applyAlignment="1">
      <alignment horizontal="center" vertical="top" wrapText="1"/>
    </xf>
    <xf numFmtId="0" fontId="15" fillId="0" borderId="13" xfId="0" applyFont="1" applyFill="1" applyBorder="1" applyAlignment="1">
      <alignment horizontal="center" vertical="top"/>
    </xf>
    <xf numFmtId="0" fontId="21" fillId="2" borderId="0" xfId="0" applyFont="1" applyFill="1" applyBorder="1" applyAlignment="1">
      <alignment horizontal="center" vertical="center" wrapText="1"/>
    </xf>
    <xf numFmtId="0" fontId="0" fillId="0" borderId="0" xfId="0" quotePrefix="1"/>
    <xf numFmtId="0" fontId="20" fillId="0" borderId="3" xfId="0" applyFont="1" applyBorder="1" applyAlignment="1">
      <alignment horizontal="center" vertical="center"/>
    </xf>
    <xf numFmtId="0" fontId="16" fillId="13" borderId="7" xfId="0" applyFont="1" applyFill="1" applyBorder="1" applyAlignment="1">
      <alignment horizontal="left" vertical="top"/>
    </xf>
    <xf numFmtId="0" fontId="14" fillId="0" borderId="0" xfId="3" applyFont="1"/>
    <xf numFmtId="0" fontId="22" fillId="0" borderId="0" xfId="3" applyAlignment="1">
      <alignment horizontal="center"/>
    </xf>
    <xf numFmtId="0" fontId="16" fillId="9" borderId="7" xfId="3" applyFont="1" applyFill="1" applyBorder="1" applyAlignment="1">
      <alignment horizontal="left" vertical="top"/>
    </xf>
    <xf numFmtId="0" fontId="22" fillId="0" borderId="0" xfId="3"/>
    <xf numFmtId="0" fontId="16" fillId="13" borderId="7" xfId="3" applyFont="1" applyFill="1" applyBorder="1" applyAlignment="1">
      <alignment horizontal="left" vertical="top"/>
    </xf>
    <xf numFmtId="0" fontId="16" fillId="14" borderId="7" xfId="3" applyFont="1" applyFill="1" applyBorder="1" applyAlignment="1">
      <alignment horizontal="left" vertical="top"/>
    </xf>
    <xf numFmtId="0" fontId="24" fillId="13" borderId="7" xfId="3" applyFont="1" applyFill="1" applyBorder="1" applyAlignment="1">
      <alignment horizontal="left" vertical="top"/>
    </xf>
    <xf numFmtId="0" fontId="23" fillId="13" borderId="7" xfId="4" applyFill="1" applyBorder="1" applyAlignment="1">
      <alignment horizontal="left" vertical="top"/>
    </xf>
    <xf numFmtId="0" fontId="25" fillId="0" borderId="3" xfId="0" applyFont="1" applyFill="1" applyBorder="1" applyAlignment="1">
      <alignment horizontal="center" vertical="center"/>
    </xf>
    <xf numFmtId="0" fontId="26" fillId="9" borderId="3" xfId="0" applyFont="1" applyFill="1" applyBorder="1" applyAlignment="1">
      <alignment horizontal="left" vertical="top" wrapText="1"/>
    </xf>
    <xf numFmtId="0" fontId="16" fillId="11" borderId="3" xfId="0" applyFont="1" applyFill="1" applyBorder="1" applyAlignment="1">
      <alignment horizontal="left" vertical="center" wrapText="1"/>
    </xf>
    <xf numFmtId="0" fontId="16" fillId="0" borderId="3" xfId="0" applyFont="1" applyFill="1" applyBorder="1" applyAlignment="1">
      <alignment horizontal="left" vertical="top" wrapText="1"/>
    </xf>
    <xf numFmtId="0" fontId="16" fillId="14" borderId="3" xfId="0" applyFont="1" applyFill="1" applyBorder="1" applyAlignment="1">
      <alignment horizontal="left" vertical="top" wrapText="1"/>
    </xf>
    <xf numFmtId="0" fontId="20" fillId="0" borderId="3" xfId="0" applyFont="1" applyBorder="1" applyAlignment="1">
      <alignment horizontal="left" vertical="center" wrapText="1"/>
    </xf>
    <xf numFmtId="0" fontId="0" fillId="15" borderId="3" xfId="0" applyFont="1" applyFill="1" applyBorder="1" applyAlignment="1">
      <alignment horizontal="left" vertical="center" wrapText="1"/>
    </xf>
    <xf numFmtId="0" fontId="0" fillId="0" borderId="3" xfId="0" applyBorder="1" applyAlignment="1">
      <alignment horizontal="left" wrapText="1"/>
    </xf>
    <xf numFmtId="0" fontId="0" fillId="0" borderId="3" xfId="0" applyFill="1" applyBorder="1" applyAlignment="1">
      <alignment horizontal="left" vertical="center" wrapText="1"/>
    </xf>
    <xf numFmtId="0" fontId="0" fillId="0" borderId="3" xfId="0" applyFont="1" applyFill="1" applyBorder="1" applyAlignment="1">
      <alignment horizontal="left" vertical="center" wrapText="1"/>
    </xf>
    <xf numFmtId="0" fontId="25" fillId="0" borderId="3" xfId="0" applyFont="1" applyFill="1" applyBorder="1" applyAlignment="1">
      <alignment horizontal="left" vertical="center" wrapText="1"/>
    </xf>
    <xf numFmtId="0" fontId="26" fillId="0" borderId="3" xfId="0" applyNumberFormat="1" applyFont="1" applyFill="1" applyBorder="1" applyAlignment="1">
      <alignment horizontal="left" vertical="top" wrapText="1"/>
    </xf>
    <xf numFmtId="0" fontId="26" fillId="0" borderId="3" xfId="0" applyFont="1" applyFill="1" applyBorder="1" applyAlignment="1">
      <alignment horizontal="left" vertical="top" wrapText="1"/>
    </xf>
    <xf numFmtId="0" fontId="26" fillId="9" borderId="3" xfId="0" applyFont="1" applyFill="1" applyBorder="1" applyAlignment="1">
      <alignment horizontal="left" vertical="top"/>
    </xf>
    <xf numFmtId="0" fontId="0" fillId="0" borderId="3" xfId="0" applyBorder="1" applyAlignment="1">
      <alignment wrapText="1"/>
    </xf>
    <xf numFmtId="0" fontId="16" fillId="9" borderId="9" xfId="3" applyFont="1" applyFill="1" applyBorder="1" applyAlignment="1">
      <alignment horizontal="left" vertical="top"/>
    </xf>
    <xf numFmtId="0" fontId="16" fillId="13" borderId="9" xfId="3" applyFont="1" applyFill="1" applyBorder="1" applyAlignment="1">
      <alignment horizontal="left" vertical="top"/>
    </xf>
    <xf numFmtId="0" fontId="16" fillId="14" borderId="9" xfId="3" applyFont="1" applyFill="1" applyBorder="1" applyAlignment="1">
      <alignment horizontal="left" vertical="top"/>
    </xf>
    <xf numFmtId="0" fontId="16" fillId="20" borderId="15" xfId="3" applyFont="1" applyFill="1" applyBorder="1" applyAlignment="1">
      <alignment horizontal="center" vertical="top"/>
    </xf>
    <xf numFmtId="0" fontId="16" fillId="20" borderId="11" xfId="3" applyFont="1" applyFill="1" applyBorder="1" applyAlignment="1">
      <alignment horizontal="center" vertical="top"/>
    </xf>
    <xf numFmtId="0" fontId="16" fillId="20" borderId="11" xfId="3" applyFont="1" applyFill="1" applyBorder="1" applyAlignment="1">
      <alignment horizontal="center" vertical="top" wrapText="1"/>
    </xf>
    <xf numFmtId="0" fontId="0" fillId="12" borderId="3" xfId="0" applyFill="1" applyBorder="1" applyAlignment="1">
      <alignment wrapText="1"/>
    </xf>
    <xf numFmtId="0" fontId="16" fillId="12" borderId="3" xfId="0" applyFont="1" applyFill="1" applyBorder="1" applyAlignment="1">
      <alignment horizontal="left" vertical="top" wrapText="1"/>
    </xf>
    <xf numFmtId="0" fontId="16" fillId="18" borderId="3" xfId="0" applyFont="1" applyFill="1" applyBorder="1" applyAlignment="1">
      <alignment horizontal="left" vertical="top" wrapText="1"/>
    </xf>
    <xf numFmtId="0" fontId="16" fillId="9" borderId="12" xfId="0" applyFont="1" applyFill="1" applyBorder="1" applyAlignment="1">
      <alignment horizontal="left" vertical="top" wrapText="1"/>
    </xf>
    <xf numFmtId="0" fontId="0" fillId="17" borderId="3" xfId="0" applyFill="1" applyBorder="1" applyAlignment="1">
      <alignment wrapText="1"/>
    </xf>
    <xf numFmtId="0" fontId="0" fillId="0" borderId="3" xfId="0" applyFill="1" applyBorder="1" applyAlignment="1">
      <alignment wrapText="1"/>
    </xf>
    <xf numFmtId="0" fontId="0" fillId="18" borderId="3" xfId="0" applyFill="1" applyBorder="1" applyAlignment="1">
      <alignment wrapText="1"/>
    </xf>
    <xf numFmtId="0" fontId="18" fillId="9" borderId="3" xfId="0" applyFont="1" applyFill="1" applyBorder="1" applyAlignment="1">
      <alignment horizontal="left" vertical="top" wrapText="1"/>
    </xf>
    <xf numFmtId="0" fontId="0" fillId="13" borderId="3" xfId="0" applyFill="1" applyBorder="1" applyAlignment="1">
      <alignment wrapText="1"/>
    </xf>
    <xf numFmtId="0" fontId="16" fillId="13" borderId="3" xfId="0" applyFont="1" applyFill="1" applyBorder="1" applyAlignment="1">
      <alignment horizontal="left" vertical="top" wrapText="1"/>
    </xf>
    <xf numFmtId="0" fontId="13" fillId="0" borderId="3" xfId="1" applyNumberFormat="1" applyFont="1" applyFill="1" applyBorder="1" applyAlignment="1">
      <alignment horizontal="center"/>
    </xf>
    <xf numFmtId="0" fontId="11" fillId="0" borderId="0" xfId="0" applyFont="1" applyAlignment="1">
      <alignment horizontal="left" wrapText="1"/>
    </xf>
    <xf numFmtId="0" fontId="26" fillId="9" borderId="7" xfId="3" applyFont="1" applyFill="1" applyBorder="1" applyAlignment="1">
      <alignment horizontal="left" vertical="top"/>
    </xf>
    <xf numFmtId="0" fontId="26" fillId="9" borderId="11" xfId="3" applyFont="1" applyFill="1" applyBorder="1" applyAlignment="1">
      <alignment horizontal="left" vertical="top"/>
    </xf>
    <xf numFmtId="0" fontId="26" fillId="9" borderId="14" xfId="3" applyFont="1" applyFill="1" applyBorder="1" applyAlignment="1">
      <alignment horizontal="left" vertical="top"/>
    </xf>
    <xf numFmtId="0" fontId="26" fillId="20" borderId="11" xfId="3" applyFont="1" applyFill="1" applyBorder="1" applyAlignment="1">
      <alignment horizontal="center" vertical="top"/>
    </xf>
    <xf numFmtId="0" fontId="26" fillId="14" borderId="7" xfId="3" applyFont="1" applyFill="1" applyBorder="1" applyAlignment="1">
      <alignment horizontal="left" vertical="top"/>
    </xf>
    <xf numFmtId="0" fontId="0" fillId="0" borderId="0" xfId="0" applyNumberFormat="1" applyAlignment="1">
      <alignment wrapText="1"/>
    </xf>
    <xf numFmtId="0" fontId="25" fillId="0" borderId="3" xfId="0" applyNumberFormat="1" applyFont="1" applyFill="1" applyBorder="1" applyAlignment="1">
      <alignment horizontal="left" vertical="center" wrapText="1"/>
    </xf>
    <xf numFmtId="0" fontId="26" fillId="9" borderId="3" xfId="0" applyNumberFormat="1" applyFont="1" applyFill="1" applyBorder="1" applyAlignment="1">
      <alignment horizontal="left" vertical="top"/>
    </xf>
    <xf numFmtId="0" fontId="25" fillId="0" borderId="3" xfId="0" applyNumberFormat="1" applyFont="1" applyFill="1" applyBorder="1" applyAlignment="1">
      <alignment horizontal="center"/>
    </xf>
    <xf numFmtId="0" fontId="27" fillId="0" borderId="0" xfId="5" applyAlignment="1">
      <alignment wrapText="1"/>
    </xf>
    <xf numFmtId="0" fontId="27" fillId="0" borderId="0" xfId="5"/>
    <xf numFmtId="0" fontId="16" fillId="13" borderId="8" xfId="3" applyFont="1" applyFill="1" applyBorder="1" applyAlignment="1">
      <alignment horizontal="left" vertical="top"/>
    </xf>
    <xf numFmtId="0" fontId="16" fillId="9" borderId="8" xfId="3" applyFont="1" applyFill="1" applyBorder="1" applyAlignment="1">
      <alignment horizontal="left" vertical="top"/>
    </xf>
    <xf numFmtId="0" fontId="26" fillId="9" borderId="3" xfId="3" applyFont="1" applyFill="1" applyBorder="1" applyAlignment="1">
      <alignment horizontal="left" vertical="top"/>
    </xf>
    <xf numFmtId="0" fontId="26" fillId="13" borderId="7" xfId="3" applyFont="1" applyFill="1" applyBorder="1" applyAlignment="1">
      <alignment horizontal="left" vertical="top"/>
    </xf>
    <xf numFmtId="0" fontId="16" fillId="9" borderId="7" xfId="3" applyFont="1" applyFill="1" applyBorder="1" applyAlignment="1">
      <alignment horizontal="left" vertical="top" wrapText="1"/>
    </xf>
    <xf numFmtId="0" fontId="28" fillId="0" borderId="3" xfId="0" applyFont="1" applyFill="1" applyBorder="1" applyAlignment="1">
      <alignment horizontal="center" vertical="center"/>
    </xf>
    <xf numFmtId="0" fontId="28" fillId="0" borderId="3" xfId="0" applyNumberFormat="1" applyFont="1" applyFill="1" applyBorder="1" applyAlignment="1">
      <alignment horizontal="left" vertical="center" wrapText="1"/>
    </xf>
    <xf numFmtId="0" fontId="29" fillId="9" borderId="3" xfId="0" applyNumberFormat="1" applyFont="1" applyFill="1" applyBorder="1" applyAlignment="1">
      <alignment horizontal="left" vertical="top"/>
    </xf>
    <xf numFmtId="0" fontId="29" fillId="9" borderId="3" xfId="0" applyFont="1" applyFill="1" applyBorder="1" applyAlignment="1">
      <alignment horizontal="left" vertical="top" wrapText="1"/>
    </xf>
    <xf numFmtId="0" fontId="29" fillId="0" borderId="3" xfId="0" applyFont="1" applyFill="1" applyBorder="1" applyAlignment="1">
      <alignment horizontal="left" vertical="top" wrapText="1"/>
    </xf>
    <xf numFmtId="0" fontId="29" fillId="0" borderId="3" xfId="0" applyNumberFormat="1" applyFont="1" applyFill="1" applyBorder="1" applyAlignment="1">
      <alignment horizontal="left" vertical="top" wrapText="1"/>
    </xf>
    <xf numFmtId="0" fontId="28" fillId="0" borderId="3" xfId="0" applyNumberFormat="1" applyFont="1" applyFill="1" applyBorder="1" applyAlignment="1">
      <alignment horizontal="center"/>
    </xf>
    <xf numFmtId="0" fontId="22" fillId="0" borderId="0" xfId="3" applyFill="1" applyBorder="1"/>
    <xf numFmtId="0" fontId="16" fillId="13" borderId="7" xfId="3" applyFont="1" applyFill="1" applyBorder="1" applyAlignment="1">
      <alignment horizontal="left" vertical="top" wrapText="1"/>
    </xf>
    <xf numFmtId="0" fontId="16" fillId="14" borderId="8" xfId="3" applyFont="1" applyFill="1" applyBorder="1" applyAlignment="1">
      <alignment horizontal="left" vertical="top"/>
    </xf>
    <xf numFmtId="0" fontId="26" fillId="14" borderId="3" xfId="3" applyFont="1" applyFill="1" applyBorder="1" applyAlignment="1">
      <alignment horizontal="left" vertical="top"/>
    </xf>
    <xf numFmtId="0" fontId="16" fillId="9" borderId="3" xfId="0" applyNumberFormat="1" applyFont="1" applyFill="1" applyBorder="1" applyAlignment="1">
      <alignment horizontal="left" vertical="top"/>
    </xf>
    <xf numFmtId="0" fontId="0" fillId="0" borderId="3" xfId="0" applyNumberFormat="1" applyFont="1" applyFill="1" applyBorder="1" applyAlignment="1">
      <alignment horizontal="left" vertical="center" wrapText="1"/>
    </xf>
    <xf numFmtId="0" fontId="16" fillId="0" borderId="3" xfId="0" applyNumberFormat="1" applyFont="1" applyFill="1" applyBorder="1" applyAlignment="1">
      <alignment horizontal="left" vertical="top" wrapText="1"/>
    </xf>
    <xf numFmtId="0" fontId="0" fillId="0" borderId="3" xfId="0" applyNumberFormat="1" applyFont="1" applyFill="1" applyBorder="1" applyAlignment="1">
      <alignment horizontal="center"/>
    </xf>
    <xf numFmtId="0" fontId="26" fillId="10" borderId="7" xfId="3" applyFont="1" applyFill="1" applyBorder="1" applyAlignment="1">
      <alignment horizontal="left" vertical="top"/>
    </xf>
    <xf numFmtId="0" fontId="30" fillId="10" borderId="7" xfId="3" applyFont="1" applyFill="1" applyBorder="1" applyAlignment="1">
      <alignment horizontal="left" vertical="top" wrapText="1"/>
    </xf>
    <xf numFmtId="0" fontId="30" fillId="10" borderId="7" xfId="3" applyFont="1" applyFill="1" applyBorder="1" applyAlignment="1">
      <alignment horizontal="left" vertical="top"/>
    </xf>
    <xf numFmtId="0" fontId="30" fillId="9" borderId="7" xfId="3" applyFont="1" applyFill="1" applyBorder="1" applyAlignment="1">
      <alignment horizontal="left" vertical="top" wrapText="1"/>
    </xf>
    <xf numFmtId="0" fontId="30" fillId="0" borderId="7" xfId="3" applyFont="1" applyFill="1" applyBorder="1" applyAlignment="1">
      <alignment horizontal="left" vertical="top" wrapText="1"/>
    </xf>
    <xf numFmtId="0" fontId="30" fillId="9" borderId="7" xfId="3" applyFont="1" applyFill="1" applyBorder="1" applyAlignment="1">
      <alignment horizontal="left" vertical="top"/>
    </xf>
    <xf numFmtId="0" fontId="30" fillId="14" borderId="7" xfId="3" applyFont="1" applyFill="1" applyBorder="1" applyAlignment="1">
      <alignment horizontal="left" vertical="top"/>
    </xf>
    <xf numFmtId="0" fontId="16" fillId="9" borderId="16" xfId="3" applyFont="1" applyFill="1" applyBorder="1" applyAlignment="1">
      <alignment horizontal="left" vertical="top"/>
    </xf>
    <xf numFmtId="0" fontId="16" fillId="21" borderId="9" xfId="3" applyFont="1" applyFill="1" applyBorder="1" applyAlignment="1">
      <alignment horizontal="left" vertical="top"/>
    </xf>
    <xf numFmtId="0" fontId="16" fillId="21" borderId="7" xfId="3" applyFont="1" applyFill="1" applyBorder="1" applyAlignment="1">
      <alignment horizontal="left" vertical="top"/>
    </xf>
    <xf numFmtId="0" fontId="22" fillId="21" borderId="0" xfId="3" applyFill="1"/>
    <xf numFmtId="0" fontId="16" fillId="21" borderId="8" xfId="3" applyFont="1" applyFill="1" applyBorder="1" applyAlignment="1">
      <alignment horizontal="left" vertical="top"/>
    </xf>
    <xf numFmtId="0" fontId="26" fillId="21" borderId="3" xfId="3" applyFont="1" applyFill="1" applyBorder="1" applyAlignment="1">
      <alignment horizontal="left" vertical="top"/>
    </xf>
    <xf numFmtId="0" fontId="31" fillId="0" borderId="3" xfId="0" applyFont="1" applyFill="1" applyBorder="1" applyAlignment="1">
      <alignment horizontal="center" vertical="center"/>
    </xf>
    <xf numFmtId="0" fontId="31" fillId="0" borderId="3" xfId="0" applyNumberFormat="1" applyFont="1" applyFill="1" applyBorder="1" applyAlignment="1">
      <alignment horizontal="left" vertical="center" wrapText="1"/>
    </xf>
    <xf numFmtId="0" fontId="32" fillId="9" borderId="3" xfId="0" applyNumberFormat="1" applyFont="1" applyFill="1" applyBorder="1" applyAlignment="1">
      <alignment horizontal="left" vertical="top"/>
    </xf>
    <xf numFmtId="0" fontId="32" fillId="9" borderId="3" xfId="0" applyFont="1" applyFill="1" applyBorder="1" applyAlignment="1">
      <alignment horizontal="left" vertical="top" wrapText="1"/>
    </xf>
    <xf numFmtId="0" fontId="32" fillId="0" borderId="3" xfId="0" applyFont="1" applyFill="1" applyBorder="1" applyAlignment="1">
      <alignment horizontal="left" vertical="top" wrapText="1"/>
    </xf>
    <xf numFmtId="0" fontId="32" fillId="0" borderId="3" xfId="0" applyNumberFormat="1" applyFont="1" applyFill="1" applyBorder="1" applyAlignment="1">
      <alignment horizontal="left" vertical="top" wrapText="1"/>
    </xf>
    <xf numFmtId="0" fontId="31" fillId="0" borderId="3" xfId="0" applyNumberFormat="1" applyFont="1" applyFill="1" applyBorder="1" applyAlignment="1">
      <alignment horizontal="center"/>
    </xf>
    <xf numFmtId="0" fontId="17" fillId="9" borderId="3" xfId="2" applyNumberFormat="1" applyFill="1" applyBorder="1" applyAlignment="1">
      <alignment horizontal="left" vertical="top"/>
    </xf>
    <xf numFmtId="0" fontId="11" fillId="0" borderId="0" xfId="0" applyFont="1" applyAlignment="1">
      <alignment horizontal="left" wrapText="1"/>
    </xf>
  </cellXfs>
  <cellStyles count="6">
    <cellStyle name="Hyperlink" xfId="2" builtinId="8"/>
    <cellStyle name="Hyperlink 2" xfId="4"/>
    <cellStyle name="Normal" xfId="0" builtinId="0"/>
    <cellStyle name="Normal 2" xfId="3"/>
    <cellStyle name="Normal 3" xfId="5"/>
    <cellStyle name="Percent" xfId="1" builtinId="5"/>
  </cellStyles>
  <dxfs count="60">
    <dxf>
      <font>
        <b val="0"/>
        <i val="0"/>
        <strike val="0"/>
        <condense val="0"/>
        <extend val="0"/>
        <outline val="0"/>
        <shadow val="0"/>
        <u val="none"/>
        <vertAlign val="baseline"/>
        <sz val="11"/>
        <color indexed="8"/>
        <name val="Arial"/>
        <scheme val="none"/>
      </font>
      <fill>
        <patternFill patternType="solid">
          <fgColor indexed="64"/>
          <bgColor indexed="9"/>
        </patternFill>
      </fill>
      <alignment horizontal="left" vertical="top"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1"/>
        <color indexed="8"/>
        <name val="Arial"/>
        <scheme val="none"/>
      </font>
      <fill>
        <patternFill patternType="solid">
          <fgColor indexed="64"/>
          <bgColor indexed="9"/>
        </patternFill>
      </fill>
      <alignment horizontal="left" vertical="top"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1"/>
        <color indexed="8"/>
        <name val="Arial"/>
        <scheme val="none"/>
      </font>
      <fill>
        <patternFill patternType="solid">
          <fgColor indexed="64"/>
          <bgColor indexed="9"/>
        </patternFill>
      </fill>
      <alignment horizontal="left" vertical="top"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1"/>
        <color indexed="8"/>
        <name val="Arial"/>
        <scheme val="none"/>
      </font>
      <fill>
        <patternFill patternType="solid">
          <fgColor indexed="64"/>
          <bgColor indexed="9"/>
        </patternFill>
      </fill>
      <alignment horizontal="left" vertical="top"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1"/>
        <color indexed="8"/>
        <name val="Arial"/>
        <scheme val="none"/>
      </font>
      <fill>
        <patternFill patternType="solid">
          <fgColor indexed="64"/>
          <bgColor indexed="9"/>
        </patternFill>
      </fill>
      <alignment horizontal="left" vertical="top"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1"/>
        <color indexed="8"/>
        <name val="Arial"/>
        <scheme val="none"/>
      </font>
      <fill>
        <patternFill patternType="solid">
          <fgColor indexed="64"/>
          <bgColor indexed="9"/>
        </patternFill>
      </fill>
      <alignment horizontal="left" vertical="top"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1"/>
        <color indexed="8"/>
        <name val="Arial"/>
        <scheme val="none"/>
      </font>
      <fill>
        <patternFill patternType="solid">
          <fgColor indexed="64"/>
          <bgColor indexed="9"/>
        </patternFill>
      </fill>
      <alignment horizontal="left" vertical="top"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1"/>
        <color indexed="8"/>
        <name val="Arial"/>
        <scheme val="none"/>
      </font>
      <fill>
        <patternFill patternType="solid">
          <fgColor indexed="64"/>
          <bgColor indexed="9"/>
        </patternFill>
      </fill>
      <alignment horizontal="left" vertical="top"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1"/>
        <color indexed="8"/>
        <name val="Arial"/>
        <scheme val="none"/>
      </font>
      <fill>
        <patternFill patternType="solid">
          <fgColor indexed="64"/>
          <bgColor indexed="9"/>
        </patternFill>
      </fill>
      <alignment horizontal="left" vertical="top"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1"/>
        <color indexed="8"/>
        <name val="Arial"/>
        <scheme val="none"/>
      </font>
      <fill>
        <patternFill patternType="solid">
          <fgColor indexed="64"/>
          <bgColor indexed="9"/>
        </patternFill>
      </fill>
      <alignment horizontal="left" vertical="top"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1"/>
        <color indexed="8"/>
        <name val="Arial"/>
        <scheme val="none"/>
      </font>
      <fill>
        <patternFill patternType="solid">
          <fgColor indexed="64"/>
          <bgColor indexed="9"/>
        </patternFill>
      </fill>
      <alignment horizontal="left" vertical="top"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1"/>
        <color indexed="8"/>
        <name val="Arial"/>
        <scheme val="none"/>
      </font>
      <fill>
        <patternFill patternType="solid">
          <fgColor indexed="64"/>
          <bgColor indexed="9"/>
        </patternFill>
      </fill>
      <alignment horizontal="left" vertical="top"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1"/>
        <color indexed="8"/>
        <name val="Arial"/>
        <scheme val="none"/>
      </font>
      <fill>
        <patternFill patternType="solid">
          <fgColor indexed="64"/>
          <bgColor indexed="9"/>
        </patternFill>
      </fill>
      <alignment horizontal="left" vertical="top"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1"/>
        <color indexed="8"/>
        <name val="Arial"/>
        <scheme val="none"/>
      </font>
      <fill>
        <patternFill patternType="solid">
          <fgColor indexed="64"/>
          <bgColor indexed="9"/>
        </patternFill>
      </fill>
      <alignment horizontal="left" vertical="top"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1"/>
        <color indexed="8"/>
        <name val="Arial"/>
        <scheme val="none"/>
      </font>
      <fill>
        <patternFill patternType="solid">
          <fgColor indexed="64"/>
          <bgColor indexed="9"/>
        </patternFill>
      </fill>
      <alignment horizontal="left" vertical="top"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1"/>
        <color indexed="8"/>
        <name val="Arial"/>
        <scheme val="none"/>
      </font>
      <fill>
        <patternFill patternType="solid">
          <fgColor indexed="64"/>
          <bgColor indexed="9"/>
        </patternFill>
      </fill>
      <alignment horizontal="left" vertical="top"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ont>
        <b val="0"/>
        <i val="0"/>
        <strike val="0"/>
        <condense val="0"/>
        <extend val="0"/>
        <outline val="0"/>
        <shadow val="0"/>
        <u val="none"/>
        <vertAlign val="baseline"/>
        <sz val="11"/>
        <color indexed="8"/>
        <name val="Arial"/>
        <scheme val="none"/>
      </font>
      <fill>
        <patternFill patternType="solid">
          <fgColor indexed="64"/>
          <bgColor indexed="9"/>
        </patternFill>
      </fill>
      <alignment horizontal="left" vertical="top" textRotation="0" wrapText="0" indent="0" justifyLastLine="0" shrinkToFit="0" readingOrder="0"/>
      <border diagonalUp="0" diagonalDown="0">
        <left/>
        <right style="thin">
          <color indexed="8"/>
        </right>
        <top style="thin">
          <color indexed="8"/>
        </top>
        <bottom style="thin">
          <color indexed="8"/>
        </bottom>
        <vertical/>
        <horizontal/>
      </border>
    </dxf>
    <dxf>
      <border outline="0">
        <top style="thin">
          <color indexed="8"/>
        </top>
      </border>
    </dxf>
    <dxf>
      <border outline="0">
        <left style="thin">
          <color indexed="8"/>
        </left>
        <top style="thin">
          <color indexed="8"/>
        </top>
        <bottom style="thin">
          <color indexed="8"/>
        </bottom>
      </border>
    </dxf>
    <dxf>
      <font>
        <b val="0"/>
        <i val="0"/>
        <strike val="0"/>
        <condense val="0"/>
        <extend val="0"/>
        <outline val="0"/>
        <shadow val="0"/>
        <u val="none"/>
        <vertAlign val="baseline"/>
        <sz val="11"/>
        <color indexed="8"/>
        <name val="Arial"/>
        <scheme val="none"/>
      </font>
      <fill>
        <patternFill patternType="solid">
          <fgColor indexed="64"/>
          <bgColor indexed="9"/>
        </patternFill>
      </fill>
      <alignment horizontal="left" vertical="top" textRotation="0" wrapText="0" indent="0" justifyLastLine="0" shrinkToFit="0" readingOrder="0"/>
    </dxf>
    <dxf>
      <border outline="0">
        <bottom style="thin">
          <color indexed="8"/>
        </bottom>
      </border>
    </dxf>
    <dxf>
      <font>
        <b val="0"/>
        <i val="0"/>
        <strike val="0"/>
        <condense val="0"/>
        <extend val="0"/>
        <outline val="0"/>
        <shadow val="0"/>
        <u val="none"/>
        <vertAlign val="baseline"/>
        <sz val="11"/>
        <color indexed="8"/>
        <name val="Arial"/>
        <scheme val="none"/>
      </font>
      <fill>
        <patternFill patternType="solid">
          <fgColor indexed="64"/>
          <bgColor indexed="12"/>
        </patternFill>
      </fill>
      <alignment horizontal="center" vertical="top" textRotation="0" wrapText="0" indent="0" justifyLastLine="0" shrinkToFit="0" readingOrder="0"/>
      <border diagonalUp="0" diagonalDown="0" outline="0">
        <left style="thin">
          <color indexed="8"/>
        </left>
        <right style="thin">
          <color indexed="8"/>
        </right>
        <top/>
        <bottom/>
      </border>
    </dxf>
    <dxf>
      <font>
        <color rgb="FF9C0006"/>
      </font>
      <fill>
        <patternFill>
          <bgColor rgb="FFFFC7CE"/>
        </patternFill>
      </fill>
    </dxf>
    <dxf>
      <font>
        <b val="0"/>
        <i val="0"/>
        <strike val="0"/>
        <condense val="0"/>
        <extend val="0"/>
        <outline val="0"/>
        <shadow val="0"/>
        <u val="none"/>
        <vertAlign val="baseline"/>
        <sz val="11"/>
        <color indexed="8"/>
        <name val="Arial"/>
        <scheme val="none"/>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indexed="8"/>
        <name val="Arial"/>
        <scheme val="none"/>
      </font>
      <fill>
        <patternFill patternType="solid">
          <fgColor indexed="64"/>
          <bgColor indexed="9"/>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indexed="8"/>
        <name val="Arial"/>
        <scheme val="none"/>
      </font>
      <numFmt numFmtId="0" formatCode="General"/>
      <fill>
        <patternFill patternType="solid">
          <fgColor indexed="64"/>
          <bgColor indexed="9"/>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indexed="8"/>
        <name val="Arial"/>
        <scheme val="none"/>
      </font>
      <numFmt numFmtId="0" formatCode="General"/>
      <fill>
        <patternFill patternType="solid">
          <fgColor indexed="64"/>
          <bgColor indexed="9"/>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indexed="8"/>
        <name val="Arial"/>
        <scheme val="none"/>
      </font>
      <numFmt numFmtId="0" formatCode="General"/>
      <fill>
        <patternFill patternType="solid">
          <fgColor indexed="64"/>
          <bgColor indexed="9"/>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indexed="8"/>
        <name val="Arial"/>
        <scheme val="none"/>
      </font>
      <numFmt numFmtId="0" formatCode="General"/>
      <fill>
        <patternFill patternType="solid">
          <fgColor indexed="64"/>
          <bgColor indexed="9"/>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1"/>
        <color indexed="8"/>
        <name val="Arial"/>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indexed="64"/>
        </bottom>
      </border>
    </dxf>
    <dxf>
      <font>
        <b/>
        <i val="0"/>
        <strike val="0"/>
        <condense val="0"/>
        <extend val="0"/>
        <outline val="0"/>
        <shadow val="0"/>
        <u val="none"/>
        <vertAlign val="baseline"/>
        <sz val="11"/>
        <color indexed="8"/>
        <name val="Arial"/>
        <scheme val="none"/>
      </font>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bottom/>
      </border>
    </dxf>
    <dxf>
      <fill>
        <patternFill>
          <bgColor rgb="FFFFFF00"/>
        </patternFill>
      </fill>
    </dxf>
    <dxf>
      <fill>
        <patternFill>
          <bgColor rgb="FFFF0000"/>
        </patternFill>
      </fill>
    </dxf>
    <dxf>
      <fill>
        <patternFill>
          <bgColor rgb="FF00B050"/>
        </patternFill>
      </fill>
    </dxf>
    <dxf>
      <fill>
        <patternFill>
          <bgColor rgb="FF00B050"/>
        </patternFill>
      </fill>
    </dxf>
    <dxf>
      <numFmt numFmtId="0" formatCode="General"/>
      <alignment horizontal="general" vertical="bottom" textRotation="0" wrapText="1" indent="0" justifyLastLine="0" shrinkToFit="0" readingOrder="0"/>
    </dxf>
    <dxf>
      <alignment horizontal="left" textRotation="0" indent="0" justifyLastLine="0" shrinkToFit="0" readingOrder="0"/>
    </dxf>
    <dxf>
      <border outline="0">
        <top style="thin">
          <color theme="4" tint="0.39997558519241921"/>
        </top>
      </border>
    </dxf>
    <dxf>
      <font>
        <b/>
        <i val="0"/>
        <strike val="0"/>
        <condense val="0"/>
        <extend val="0"/>
        <outline val="0"/>
        <shadow val="0"/>
        <u val="none"/>
        <vertAlign val="baseline"/>
        <sz val="11"/>
        <color theme="1" tint="4.9989318521683403E-2"/>
        <name val="Calibri"/>
        <scheme val="minor"/>
      </font>
      <fill>
        <patternFill patternType="solid">
          <fgColor indexed="64"/>
          <bgColor theme="0" tint="-0.249977111117893"/>
        </patternFill>
      </fill>
      <alignment horizontal="center" vertical="center" textRotation="0" wrapText="1" indent="0" justifyLastLine="0" shrinkToFit="0" readingOrder="0"/>
      <border diagonalUp="0" diagonalDown="0">
        <left/>
        <right/>
        <top/>
        <bottom/>
        <vertical/>
        <horizontal/>
      </border>
    </dxf>
    <dxf>
      <fill>
        <patternFill>
          <bgColor theme="7" tint="0.39994506668294322"/>
        </patternFill>
      </fill>
    </dxf>
    <dxf>
      <fill>
        <patternFill>
          <bgColor rgb="FFFFC000"/>
        </patternFill>
      </fill>
    </dxf>
    <dxf>
      <fill>
        <patternFill>
          <bgColor rgb="FF00B0F0"/>
        </patternFill>
      </fill>
    </dxf>
    <dxf>
      <fill>
        <patternFill>
          <bgColor rgb="FFFF0000"/>
        </patternFill>
      </fill>
    </dxf>
    <dxf>
      <fill>
        <patternFill>
          <bgColor rgb="FFFFFF00"/>
        </patternFill>
      </fill>
    </dxf>
    <dxf>
      <fill>
        <patternFill>
          <bgColor rgb="FF92D050"/>
        </patternFill>
      </fill>
    </dxf>
    <dxf>
      <fill>
        <patternFill>
          <bgColor rgb="FF00B0F0"/>
        </patternFill>
      </fill>
    </dxf>
    <dxf>
      <fill>
        <patternFill>
          <bgColor rgb="FFFFC000"/>
        </patternFill>
      </fill>
    </dxf>
    <dxf>
      <font>
        <b/>
        <color theme="1"/>
      </font>
      <border>
        <bottom style="thin">
          <color theme="6"/>
        </bottom>
        <vertical/>
        <horizontal/>
      </border>
    </dxf>
    <dxf>
      <font>
        <color theme="1"/>
      </font>
      <border diagonalUp="0" diagonalDown="0">
        <left/>
        <right/>
        <top/>
        <bottom/>
        <vertical/>
        <horizontal/>
      </border>
    </dxf>
  </dxfs>
  <tableStyles count="2" defaultTableStyle="TableStyleMedium2" defaultPivotStyle="PivotStyleLight16">
    <tableStyle name="Slicer Style 1" pivot="0" table="0" count="8"/>
    <tableStyle name="SlicerStyleLight3 2" pivot="0" table="0" count="10">
      <tableStyleElement type="wholeTable" dxfId="59"/>
      <tableStyleElement type="headerRow" dxfId="58"/>
    </tableStyle>
  </tableStyles>
  <colors>
    <mruColors>
      <color rgb="FF2E9C02"/>
      <color rgb="FFFFFF66"/>
      <color rgb="FF3FD985"/>
      <color rgb="FF164B01"/>
      <color rgb="FF009900"/>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b/>
            <i val="0"/>
            <name val="Agency FB"/>
            <scheme val="none"/>
          </font>
          <fill>
            <gradientFill degree="90">
              <stop position="0">
                <color rgb="FFFFFF00"/>
              </stop>
              <stop position="1">
                <color rgb="FFFFFF66"/>
              </stop>
            </gradientFill>
          </fill>
          <border>
            <left style="thin">
              <color auto="1"/>
            </left>
            <right style="thin">
              <color auto="1"/>
            </right>
            <top style="thin">
              <color auto="1"/>
            </top>
            <bottom style="thin">
              <color auto="1"/>
            </bottom>
          </border>
        </dxf>
        <dxf>
          <font>
            <b/>
            <i val="0"/>
            <name val="Agency FB"/>
            <scheme val="none"/>
          </font>
          <fill>
            <patternFill>
              <bgColor theme="9" tint="0.59996337778862885"/>
            </patternFill>
          </fill>
          <border>
            <left style="thin">
              <color auto="1"/>
            </left>
            <right style="thin">
              <color auto="1"/>
            </right>
            <top style="thin">
              <color auto="1"/>
            </top>
            <bottom style="thin">
              <color auto="1"/>
            </bottom>
          </border>
        </dxf>
        <dxf>
          <font>
            <b/>
            <i val="0"/>
            <color auto="1"/>
            <name val="Agency FB"/>
            <scheme val="none"/>
          </font>
          <fill>
            <gradientFill degree="90">
              <stop position="0">
                <color rgb="FFFFFF00"/>
              </stop>
              <stop position="1">
                <color rgb="FFFFFF66"/>
              </stop>
            </gradientFill>
          </fill>
          <border>
            <left style="thin">
              <color auto="1"/>
            </left>
            <right style="thin">
              <color auto="1"/>
            </right>
            <top style="thin">
              <color auto="1"/>
            </top>
            <bottom style="thin">
              <color auto="1"/>
            </bottom>
          </border>
        </dxf>
        <dxf>
          <font>
            <b/>
            <i val="0"/>
            <name val="Agency FB"/>
            <scheme val="none"/>
          </font>
          <fill>
            <patternFill>
              <bgColor theme="9" tint="0.39994506668294322"/>
            </patternFill>
          </fill>
          <border>
            <left style="thin">
              <color auto="1"/>
            </left>
            <right style="thin">
              <color auto="1"/>
            </right>
            <top style="thin">
              <color auto="1"/>
            </top>
            <bottom style="thin">
              <color auto="1"/>
            </bottom>
          </border>
        </dxf>
        <dxf>
          <font>
            <b/>
            <i val="0"/>
            <color theme="0"/>
            <name val="Agency FB"/>
            <scheme val="none"/>
          </font>
          <fill>
            <patternFill>
              <bgColor theme="3" tint="0.39994506668294322"/>
            </patternFill>
          </fill>
          <border>
            <left style="thin">
              <color auto="1"/>
            </left>
            <right style="thin">
              <color auto="1"/>
            </right>
            <top style="thin">
              <color auto="1"/>
            </top>
            <bottom style="thin">
              <color auto="1"/>
            </bottom>
          </border>
        </dxf>
        <dxf>
          <font>
            <b/>
            <i val="0"/>
            <color theme="0" tint="-4.9989318521683403E-2"/>
            <name val="Agency FB"/>
            <scheme val="none"/>
          </font>
          <fill>
            <patternFill>
              <bgColor theme="3" tint="0.39994506668294322"/>
            </patternFill>
          </fill>
          <border>
            <left style="thin">
              <color auto="1"/>
            </left>
            <right style="thin">
              <color auto="1"/>
            </right>
            <top style="thin">
              <color auto="1"/>
            </top>
            <bottom style="thin">
              <color auto="1"/>
            </bottom>
          </border>
        </dxf>
        <dxf>
          <font>
            <b/>
            <i val="0"/>
            <color theme="0"/>
            <name val="Agency FB"/>
            <scheme val="none"/>
          </font>
          <fill>
            <patternFill>
              <bgColor theme="5" tint="0.39994506668294322"/>
            </patternFill>
          </fill>
          <border>
            <left style="thin">
              <color auto="1"/>
            </left>
            <right style="thin">
              <color auto="1"/>
            </right>
            <top style="thin">
              <color auto="1"/>
            </top>
            <bottom style="thin">
              <color auto="1"/>
            </bottom>
          </border>
        </dxf>
        <dxf>
          <font>
            <b/>
            <i val="0"/>
            <color theme="0"/>
            <name val="Agency FB"/>
            <scheme val="none"/>
          </font>
          <fill>
            <patternFill>
              <bgColor theme="5" tint="0.39994506668294322"/>
            </patternFill>
          </fill>
          <border>
            <left style="thin">
              <color auto="1"/>
            </left>
            <right style="thin">
              <color auto="1"/>
            </right>
            <top style="thin">
              <color auto="1"/>
            </top>
            <bottom style="thin">
              <color auto="1"/>
            </bottom>
          </border>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3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7/relationships/slicerCache" Target="slicerCaches/slicerCache4.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pivotCacheDefinition" Target="pivotCache/pivotCacheDefinition1.xml"/><Relationship Id="rId12" Type="http://schemas.microsoft.com/office/2007/relationships/slicerCache" Target="slicerCaches/slicerCache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07/relationships/slicerCache" Target="slicerCaches/slicerCache2.xml"/><Relationship Id="rId5" Type="http://schemas.openxmlformats.org/officeDocument/2006/relationships/externalLink" Target="externalLinks/externalLink1.xml"/><Relationship Id="rId15" Type="http://schemas.microsoft.com/office/2007/relationships/slicerCache" Target="slicerCaches/slicerCache6.xml"/><Relationship Id="rId23" Type="http://schemas.microsoft.com/office/2006/relationships/vbaProject" Target="vbaProject.bin"/><Relationship Id="rId10" Type="http://schemas.microsoft.com/office/2007/relationships/slicerCache" Target="slicerCaches/slicerCach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microsoft.com/office/2007/relationships/slicerCache" Target="slicerCaches/slicerCache5.xml"/><Relationship Id="rId22"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PSC</a:t>
            </a:r>
          </a:p>
        </c:rich>
      </c:tx>
      <c:layout/>
      <c:overlay val="1"/>
    </c:title>
    <c:autoTitleDeleted val="0"/>
    <c:plotArea>
      <c:layout>
        <c:manualLayout>
          <c:layoutTarget val="inner"/>
          <c:xMode val="edge"/>
          <c:yMode val="edge"/>
          <c:x val="5.7905074365704287E-2"/>
          <c:y val="0.19954870224555263"/>
          <c:w val="0.9115393700787402"/>
          <c:h val="0.52157062351563777"/>
        </c:manualLayout>
      </c:layout>
      <c:barChart>
        <c:barDir val="col"/>
        <c:grouping val="clustered"/>
        <c:varyColors val="0"/>
        <c:ser>
          <c:idx val="0"/>
          <c:order val="0"/>
          <c:tx>
            <c:strRef>
              <c:f>Metrics!$B$68</c:f>
              <c:strCache>
                <c:ptCount val="1"/>
                <c:pt idx="0">
                  <c:v>BC</c:v>
                </c:pt>
              </c:strCache>
            </c:strRef>
          </c:tx>
          <c:spPr>
            <a:solidFill>
              <a:schemeClr val="accent4">
                <a:lumMod val="75000"/>
              </a:schemeClr>
            </a:solidFill>
            <a:ln w="12700">
              <a:solidFill>
                <a:schemeClr val="tx1"/>
              </a:solidFill>
            </a:ln>
          </c:spPr>
          <c:invertIfNegative val="0"/>
          <c:cat>
            <c:strRef>
              <c:f>Metrics!$C$67:$E$67</c:f>
              <c:strCache>
                <c:ptCount val="3"/>
                <c:pt idx="0">
                  <c:v>Yes</c:v>
                </c:pt>
                <c:pt idx="1">
                  <c:v>No</c:v>
                </c:pt>
                <c:pt idx="2">
                  <c:v>N/A</c:v>
                </c:pt>
              </c:strCache>
            </c:strRef>
          </c:cat>
          <c:val>
            <c:numRef>
              <c:f>Metrics!$C$68:$E$68</c:f>
              <c:numCache>
                <c:formatCode>General</c:formatCode>
                <c:ptCount val="3"/>
                <c:pt idx="0">
                  <c:v>47</c:v>
                </c:pt>
                <c:pt idx="1">
                  <c:v>40</c:v>
                </c:pt>
                <c:pt idx="2">
                  <c:v>13</c:v>
                </c:pt>
              </c:numCache>
            </c:numRef>
          </c:val>
        </c:ser>
        <c:ser>
          <c:idx val="1"/>
          <c:order val="1"/>
          <c:tx>
            <c:strRef>
              <c:f>Metrics!$B$69</c:f>
              <c:strCache>
                <c:ptCount val="1"/>
                <c:pt idx="0">
                  <c:v>ON</c:v>
                </c:pt>
              </c:strCache>
            </c:strRef>
          </c:tx>
          <c:spPr>
            <a:solidFill>
              <a:schemeClr val="accent6">
                <a:lumMod val="75000"/>
              </a:schemeClr>
            </a:solidFill>
            <a:ln w="12700">
              <a:solidFill>
                <a:schemeClr val="tx1"/>
              </a:solidFill>
            </a:ln>
          </c:spPr>
          <c:invertIfNegative val="0"/>
          <c:cat>
            <c:strRef>
              <c:f>Metrics!$C$67:$E$67</c:f>
              <c:strCache>
                <c:ptCount val="3"/>
                <c:pt idx="0">
                  <c:v>Yes</c:v>
                </c:pt>
                <c:pt idx="1">
                  <c:v>No</c:v>
                </c:pt>
                <c:pt idx="2">
                  <c:v>N/A</c:v>
                </c:pt>
              </c:strCache>
            </c:strRef>
          </c:cat>
          <c:val>
            <c:numRef>
              <c:f>Metrics!$C$69:$E$69</c:f>
              <c:numCache>
                <c:formatCode>General</c:formatCode>
                <c:ptCount val="3"/>
                <c:pt idx="0">
                  <c:v>27</c:v>
                </c:pt>
                <c:pt idx="1">
                  <c:v>12</c:v>
                </c:pt>
                <c:pt idx="2">
                  <c:v>15</c:v>
                </c:pt>
              </c:numCache>
            </c:numRef>
          </c:val>
        </c:ser>
        <c:ser>
          <c:idx val="2"/>
          <c:order val="2"/>
          <c:tx>
            <c:strRef>
              <c:f>Metrics!$B$70</c:f>
              <c:strCache>
                <c:ptCount val="1"/>
                <c:pt idx="0">
                  <c:v>BC Bio</c:v>
                </c:pt>
              </c:strCache>
            </c:strRef>
          </c:tx>
          <c:spPr>
            <a:ln>
              <a:solidFill>
                <a:schemeClr val="tx1"/>
              </a:solidFill>
            </a:ln>
          </c:spPr>
          <c:invertIfNegative val="0"/>
          <c:cat>
            <c:strRef>
              <c:f>Metrics!$C$67:$E$67</c:f>
              <c:strCache>
                <c:ptCount val="3"/>
                <c:pt idx="0">
                  <c:v>Yes</c:v>
                </c:pt>
                <c:pt idx="1">
                  <c:v>No</c:v>
                </c:pt>
                <c:pt idx="2">
                  <c:v>N/A</c:v>
                </c:pt>
              </c:strCache>
            </c:strRef>
          </c:cat>
          <c:val>
            <c:numRef>
              <c:f>Metrics!$C$70:$E$70</c:f>
              <c:numCache>
                <c:formatCode>General</c:formatCode>
                <c:ptCount val="3"/>
                <c:pt idx="0">
                  <c:v>15</c:v>
                </c:pt>
                <c:pt idx="1">
                  <c:v>14</c:v>
                </c:pt>
                <c:pt idx="2">
                  <c:v>4</c:v>
                </c:pt>
              </c:numCache>
            </c:numRef>
          </c:val>
        </c:ser>
        <c:ser>
          <c:idx val="3"/>
          <c:order val="3"/>
          <c:tx>
            <c:strRef>
              <c:f>Metrics!$B$71</c:f>
              <c:strCache>
                <c:ptCount val="1"/>
                <c:pt idx="0">
                  <c:v>BC LL</c:v>
                </c:pt>
              </c:strCache>
            </c:strRef>
          </c:tx>
          <c:spPr>
            <a:solidFill>
              <a:schemeClr val="accent4">
                <a:lumMod val="40000"/>
                <a:lumOff val="60000"/>
              </a:schemeClr>
            </a:solidFill>
            <a:ln w="12700">
              <a:solidFill>
                <a:schemeClr val="tx1"/>
              </a:solidFill>
            </a:ln>
          </c:spPr>
          <c:invertIfNegative val="0"/>
          <c:cat>
            <c:strRef>
              <c:f>Metrics!$C$67:$E$67</c:f>
              <c:strCache>
                <c:ptCount val="3"/>
                <c:pt idx="0">
                  <c:v>Yes</c:v>
                </c:pt>
                <c:pt idx="1">
                  <c:v>No</c:v>
                </c:pt>
                <c:pt idx="2">
                  <c:v>N/A</c:v>
                </c:pt>
              </c:strCache>
            </c:strRef>
          </c:cat>
          <c:val>
            <c:numRef>
              <c:f>Metrics!$C$71:$E$71</c:f>
              <c:numCache>
                <c:formatCode>General</c:formatCode>
                <c:ptCount val="3"/>
                <c:pt idx="0">
                  <c:v>32</c:v>
                </c:pt>
                <c:pt idx="1">
                  <c:v>26</c:v>
                </c:pt>
                <c:pt idx="2">
                  <c:v>9</c:v>
                </c:pt>
              </c:numCache>
            </c:numRef>
          </c:val>
        </c:ser>
        <c:ser>
          <c:idx val="4"/>
          <c:order val="4"/>
          <c:tx>
            <c:strRef>
              <c:f>Metrics!$B$72</c:f>
              <c:strCache>
                <c:ptCount val="1"/>
                <c:pt idx="0">
                  <c:v>CML</c:v>
                </c:pt>
              </c:strCache>
            </c:strRef>
          </c:tx>
          <c:spPr>
            <a:solidFill>
              <a:schemeClr val="accent6">
                <a:lumMod val="60000"/>
                <a:lumOff val="40000"/>
              </a:schemeClr>
            </a:solidFill>
            <a:ln w="12700">
              <a:solidFill>
                <a:schemeClr val="tx1"/>
              </a:solidFill>
            </a:ln>
          </c:spPr>
          <c:invertIfNegative val="0"/>
          <c:cat>
            <c:strRef>
              <c:f>Metrics!$C$67:$E$67</c:f>
              <c:strCache>
                <c:ptCount val="3"/>
                <c:pt idx="0">
                  <c:v>Yes</c:v>
                </c:pt>
                <c:pt idx="1">
                  <c:v>No</c:v>
                </c:pt>
                <c:pt idx="2">
                  <c:v>N/A</c:v>
                </c:pt>
              </c:strCache>
            </c:strRef>
          </c:cat>
          <c:val>
            <c:numRef>
              <c:f>Metrics!$C$72:$E$72</c:f>
              <c:numCache>
                <c:formatCode>General</c:formatCode>
                <c:ptCount val="3"/>
                <c:pt idx="0">
                  <c:v>8</c:v>
                </c:pt>
                <c:pt idx="1">
                  <c:v>2</c:v>
                </c:pt>
                <c:pt idx="2">
                  <c:v>4</c:v>
                </c:pt>
              </c:numCache>
            </c:numRef>
          </c:val>
        </c:ser>
        <c:ser>
          <c:idx val="5"/>
          <c:order val="5"/>
          <c:tx>
            <c:strRef>
              <c:f>Metrics!$B$73</c:f>
              <c:strCache>
                <c:ptCount val="1"/>
                <c:pt idx="0">
                  <c:v>ON LL</c:v>
                </c:pt>
              </c:strCache>
            </c:strRef>
          </c:tx>
          <c:spPr>
            <a:ln w="12700">
              <a:solidFill>
                <a:schemeClr val="tx1"/>
              </a:solidFill>
            </a:ln>
          </c:spPr>
          <c:invertIfNegative val="0"/>
          <c:cat>
            <c:strRef>
              <c:f>Metrics!$C$67:$E$67</c:f>
              <c:strCache>
                <c:ptCount val="3"/>
                <c:pt idx="0">
                  <c:v>Yes</c:v>
                </c:pt>
                <c:pt idx="1">
                  <c:v>No</c:v>
                </c:pt>
                <c:pt idx="2">
                  <c:v>N/A</c:v>
                </c:pt>
              </c:strCache>
            </c:strRef>
          </c:cat>
          <c:val>
            <c:numRef>
              <c:f>Metrics!$C$73:$E$73</c:f>
              <c:numCache>
                <c:formatCode>General</c:formatCode>
                <c:ptCount val="3"/>
                <c:pt idx="0">
                  <c:v>19</c:v>
                </c:pt>
                <c:pt idx="1">
                  <c:v>10</c:v>
                </c:pt>
                <c:pt idx="2">
                  <c:v>11</c:v>
                </c:pt>
              </c:numCache>
            </c:numRef>
          </c:val>
        </c:ser>
        <c:dLbls>
          <c:showLegendKey val="0"/>
          <c:showVal val="0"/>
          <c:showCatName val="0"/>
          <c:showSerName val="0"/>
          <c:showPercent val="0"/>
          <c:showBubbleSize val="0"/>
        </c:dLbls>
        <c:gapWidth val="150"/>
        <c:axId val="156430336"/>
        <c:axId val="156431872"/>
      </c:barChart>
      <c:catAx>
        <c:axId val="156430336"/>
        <c:scaling>
          <c:orientation val="minMax"/>
        </c:scaling>
        <c:delete val="0"/>
        <c:axPos val="b"/>
        <c:majorTickMark val="out"/>
        <c:minorTickMark val="none"/>
        <c:tickLblPos val="nextTo"/>
        <c:crossAx val="156431872"/>
        <c:crosses val="autoZero"/>
        <c:auto val="1"/>
        <c:lblAlgn val="ctr"/>
        <c:lblOffset val="100"/>
        <c:noMultiLvlLbl val="0"/>
      </c:catAx>
      <c:valAx>
        <c:axId val="156431872"/>
        <c:scaling>
          <c:orientation val="minMax"/>
        </c:scaling>
        <c:delete val="0"/>
        <c:axPos val="l"/>
        <c:numFmt formatCode="General" sourceLinked="1"/>
        <c:majorTickMark val="out"/>
        <c:minorTickMark val="none"/>
        <c:tickLblPos val="nextTo"/>
        <c:crossAx val="156430336"/>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PSC</a:t>
            </a:r>
          </a:p>
        </c:rich>
      </c:tx>
      <c:layout/>
      <c:overlay val="1"/>
    </c:title>
    <c:autoTitleDeleted val="0"/>
    <c:plotArea>
      <c:layout>
        <c:manualLayout>
          <c:layoutTarget val="inner"/>
          <c:xMode val="edge"/>
          <c:yMode val="edge"/>
          <c:x val="5.7905074365704287E-2"/>
          <c:y val="0.18097010600947608"/>
          <c:w val="0.9115393700787402"/>
          <c:h val="0.49566895047210008"/>
        </c:manualLayout>
      </c:layout>
      <c:barChart>
        <c:barDir val="col"/>
        <c:grouping val="clustered"/>
        <c:varyColors val="0"/>
        <c:ser>
          <c:idx val="0"/>
          <c:order val="0"/>
          <c:tx>
            <c:strRef>
              <c:f>Metrics!$B$85</c:f>
              <c:strCache>
                <c:ptCount val="1"/>
                <c:pt idx="0">
                  <c:v>BC</c:v>
                </c:pt>
              </c:strCache>
            </c:strRef>
          </c:tx>
          <c:spPr>
            <a:solidFill>
              <a:schemeClr val="accent4">
                <a:lumMod val="75000"/>
              </a:schemeClr>
            </a:solidFill>
            <a:ln w="12700">
              <a:solidFill>
                <a:schemeClr val="tx1"/>
              </a:solidFill>
            </a:ln>
          </c:spPr>
          <c:invertIfNegative val="0"/>
          <c:cat>
            <c:strRef>
              <c:f>Metrics!$C$84:$E$84</c:f>
              <c:strCache>
                <c:ptCount val="3"/>
                <c:pt idx="0">
                  <c:v>Yes</c:v>
                </c:pt>
                <c:pt idx="1">
                  <c:v>No</c:v>
                </c:pt>
                <c:pt idx="2">
                  <c:v>N/A</c:v>
                </c:pt>
              </c:strCache>
            </c:strRef>
          </c:cat>
          <c:val>
            <c:numRef>
              <c:f>Metrics!$C$85:$E$85</c:f>
              <c:numCache>
                <c:formatCode>General</c:formatCode>
                <c:ptCount val="3"/>
                <c:pt idx="0">
                  <c:v>40</c:v>
                </c:pt>
                <c:pt idx="1">
                  <c:v>38</c:v>
                </c:pt>
                <c:pt idx="2">
                  <c:v>22</c:v>
                </c:pt>
              </c:numCache>
            </c:numRef>
          </c:val>
        </c:ser>
        <c:ser>
          <c:idx val="1"/>
          <c:order val="1"/>
          <c:tx>
            <c:strRef>
              <c:f>Metrics!$B$86</c:f>
              <c:strCache>
                <c:ptCount val="1"/>
                <c:pt idx="0">
                  <c:v>ON</c:v>
                </c:pt>
              </c:strCache>
            </c:strRef>
          </c:tx>
          <c:spPr>
            <a:solidFill>
              <a:schemeClr val="accent6">
                <a:lumMod val="75000"/>
              </a:schemeClr>
            </a:solidFill>
            <a:ln w="12700">
              <a:solidFill>
                <a:schemeClr val="tx1"/>
              </a:solidFill>
            </a:ln>
          </c:spPr>
          <c:invertIfNegative val="0"/>
          <c:cat>
            <c:strRef>
              <c:f>Metrics!$C$84:$E$84</c:f>
              <c:strCache>
                <c:ptCount val="3"/>
                <c:pt idx="0">
                  <c:v>Yes</c:v>
                </c:pt>
                <c:pt idx="1">
                  <c:v>No</c:v>
                </c:pt>
                <c:pt idx="2">
                  <c:v>N/A</c:v>
                </c:pt>
              </c:strCache>
            </c:strRef>
          </c:cat>
          <c:val>
            <c:numRef>
              <c:f>Metrics!$C$86:$E$86</c:f>
              <c:numCache>
                <c:formatCode>General</c:formatCode>
                <c:ptCount val="3"/>
                <c:pt idx="0">
                  <c:v>27</c:v>
                </c:pt>
                <c:pt idx="1">
                  <c:v>7</c:v>
                </c:pt>
                <c:pt idx="2">
                  <c:v>20</c:v>
                </c:pt>
              </c:numCache>
            </c:numRef>
          </c:val>
        </c:ser>
        <c:ser>
          <c:idx val="2"/>
          <c:order val="2"/>
          <c:tx>
            <c:strRef>
              <c:f>Metrics!$B$87</c:f>
              <c:strCache>
                <c:ptCount val="1"/>
                <c:pt idx="0">
                  <c:v>BC Bio</c:v>
                </c:pt>
              </c:strCache>
            </c:strRef>
          </c:tx>
          <c:spPr>
            <a:ln w="12700">
              <a:solidFill>
                <a:schemeClr val="tx1"/>
              </a:solidFill>
            </a:ln>
          </c:spPr>
          <c:invertIfNegative val="0"/>
          <c:cat>
            <c:strRef>
              <c:f>Metrics!$C$84:$E$84</c:f>
              <c:strCache>
                <c:ptCount val="3"/>
                <c:pt idx="0">
                  <c:v>Yes</c:v>
                </c:pt>
                <c:pt idx="1">
                  <c:v>No</c:v>
                </c:pt>
                <c:pt idx="2">
                  <c:v>N/A</c:v>
                </c:pt>
              </c:strCache>
            </c:strRef>
          </c:cat>
          <c:val>
            <c:numRef>
              <c:f>Metrics!$C$87:$E$87</c:f>
              <c:numCache>
                <c:formatCode>General</c:formatCode>
                <c:ptCount val="3"/>
                <c:pt idx="0">
                  <c:v>13</c:v>
                </c:pt>
                <c:pt idx="1">
                  <c:v>12</c:v>
                </c:pt>
                <c:pt idx="2">
                  <c:v>8</c:v>
                </c:pt>
              </c:numCache>
            </c:numRef>
          </c:val>
        </c:ser>
        <c:ser>
          <c:idx val="3"/>
          <c:order val="3"/>
          <c:tx>
            <c:strRef>
              <c:f>Metrics!$B$88</c:f>
              <c:strCache>
                <c:ptCount val="1"/>
                <c:pt idx="0">
                  <c:v>BC LL</c:v>
                </c:pt>
              </c:strCache>
            </c:strRef>
          </c:tx>
          <c:spPr>
            <a:solidFill>
              <a:schemeClr val="accent4">
                <a:lumMod val="40000"/>
                <a:lumOff val="60000"/>
              </a:schemeClr>
            </a:solidFill>
            <a:ln w="12700">
              <a:solidFill>
                <a:schemeClr val="tx1"/>
              </a:solidFill>
            </a:ln>
          </c:spPr>
          <c:invertIfNegative val="0"/>
          <c:cat>
            <c:strRef>
              <c:f>Metrics!$C$84:$E$84</c:f>
              <c:strCache>
                <c:ptCount val="3"/>
                <c:pt idx="0">
                  <c:v>Yes</c:v>
                </c:pt>
                <c:pt idx="1">
                  <c:v>No</c:v>
                </c:pt>
                <c:pt idx="2">
                  <c:v>N/A</c:v>
                </c:pt>
              </c:strCache>
            </c:strRef>
          </c:cat>
          <c:val>
            <c:numRef>
              <c:f>Metrics!$C$88:$E$88</c:f>
              <c:numCache>
                <c:formatCode>General</c:formatCode>
                <c:ptCount val="3"/>
                <c:pt idx="0">
                  <c:v>27</c:v>
                </c:pt>
                <c:pt idx="1">
                  <c:v>26</c:v>
                </c:pt>
                <c:pt idx="2">
                  <c:v>14</c:v>
                </c:pt>
              </c:numCache>
            </c:numRef>
          </c:val>
        </c:ser>
        <c:ser>
          <c:idx val="4"/>
          <c:order val="4"/>
          <c:tx>
            <c:strRef>
              <c:f>Metrics!$B$89</c:f>
              <c:strCache>
                <c:ptCount val="1"/>
                <c:pt idx="0">
                  <c:v>CML</c:v>
                </c:pt>
              </c:strCache>
            </c:strRef>
          </c:tx>
          <c:spPr>
            <a:solidFill>
              <a:schemeClr val="accent6">
                <a:lumMod val="60000"/>
                <a:lumOff val="40000"/>
              </a:schemeClr>
            </a:solidFill>
            <a:ln w="12700">
              <a:solidFill>
                <a:schemeClr val="tx1"/>
              </a:solidFill>
            </a:ln>
          </c:spPr>
          <c:invertIfNegative val="0"/>
          <c:cat>
            <c:strRef>
              <c:f>Metrics!$C$84:$E$84</c:f>
              <c:strCache>
                <c:ptCount val="3"/>
                <c:pt idx="0">
                  <c:v>Yes</c:v>
                </c:pt>
                <c:pt idx="1">
                  <c:v>No</c:v>
                </c:pt>
                <c:pt idx="2">
                  <c:v>N/A</c:v>
                </c:pt>
              </c:strCache>
            </c:strRef>
          </c:cat>
          <c:val>
            <c:numRef>
              <c:f>Metrics!$C$89:$E$89</c:f>
              <c:numCache>
                <c:formatCode>General</c:formatCode>
                <c:ptCount val="3"/>
                <c:pt idx="0">
                  <c:v>6</c:v>
                </c:pt>
                <c:pt idx="1">
                  <c:v>3</c:v>
                </c:pt>
                <c:pt idx="2">
                  <c:v>5</c:v>
                </c:pt>
              </c:numCache>
            </c:numRef>
          </c:val>
        </c:ser>
        <c:ser>
          <c:idx val="5"/>
          <c:order val="5"/>
          <c:tx>
            <c:strRef>
              <c:f>Metrics!$B$90</c:f>
              <c:strCache>
                <c:ptCount val="1"/>
                <c:pt idx="0">
                  <c:v>ON LL</c:v>
                </c:pt>
              </c:strCache>
            </c:strRef>
          </c:tx>
          <c:spPr>
            <a:ln w="12700">
              <a:solidFill>
                <a:schemeClr val="tx1"/>
              </a:solidFill>
            </a:ln>
          </c:spPr>
          <c:invertIfNegative val="0"/>
          <c:cat>
            <c:strRef>
              <c:f>Metrics!$C$84:$E$84</c:f>
              <c:strCache>
                <c:ptCount val="3"/>
                <c:pt idx="0">
                  <c:v>Yes</c:v>
                </c:pt>
                <c:pt idx="1">
                  <c:v>No</c:v>
                </c:pt>
                <c:pt idx="2">
                  <c:v>N/A</c:v>
                </c:pt>
              </c:strCache>
            </c:strRef>
          </c:cat>
          <c:val>
            <c:numRef>
              <c:f>Metrics!$C$90:$E$90</c:f>
              <c:numCache>
                <c:formatCode>General</c:formatCode>
                <c:ptCount val="3"/>
                <c:pt idx="0">
                  <c:v>21</c:v>
                </c:pt>
                <c:pt idx="1">
                  <c:v>4</c:v>
                </c:pt>
                <c:pt idx="2">
                  <c:v>15</c:v>
                </c:pt>
              </c:numCache>
            </c:numRef>
          </c:val>
        </c:ser>
        <c:dLbls>
          <c:showLegendKey val="0"/>
          <c:showVal val="0"/>
          <c:showCatName val="0"/>
          <c:showSerName val="0"/>
          <c:showPercent val="0"/>
          <c:showBubbleSize val="0"/>
        </c:dLbls>
        <c:gapWidth val="150"/>
        <c:axId val="157324800"/>
        <c:axId val="157326336"/>
      </c:barChart>
      <c:catAx>
        <c:axId val="157324800"/>
        <c:scaling>
          <c:orientation val="minMax"/>
        </c:scaling>
        <c:delete val="0"/>
        <c:axPos val="b"/>
        <c:majorTickMark val="out"/>
        <c:minorTickMark val="none"/>
        <c:tickLblPos val="nextTo"/>
        <c:crossAx val="157326336"/>
        <c:crosses val="autoZero"/>
        <c:auto val="1"/>
        <c:lblAlgn val="ctr"/>
        <c:lblOffset val="100"/>
        <c:noMultiLvlLbl val="0"/>
      </c:catAx>
      <c:valAx>
        <c:axId val="157326336"/>
        <c:scaling>
          <c:orientation val="minMax"/>
        </c:scaling>
        <c:delete val="0"/>
        <c:axPos val="l"/>
        <c:numFmt formatCode="General" sourceLinked="1"/>
        <c:majorTickMark val="out"/>
        <c:minorTickMark val="none"/>
        <c:tickLblPos val="nextTo"/>
        <c:crossAx val="157324800"/>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PSC</a:t>
            </a:r>
          </a:p>
        </c:rich>
      </c:tx>
      <c:layout/>
      <c:overlay val="1"/>
    </c:title>
    <c:autoTitleDeleted val="0"/>
    <c:plotArea>
      <c:layout>
        <c:manualLayout>
          <c:layoutTarget val="inner"/>
          <c:xMode val="edge"/>
          <c:yMode val="edge"/>
          <c:x val="7.457174103237095E-2"/>
          <c:y val="0.16251166520851559"/>
          <c:w val="0.9115393700787402"/>
          <c:h val="0.52253523865072427"/>
        </c:manualLayout>
      </c:layout>
      <c:barChart>
        <c:barDir val="col"/>
        <c:grouping val="clustered"/>
        <c:varyColors val="0"/>
        <c:ser>
          <c:idx val="0"/>
          <c:order val="0"/>
          <c:tx>
            <c:strRef>
              <c:f>Metrics!$B$102</c:f>
              <c:strCache>
                <c:ptCount val="1"/>
                <c:pt idx="0">
                  <c:v>BC</c:v>
                </c:pt>
              </c:strCache>
            </c:strRef>
          </c:tx>
          <c:spPr>
            <a:solidFill>
              <a:schemeClr val="accent4">
                <a:lumMod val="75000"/>
              </a:schemeClr>
            </a:solidFill>
            <a:ln w="12700">
              <a:solidFill>
                <a:schemeClr val="tx1"/>
              </a:solidFill>
            </a:ln>
          </c:spPr>
          <c:invertIfNegative val="0"/>
          <c:cat>
            <c:strRef>
              <c:f>Metrics!$C$101:$E$101</c:f>
              <c:strCache>
                <c:ptCount val="3"/>
                <c:pt idx="0">
                  <c:v>Yes</c:v>
                </c:pt>
                <c:pt idx="1">
                  <c:v>No</c:v>
                </c:pt>
                <c:pt idx="2">
                  <c:v>N/A</c:v>
                </c:pt>
              </c:strCache>
            </c:strRef>
          </c:cat>
          <c:val>
            <c:numRef>
              <c:f>Metrics!$C$102:$E$102</c:f>
              <c:numCache>
                <c:formatCode>General</c:formatCode>
                <c:ptCount val="3"/>
                <c:pt idx="0">
                  <c:v>13</c:v>
                </c:pt>
                <c:pt idx="1">
                  <c:v>17</c:v>
                </c:pt>
                <c:pt idx="2">
                  <c:v>70</c:v>
                </c:pt>
              </c:numCache>
            </c:numRef>
          </c:val>
        </c:ser>
        <c:ser>
          <c:idx val="1"/>
          <c:order val="1"/>
          <c:tx>
            <c:strRef>
              <c:f>Metrics!$B$103</c:f>
              <c:strCache>
                <c:ptCount val="1"/>
                <c:pt idx="0">
                  <c:v>ON</c:v>
                </c:pt>
              </c:strCache>
            </c:strRef>
          </c:tx>
          <c:spPr>
            <a:solidFill>
              <a:schemeClr val="accent6">
                <a:lumMod val="75000"/>
              </a:schemeClr>
            </a:solidFill>
            <a:ln w="12700">
              <a:solidFill>
                <a:schemeClr val="tx1"/>
              </a:solidFill>
            </a:ln>
          </c:spPr>
          <c:invertIfNegative val="0"/>
          <c:cat>
            <c:strRef>
              <c:f>Metrics!$C$101:$E$101</c:f>
              <c:strCache>
                <c:ptCount val="3"/>
                <c:pt idx="0">
                  <c:v>Yes</c:v>
                </c:pt>
                <c:pt idx="1">
                  <c:v>No</c:v>
                </c:pt>
                <c:pt idx="2">
                  <c:v>N/A</c:v>
                </c:pt>
              </c:strCache>
            </c:strRef>
          </c:cat>
          <c:val>
            <c:numRef>
              <c:f>Metrics!$C$103:$E$103</c:f>
              <c:numCache>
                <c:formatCode>General</c:formatCode>
                <c:ptCount val="3"/>
                <c:pt idx="0">
                  <c:v>7</c:v>
                </c:pt>
                <c:pt idx="1">
                  <c:v>11</c:v>
                </c:pt>
                <c:pt idx="2">
                  <c:v>36</c:v>
                </c:pt>
              </c:numCache>
            </c:numRef>
          </c:val>
        </c:ser>
        <c:ser>
          <c:idx val="2"/>
          <c:order val="2"/>
          <c:tx>
            <c:strRef>
              <c:f>Metrics!$B$104</c:f>
              <c:strCache>
                <c:ptCount val="1"/>
                <c:pt idx="0">
                  <c:v>BC Bio</c:v>
                </c:pt>
              </c:strCache>
            </c:strRef>
          </c:tx>
          <c:spPr>
            <a:ln w="12700">
              <a:solidFill>
                <a:schemeClr val="tx1"/>
              </a:solidFill>
            </a:ln>
          </c:spPr>
          <c:invertIfNegative val="0"/>
          <c:cat>
            <c:strRef>
              <c:f>Metrics!$C$101:$E$101</c:f>
              <c:strCache>
                <c:ptCount val="3"/>
                <c:pt idx="0">
                  <c:v>Yes</c:v>
                </c:pt>
                <c:pt idx="1">
                  <c:v>No</c:v>
                </c:pt>
                <c:pt idx="2">
                  <c:v>N/A</c:v>
                </c:pt>
              </c:strCache>
            </c:strRef>
          </c:cat>
          <c:val>
            <c:numRef>
              <c:f>Metrics!$C$104:$E$104</c:f>
              <c:numCache>
                <c:formatCode>General</c:formatCode>
                <c:ptCount val="3"/>
                <c:pt idx="0">
                  <c:v>5</c:v>
                </c:pt>
                <c:pt idx="1">
                  <c:v>3</c:v>
                </c:pt>
                <c:pt idx="2">
                  <c:v>25</c:v>
                </c:pt>
              </c:numCache>
            </c:numRef>
          </c:val>
        </c:ser>
        <c:ser>
          <c:idx val="3"/>
          <c:order val="3"/>
          <c:tx>
            <c:strRef>
              <c:f>Metrics!$B$105</c:f>
              <c:strCache>
                <c:ptCount val="1"/>
                <c:pt idx="0">
                  <c:v>BC LL</c:v>
                </c:pt>
              </c:strCache>
            </c:strRef>
          </c:tx>
          <c:spPr>
            <a:solidFill>
              <a:schemeClr val="accent4">
                <a:lumMod val="40000"/>
                <a:lumOff val="60000"/>
              </a:schemeClr>
            </a:solidFill>
            <a:ln w="12700">
              <a:solidFill>
                <a:schemeClr val="tx1"/>
              </a:solidFill>
            </a:ln>
          </c:spPr>
          <c:invertIfNegative val="0"/>
          <c:cat>
            <c:strRef>
              <c:f>Metrics!$C$101:$E$101</c:f>
              <c:strCache>
                <c:ptCount val="3"/>
                <c:pt idx="0">
                  <c:v>Yes</c:v>
                </c:pt>
                <c:pt idx="1">
                  <c:v>No</c:v>
                </c:pt>
                <c:pt idx="2">
                  <c:v>N/A</c:v>
                </c:pt>
              </c:strCache>
            </c:strRef>
          </c:cat>
          <c:val>
            <c:numRef>
              <c:f>Metrics!$C$105:$E$105</c:f>
              <c:numCache>
                <c:formatCode>General</c:formatCode>
                <c:ptCount val="3"/>
                <c:pt idx="0">
                  <c:v>8</c:v>
                </c:pt>
                <c:pt idx="1">
                  <c:v>14</c:v>
                </c:pt>
                <c:pt idx="2">
                  <c:v>45</c:v>
                </c:pt>
              </c:numCache>
            </c:numRef>
          </c:val>
        </c:ser>
        <c:ser>
          <c:idx val="4"/>
          <c:order val="4"/>
          <c:tx>
            <c:strRef>
              <c:f>Metrics!$B$106</c:f>
              <c:strCache>
                <c:ptCount val="1"/>
                <c:pt idx="0">
                  <c:v>CML</c:v>
                </c:pt>
              </c:strCache>
            </c:strRef>
          </c:tx>
          <c:spPr>
            <a:solidFill>
              <a:schemeClr val="accent6">
                <a:lumMod val="60000"/>
                <a:lumOff val="40000"/>
              </a:schemeClr>
            </a:solidFill>
            <a:ln w="12700">
              <a:solidFill>
                <a:schemeClr val="tx1"/>
              </a:solidFill>
            </a:ln>
          </c:spPr>
          <c:invertIfNegative val="0"/>
          <c:cat>
            <c:strRef>
              <c:f>Metrics!$C$101:$E$101</c:f>
              <c:strCache>
                <c:ptCount val="3"/>
                <c:pt idx="0">
                  <c:v>Yes</c:v>
                </c:pt>
                <c:pt idx="1">
                  <c:v>No</c:v>
                </c:pt>
                <c:pt idx="2">
                  <c:v>N/A</c:v>
                </c:pt>
              </c:strCache>
            </c:strRef>
          </c:cat>
          <c:val>
            <c:numRef>
              <c:f>Metrics!$C$106:$E$106</c:f>
              <c:numCache>
                <c:formatCode>General</c:formatCode>
                <c:ptCount val="3"/>
                <c:pt idx="0">
                  <c:v>3</c:v>
                </c:pt>
                <c:pt idx="1">
                  <c:v>4</c:v>
                </c:pt>
                <c:pt idx="2">
                  <c:v>7</c:v>
                </c:pt>
              </c:numCache>
            </c:numRef>
          </c:val>
        </c:ser>
        <c:ser>
          <c:idx val="5"/>
          <c:order val="5"/>
          <c:tx>
            <c:strRef>
              <c:f>Metrics!$B$107</c:f>
              <c:strCache>
                <c:ptCount val="1"/>
                <c:pt idx="0">
                  <c:v>ON LL</c:v>
                </c:pt>
              </c:strCache>
            </c:strRef>
          </c:tx>
          <c:spPr>
            <a:ln w="12700">
              <a:solidFill>
                <a:schemeClr val="tx1"/>
              </a:solidFill>
            </a:ln>
          </c:spPr>
          <c:invertIfNegative val="0"/>
          <c:cat>
            <c:strRef>
              <c:f>Metrics!$C$101:$E$101</c:f>
              <c:strCache>
                <c:ptCount val="3"/>
                <c:pt idx="0">
                  <c:v>Yes</c:v>
                </c:pt>
                <c:pt idx="1">
                  <c:v>No</c:v>
                </c:pt>
                <c:pt idx="2">
                  <c:v>N/A</c:v>
                </c:pt>
              </c:strCache>
            </c:strRef>
          </c:cat>
          <c:val>
            <c:numRef>
              <c:f>Metrics!$C$107:$E$107</c:f>
              <c:numCache>
                <c:formatCode>General</c:formatCode>
                <c:ptCount val="3"/>
                <c:pt idx="0">
                  <c:v>4</c:v>
                </c:pt>
                <c:pt idx="1">
                  <c:v>7</c:v>
                </c:pt>
                <c:pt idx="2">
                  <c:v>29</c:v>
                </c:pt>
              </c:numCache>
            </c:numRef>
          </c:val>
        </c:ser>
        <c:dLbls>
          <c:showLegendKey val="0"/>
          <c:showVal val="0"/>
          <c:showCatName val="0"/>
          <c:showSerName val="0"/>
          <c:showPercent val="0"/>
          <c:showBubbleSize val="0"/>
        </c:dLbls>
        <c:gapWidth val="150"/>
        <c:axId val="157047808"/>
        <c:axId val="157057792"/>
      </c:barChart>
      <c:catAx>
        <c:axId val="157047808"/>
        <c:scaling>
          <c:orientation val="minMax"/>
        </c:scaling>
        <c:delete val="0"/>
        <c:axPos val="b"/>
        <c:majorTickMark val="out"/>
        <c:minorTickMark val="none"/>
        <c:tickLblPos val="nextTo"/>
        <c:crossAx val="157057792"/>
        <c:crosses val="autoZero"/>
        <c:auto val="1"/>
        <c:lblAlgn val="ctr"/>
        <c:lblOffset val="100"/>
        <c:noMultiLvlLbl val="0"/>
      </c:catAx>
      <c:valAx>
        <c:axId val="157057792"/>
        <c:scaling>
          <c:orientation val="minMax"/>
        </c:scaling>
        <c:delete val="0"/>
        <c:axPos val="l"/>
        <c:numFmt formatCode="General" sourceLinked="1"/>
        <c:majorTickMark val="out"/>
        <c:minorTickMark val="none"/>
        <c:tickLblPos val="nextTo"/>
        <c:crossAx val="157047808"/>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PSC</a:t>
            </a:r>
          </a:p>
        </c:rich>
      </c:tx>
      <c:layout/>
      <c:overlay val="1"/>
    </c:title>
    <c:autoTitleDeleted val="0"/>
    <c:plotArea>
      <c:layout>
        <c:manualLayout>
          <c:layoutTarget val="inner"/>
          <c:xMode val="edge"/>
          <c:yMode val="edge"/>
          <c:x val="5.7905074365704287E-2"/>
          <c:y val="0.13936351706036745"/>
          <c:w val="0.9115393700787402"/>
          <c:h val="0.54671129349558034"/>
        </c:manualLayout>
      </c:layout>
      <c:barChart>
        <c:barDir val="col"/>
        <c:grouping val="clustered"/>
        <c:varyColors val="0"/>
        <c:ser>
          <c:idx val="0"/>
          <c:order val="0"/>
          <c:tx>
            <c:strRef>
              <c:f>Metrics!$B$120</c:f>
              <c:strCache>
                <c:ptCount val="1"/>
                <c:pt idx="0">
                  <c:v>BC</c:v>
                </c:pt>
              </c:strCache>
            </c:strRef>
          </c:tx>
          <c:spPr>
            <a:solidFill>
              <a:schemeClr val="accent4">
                <a:lumMod val="75000"/>
              </a:schemeClr>
            </a:solidFill>
            <a:ln w="12700">
              <a:solidFill>
                <a:schemeClr val="tx1">
                  <a:lumMod val="85000"/>
                  <a:lumOff val="15000"/>
                </a:schemeClr>
              </a:solidFill>
            </a:ln>
          </c:spPr>
          <c:invertIfNegative val="0"/>
          <c:cat>
            <c:strRef>
              <c:f>Metrics!$C$119:$F$119</c:f>
              <c:strCache>
                <c:ptCount val="4"/>
                <c:pt idx="0">
                  <c:v>Within 6 months</c:v>
                </c:pt>
                <c:pt idx="1">
                  <c:v>Within 1 year</c:v>
                </c:pt>
                <c:pt idx="2">
                  <c:v>Over 1 year</c:v>
                </c:pt>
                <c:pt idx="3">
                  <c:v>N/A</c:v>
                </c:pt>
              </c:strCache>
            </c:strRef>
          </c:cat>
          <c:val>
            <c:numRef>
              <c:f>Metrics!$C$120:$F$120</c:f>
              <c:numCache>
                <c:formatCode>General</c:formatCode>
                <c:ptCount val="4"/>
                <c:pt idx="0">
                  <c:v>4</c:v>
                </c:pt>
                <c:pt idx="1">
                  <c:v>6</c:v>
                </c:pt>
                <c:pt idx="2">
                  <c:v>1</c:v>
                </c:pt>
                <c:pt idx="3">
                  <c:v>89</c:v>
                </c:pt>
              </c:numCache>
            </c:numRef>
          </c:val>
        </c:ser>
        <c:ser>
          <c:idx val="1"/>
          <c:order val="1"/>
          <c:tx>
            <c:strRef>
              <c:f>Metrics!$B$121</c:f>
              <c:strCache>
                <c:ptCount val="1"/>
                <c:pt idx="0">
                  <c:v>ON</c:v>
                </c:pt>
              </c:strCache>
            </c:strRef>
          </c:tx>
          <c:spPr>
            <a:solidFill>
              <a:schemeClr val="accent6">
                <a:lumMod val="75000"/>
              </a:schemeClr>
            </a:solidFill>
            <a:ln w="12700">
              <a:solidFill>
                <a:schemeClr val="tx1"/>
              </a:solidFill>
            </a:ln>
          </c:spPr>
          <c:invertIfNegative val="0"/>
          <c:cat>
            <c:strRef>
              <c:f>Metrics!$C$119:$F$119</c:f>
              <c:strCache>
                <c:ptCount val="4"/>
                <c:pt idx="0">
                  <c:v>Within 6 months</c:v>
                </c:pt>
                <c:pt idx="1">
                  <c:v>Within 1 year</c:v>
                </c:pt>
                <c:pt idx="2">
                  <c:v>Over 1 year</c:v>
                </c:pt>
                <c:pt idx="3">
                  <c:v>N/A</c:v>
                </c:pt>
              </c:strCache>
            </c:strRef>
          </c:cat>
          <c:val>
            <c:numRef>
              <c:f>Metrics!$C$121:$F$121</c:f>
              <c:numCache>
                <c:formatCode>General</c:formatCode>
                <c:ptCount val="4"/>
                <c:pt idx="0">
                  <c:v>0</c:v>
                </c:pt>
                <c:pt idx="1">
                  <c:v>2</c:v>
                </c:pt>
                <c:pt idx="2">
                  <c:v>2</c:v>
                </c:pt>
                <c:pt idx="3">
                  <c:v>50</c:v>
                </c:pt>
              </c:numCache>
            </c:numRef>
          </c:val>
        </c:ser>
        <c:ser>
          <c:idx val="2"/>
          <c:order val="2"/>
          <c:tx>
            <c:strRef>
              <c:f>Metrics!$B$122</c:f>
              <c:strCache>
                <c:ptCount val="1"/>
                <c:pt idx="0">
                  <c:v>BC Bio</c:v>
                </c:pt>
              </c:strCache>
            </c:strRef>
          </c:tx>
          <c:spPr>
            <a:ln w="12700">
              <a:solidFill>
                <a:schemeClr val="tx1"/>
              </a:solidFill>
            </a:ln>
          </c:spPr>
          <c:invertIfNegative val="0"/>
          <c:cat>
            <c:strRef>
              <c:f>Metrics!$C$119:$F$119</c:f>
              <c:strCache>
                <c:ptCount val="4"/>
                <c:pt idx="0">
                  <c:v>Within 6 months</c:v>
                </c:pt>
                <c:pt idx="1">
                  <c:v>Within 1 year</c:v>
                </c:pt>
                <c:pt idx="2">
                  <c:v>Over 1 year</c:v>
                </c:pt>
                <c:pt idx="3">
                  <c:v>N/A</c:v>
                </c:pt>
              </c:strCache>
            </c:strRef>
          </c:cat>
          <c:val>
            <c:numRef>
              <c:f>Metrics!$C$122:$F$122</c:f>
              <c:numCache>
                <c:formatCode>General</c:formatCode>
                <c:ptCount val="4"/>
                <c:pt idx="0">
                  <c:v>3</c:v>
                </c:pt>
                <c:pt idx="1">
                  <c:v>1</c:v>
                </c:pt>
                <c:pt idx="2">
                  <c:v>0</c:v>
                </c:pt>
                <c:pt idx="3">
                  <c:v>29</c:v>
                </c:pt>
              </c:numCache>
            </c:numRef>
          </c:val>
        </c:ser>
        <c:ser>
          <c:idx val="3"/>
          <c:order val="3"/>
          <c:tx>
            <c:strRef>
              <c:f>Metrics!$B$123</c:f>
              <c:strCache>
                <c:ptCount val="1"/>
                <c:pt idx="0">
                  <c:v>BC LL</c:v>
                </c:pt>
              </c:strCache>
            </c:strRef>
          </c:tx>
          <c:spPr>
            <a:solidFill>
              <a:schemeClr val="accent4">
                <a:lumMod val="40000"/>
                <a:lumOff val="60000"/>
              </a:schemeClr>
            </a:solidFill>
            <a:ln w="12700">
              <a:solidFill>
                <a:schemeClr val="tx1"/>
              </a:solidFill>
            </a:ln>
          </c:spPr>
          <c:invertIfNegative val="0"/>
          <c:cat>
            <c:strRef>
              <c:f>Metrics!$C$119:$F$119</c:f>
              <c:strCache>
                <c:ptCount val="4"/>
                <c:pt idx="0">
                  <c:v>Within 6 months</c:v>
                </c:pt>
                <c:pt idx="1">
                  <c:v>Within 1 year</c:v>
                </c:pt>
                <c:pt idx="2">
                  <c:v>Over 1 year</c:v>
                </c:pt>
                <c:pt idx="3">
                  <c:v>N/A</c:v>
                </c:pt>
              </c:strCache>
            </c:strRef>
          </c:cat>
          <c:val>
            <c:numRef>
              <c:f>Metrics!$C$123:$F$123</c:f>
              <c:numCache>
                <c:formatCode>General</c:formatCode>
                <c:ptCount val="4"/>
                <c:pt idx="0">
                  <c:v>1</c:v>
                </c:pt>
                <c:pt idx="1">
                  <c:v>5</c:v>
                </c:pt>
                <c:pt idx="2">
                  <c:v>1</c:v>
                </c:pt>
                <c:pt idx="3">
                  <c:v>60</c:v>
                </c:pt>
              </c:numCache>
            </c:numRef>
          </c:val>
        </c:ser>
        <c:ser>
          <c:idx val="4"/>
          <c:order val="4"/>
          <c:tx>
            <c:strRef>
              <c:f>Metrics!$B$124</c:f>
              <c:strCache>
                <c:ptCount val="1"/>
                <c:pt idx="0">
                  <c:v>CML</c:v>
                </c:pt>
              </c:strCache>
            </c:strRef>
          </c:tx>
          <c:spPr>
            <a:solidFill>
              <a:schemeClr val="accent6">
                <a:lumMod val="60000"/>
                <a:lumOff val="40000"/>
              </a:schemeClr>
            </a:solidFill>
            <a:ln w="12700">
              <a:solidFill>
                <a:schemeClr val="tx1"/>
              </a:solidFill>
            </a:ln>
          </c:spPr>
          <c:invertIfNegative val="0"/>
          <c:cat>
            <c:strRef>
              <c:f>Metrics!$C$119:$F$119</c:f>
              <c:strCache>
                <c:ptCount val="4"/>
                <c:pt idx="0">
                  <c:v>Within 6 months</c:v>
                </c:pt>
                <c:pt idx="1">
                  <c:v>Within 1 year</c:v>
                </c:pt>
                <c:pt idx="2">
                  <c:v>Over 1 year</c:v>
                </c:pt>
                <c:pt idx="3">
                  <c:v>N/A</c:v>
                </c:pt>
              </c:strCache>
            </c:strRef>
          </c:cat>
          <c:val>
            <c:numRef>
              <c:f>Metrics!$C$124:$F$124</c:f>
              <c:numCache>
                <c:formatCode>General</c:formatCode>
                <c:ptCount val="4"/>
                <c:pt idx="0">
                  <c:v>0</c:v>
                </c:pt>
                <c:pt idx="1">
                  <c:v>1</c:v>
                </c:pt>
                <c:pt idx="2">
                  <c:v>1</c:v>
                </c:pt>
                <c:pt idx="3">
                  <c:v>12</c:v>
                </c:pt>
              </c:numCache>
            </c:numRef>
          </c:val>
        </c:ser>
        <c:ser>
          <c:idx val="5"/>
          <c:order val="5"/>
          <c:tx>
            <c:strRef>
              <c:f>Metrics!$B$125</c:f>
              <c:strCache>
                <c:ptCount val="1"/>
                <c:pt idx="0">
                  <c:v>ON LL</c:v>
                </c:pt>
              </c:strCache>
            </c:strRef>
          </c:tx>
          <c:spPr>
            <a:ln w="12700">
              <a:solidFill>
                <a:schemeClr val="tx1"/>
              </a:solidFill>
            </a:ln>
          </c:spPr>
          <c:invertIfNegative val="0"/>
          <c:cat>
            <c:strRef>
              <c:f>Metrics!$C$119:$F$119</c:f>
              <c:strCache>
                <c:ptCount val="4"/>
                <c:pt idx="0">
                  <c:v>Within 6 months</c:v>
                </c:pt>
                <c:pt idx="1">
                  <c:v>Within 1 year</c:v>
                </c:pt>
                <c:pt idx="2">
                  <c:v>Over 1 year</c:v>
                </c:pt>
                <c:pt idx="3">
                  <c:v>N/A</c:v>
                </c:pt>
              </c:strCache>
            </c:strRef>
          </c:cat>
          <c:val>
            <c:numRef>
              <c:f>Metrics!$C$125:$F$125</c:f>
              <c:numCache>
                <c:formatCode>General</c:formatCode>
                <c:ptCount val="4"/>
                <c:pt idx="0">
                  <c:v>0</c:v>
                </c:pt>
                <c:pt idx="1">
                  <c:v>1</c:v>
                </c:pt>
                <c:pt idx="2">
                  <c:v>1</c:v>
                </c:pt>
                <c:pt idx="3">
                  <c:v>38</c:v>
                </c:pt>
              </c:numCache>
            </c:numRef>
          </c:val>
        </c:ser>
        <c:dLbls>
          <c:showLegendKey val="0"/>
          <c:showVal val="0"/>
          <c:showCatName val="0"/>
          <c:showSerName val="0"/>
          <c:showPercent val="0"/>
          <c:showBubbleSize val="0"/>
        </c:dLbls>
        <c:gapWidth val="150"/>
        <c:axId val="157098752"/>
        <c:axId val="157100288"/>
      </c:barChart>
      <c:catAx>
        <c:axId val="157098752"/>
        <c:scaling>
          <c:orientation val="minMax"/>
        </c:scaling>
        <c:delete val="0"/>
        <c:axPos val="b"/>
        <c:majorTickMark val="out"/>
        <c:minorTickMark val="none"/>
        <c:tickLblPos val="nextTo"/>
        <c:crossAx val="157100288"/>
        <c:crosses val="autoZero"/>
        <c:auto val="1"/>
        <c:lblAlgn val="ctr"/>
        <c:lblOffset val="100"/>
        <c:noMultiLvlLbl val="0"/>
      </c:catAx>
      <c:valAx>
        <c:axId val="157100288"/>
        <c:scaling>
          <c:orientation val="minMax"/>
        </c:scaling>
        <c:delete val="0"/>
        <c:axPos val="l"/>
        <c:numFmt formatCode="General" sourceLinked="1"/>
        <c:majorTickMark val="out"/>
        <c:minorTickMark val="none"/>
        <c:tickLblPos val="nextTo"/>
        <c:crossAx val="157098752"/>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[Recycling Survey Metrics.xlsm]Metrics!PivotTable2</c:name>
    <c:fmtId val="0"/>
  </c:pivotSource>
  <c:chart>
    <c:title>
      <c:tx>
        <c:rich>
          <a:bodyPr/>
          <a:lstStyle/>
          <a:p>
            <a:pPr>
              <a:defRPr/>
            </a:pPr>
            <a:r>
              <a:rPr lang="en-US"/>
              <a:t>Recycling</a:t>
            </a:r>
            <a:r>
              <a:rPr lang="en-US" baseline="0"/>
              <a:t> Program</a:t>
            </a:r>
            <a:endParaRPr lang="en-US"/>
          </a:p>
        </c:rich>
      </c:tx>
      <c:layout/>
      <c:overlay val="1"/>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spPr>
          <a:ln w="12700">
            <a:solidFill>
              <a:schemeClr val="tx1"/>
            </a:solidFill>
          </a:ln>
        </c:spPr>
        <c:marker>
          <c:symbol val="none"/>
        </c:marker>
      </c:pivotFmt>
      <c:pivotFmt>
        <c:idx val="8"/>
        <c:spPr>
          <a:solidFill>
            <a:schemeClr val="accent2"/>
          </a:solidFill>
          <a:ln w="12700">
            <a:solidFill>
              <a:schemeClr val="tx1"/>
            </a:solidFill>
          </a:ln>
        </c:spPr>
        <c:marker>
          <c:symbol val="none"/>
        </c:marker>
      </c:pivotFmt>
      <c:pivotFmt>
        <c:idx val="9"/>
        <c:spPr>
          <a:solidFill>
            <a:schemeClr val="accent3">
              <a:lumMod val="60000"/>
              <a:lumOff val="40000"/>
            </a:schemeClr>
          </a:solidFill>
          <a:ln w="12700">
            <a:solidFill>
              <a:schemeClr val="tx1"/>
            </a:solidFill>
          </a:ln>
        </c:spPr>
        <c:marker>
          <c:symbol val="none"/>
        </c:marker>
      </c:pivotFmt>
      <c:pivotFmt>
        <c:idx val="10"/>
        <c:spPr>
          <a:solidFill>
            <a:schemeClr val="accent4"/>
          </a:solidFill>
          <a:ln w="12700">
            <a:solidFill>
              <a:schemeClr val="tx1"/>
            </a:solidFill>
          </a:ln>
        </c:spPr>
        <c:marker>
          <c:symbol val="none"/>
        </c:marker>
      </c:pivotFmt>
      <c:pivotFmt>
        <c:idx val="11"/>
        <c:spPr>
          <a:solidFill>
            <a:schemeClr val="accent5">
              <a:lumMod val="60000"/>
              <a:lumOff val="40000"/>
            </a:schemeClr>
          </a:solidFill>
          <a:ln w="12700">
            <a:solidFill>
              <a:schemeClr val="tx1"/>
            </a:solidFill>
          </a:ln>
        </c:spPr>
        <c:marker>
          <c:symbol val="none"/>
        </c:marker>
      </c:pivotFmt>
      <c:pivotFmt>
        <c:idx val="12"/>
        <c:spPr>
          <a:solidFill>
            <a:schemeClr val="accent6">
              <a:lumMod val="60000"/>
              <a:lumOff val="40000"/>
            </a:schemeClr>
          </a:solidFill>
          <a:ln>
            <a:solidFill>
              <a:schemeClr val="tx1"/>
            </a:solidFill>
          </a:ln>
        </c:spPr>
        <c:marker>
          <c:symbol val="none"/>
        </c:marker>
      </c:pivotFmt>
    </c:pivotFmts>
    <c:plotArea>
      <c:layout>
        <c:manualLayout>
          <c:layoutTarget val="inner"/>
          <c:xMode val="edge"/>
          <c:yMode val="edge"/>
          <c:x val="6.6878357064684438E-2"/>
          <c:y val="0.15231089650792465"/>
          <c:w val="0.90473505375977026"/>
          <c:h val="0.55666240158399571"/>
        </c:manualLayout>
      </c:layout>
      <c:barChart>
        <c:barDir val="col"/>
        <c:grouping val="clustered"/>
        <c:varyColors val="0"/>
        <c:ser>
          <c:idx val="0"/>
          <c:order val="0"/>
          <c:tx>
            <c:strRef>
              <c:f>Metrics!$AN$5:$AN$6</c:f>
              <c:strCache>
                <c:ptCount val="1"/>
                <c:pt idx="0">
                  <c:v>BC</c:v>
                </c:pt>
              </c:strCache>
            </c:strRef>
          </c:tx>
          <c:spPr>
            <a:ln w="12700">
              <a:solidFill>
                <a:schemeClr val="tx1"/>
              </a:solidFill>
            </a:ln>
          </c:spPr>
          <c:invertIfNegative val="0"/>
          <c:cat>
            <c:strRef>
              <c:f>Metrics!$AM$7:$AM$13</c:f>
              <c:strCache>
                <c:ptCount val="7"/>
                <c:pt idx="0">
                  <c:v>Plastic </c:v>
                </c:pt>
                <c:pt idx="1">
                  <c:v>Glass Bottles </c:v>
                </c:pt>
                <c:pt idx="2">
                  <c:v>Mixed Paper </c:v>
                </c:pt>
                <c:pt idx="3">
                  <c:v>Cardboard </c:v>
                </c:pt>
                <c:pt idx="4">
                  <c:v>Metal Can </c:v>
                </c:pt>
                <c:pt idx="5">
                  <c:v>Organic Disposals </c:v>
                </c:pt>
                <c:pt idx="6">
                  <c:v>Not Available </c:v>
                </c:pt>
              </c:strCache>
            </c:strRef>
          </c:cat>
          <c:val>
            <c:numRef>
              <c:f>Metrics!$AN$7:$AN$13</c:f>
              <c:numCache>
                <c:formatCode>General</c:formatCode>
                <c:ptCount val="7"/>
                <c:pt idx="0">
                  <c:v>54</c:v>
                </c:pt>
                <c:pt idx="1">
                  <c:v>41</c:v>
                </c:pt>
                <c:pt idx="2">
                  <c:v>67</c:v>
                </c:pt>
                <c:pt idx="3">
                  <c:v>90</c:v>
                </c:pt>
                <c:pt idx="4">
                  <c:v>44</c:v>
                </c:pt>
                <c:pt idx="5">
                  <c:v>41</c:v>
                </c:pt>
                <c:pt idx="6">
                  <c:v>12</c:v>
                </c:pt>
              </c:numCache>
            </c:numRef>
          </c:val>
        </c:ser>
        <c:ser>
          <c:idx val="1"/>
          <c:order val="1"/>
          <c:tx>
            <c:strRef>
              <c:f>Metrics!$AO$5:$AO$6</c:f>
              <c:strCache>
                <c:ptCount val="1"/>
                <c:pt idx="0">
                  <c:v>BC Bio</c:v>
                </c:pt>
              </c:strCache>
            </c:strRef>
          </c:tx>
          <c:spPr>
            <a:solidFill>
              <a:schemeClr val="accent2"/>
            </a:solidFill>
            <a:ln w="12700">
              <a:solidFill>
                <a:schemeClr val="tx1"/>
              </a:solidFill>
            </a:ln>
          </c:spPr>
          <c:invertIfNegative val="0"/>
          <c:cat>
            <c:strRef>
              <c:f>Metrics!$AM$7:$AM$13</c:f>
              <c:strCache>
                <c:ptCount val="7"/>
                <c:pt idx="0">
                  <c:v>Plastic </c:v>
                </c:pt>
                <c:pt idx="1">
                  <c:v>Glass Bottles </c:v>
                </c:pt>
                <c:pt idx="2">
                  <c:v>Mixed Paper </c:v>
                </c:pt>
                <c:pt idx="3">
                  <c:v>Cardboard </c:v>
                </c:pt>
                <c:pt idx="4">
                  <c:v>Metal Can </c:v>
                </c:pt>
                <c:pt idx="5">
                  <c:v>Organic Disposals </c:v>
                </c:pt>
                <c:pt idx="6">
                  <c:v>Not Available </c:v>
                </c:pt>
              </c:strCache>
            </c:strRef>
          </c:cat>
          <c:val>
            <c:numRef>
              <c:f>Metrics!$AO$7:$AO$13</c:f>
              <c:numCache>
                <c:formatCode>General</c:formatCode>
                <c:ptCount val="7"/>
                <c:pt idx="0">
                  <c:v>16</c:v>
                </c:pt>
                <c:pt idx="1">
                  <c:v>14</c:v>
                </c:pt>
                <c:pt idx="2">
                  <c:v>22</c:v>
                </c:pt>
                <c:pt idx="3">
                  <c:v>30</c:v>
                </c:pt>
                <c:pt idx="4">
                  <c:v>13</c:v>
                </c:pt>
                <c:pt idx="5">
                  <c:v>10</c:v>
                </c:pt>
                <c:pt idx="6">
                  <c:v>3</c:v>
                </c:pt>
              </c:numCache>
            </c:numRef>
          </c:val>
        </c:ser>
        <c:ser>
          <c:idx val="2"/>
          <c:order val="2"/>
          <c:tx>
            <c:strRef>
              <c:f>Metrics!$AP$5:$AP$6</c:f>
              <c:strCache>
                <c:ptCount val="1"/>
                <c:pt idx="0">
                  <c:v>BC LL</c:v>
                </c:pt>
              </c:strCache>
            </c:strRef>
          </c:tx>
          <c:spPr>
            <a:solidFill>
              <a:schemeClr val="accent3">
                <a:lumMod val="60000"/>
                <a:lumOff val="40000"/>
              </a:schemeClr>
            </a:solidFill>
            <a:ln w="12700">
              <a:solidFill>
                <a:schemeClr val="tx1"/>
              </a:solidFill>
            </a:ln>
          </c:spPr>
          <c:invertIfNegative val="0"/>
          <c:cat>
            <c:strRef>
              <c:f>Metrics!$AM$7:$AM$13</c:f>
              <c:strCache>
                <c:ptCount val="7"/>
                <c:pt idx="0">
                  <c:v>Plastic </c:v>
                </c:pt>
                <c:pt idx="1">
                  <c:v>Glass Bottles </c:v>
                </c:pt>
                <c:pt idx="2">
                  <c:v>Mixed Paper </c:v>
                </c:pt>
                <c:pt idx="3">
                  <c:v>Cardboard </c:v>
                </c:pt>
                <c:pt idx="4">
                  <c:v>Metal Can </c:v>
                </c:pt>
                <c:pt idx="5">
                  <c:v>Organic Disposals </c:v>
                </c:pt>
                <c:pt idx="6">
                  <c:v>Not Available </c:v>
                </c:pt>
              </c:strCache>
            </c:strRef>
          </c:cat>
          <c:val>
            <c:numRef>
              <c:f>Metrics!$AP$7:$AP$13</c:f>
              <c:numCache>
                <c:formatCode>General</c:formatCode>
                <c:ptCount val="7"/>
                <c:pt idx="0">
                  <c:v>38</c:v>
                </c:pt>
                <c:pt idx="1">
                  <c:v>27</c:v>
                </c:pt>
                <c:pt idx="2">
                  <c:v>45</c:v>
                </c:pt>
                <c:pt idx="3">
                  <c:v>60</c:v>
                </c:pt>
                <c:pt idx="4">
                  <c:v>31</c:v>
                </c:pt>
                <c:pt idx="5">
                  <c:v>31</c:v>
                </c:pt>
                <c:pt idx="6">
                  <c:v>9</c:v>
                </c:pt>
              </c:numCache>
            </c:numRef>
          </c:val>
        </c:ser>
        <c:ser>
          <c:idx val="3"/>
          <c:order val="3"/>
          <c:tx>
            <c:strRef>
              <c:f>Metrics!$AQ$5:$AQ$6</c:f>
              <c:strCache>
                <c:ptCount val="1"/>
                <c:pt idx="0">
                  <c:v>ON</c:v>
                </c:pt>
              </c:strCache>
            </c:strRef>
          </c:tx>
          <c:spPr>
            <a:solidFill>
              <a:schemeClr val="accent4"/>
            </a:solidFill>
            <a:ln w="12700">
              <a:solidFill>
                <a:schemeClr val="tx1"/>
              </a:solidFill>
            </a:ln>
          </c:spPr>
          <c:invertIfNegative val="0"/>
          <c:cat>
            <c:strRef>
              <c:f>Metrics!$AM$7:$AM$13</c:f>
              <c:strCache>
                <c:ptCount val="7"/>
                <c:pt idx="0">
                  <c:v>Plastic </c:v>
                </c:pt>
                <c:pt idx="1">
                  <c:v>Glass Bottles </c:v>
                </c:pt>
                <c:pt idx="2">
                  <c:v>Mixed Paper </c:v>
                </c:pt>
                <c:pt idx="3">
                  <c:v>Cardboard </c:v>
                </c:pt>
                <c:pt idx="4">
                  <c:v>Metal Can </c:v>
                </c:pt>
                <c:pt idx="5">
                  <c:v>Organic Disposals </c:v>
                </c:pt>
                <c:pt idx="6">
                  <c:v>Not Available </c:v>
                </c:pt>
              </c:strCache>
            </c:strRef>
          </c:cat>
          <c:val>
            <c:numRef>
              <c:f>Metrics!$AQ$7:$AQ$13</c:f>
              <c:numCache>
                <c:formatCode>General</c:formatCode>
                <c:ptCount val="7"/>
                <c:pt idx="0">
                  <c:v>29</c:v>
                </c:pt>
                <c:pt idx="1">
                  <c:v>28</c:v>
                </c:pt>
                <c:pt idx="2">
                  <c:v>35</c:v>
                </c:pt>
                <c:pt idx="3">
                  <c:v>46</c:v>
                </c:pt>
                <c:pt idx="4">
                  <c:v>28</c:v>
                </c:pt>
                <c:pt idx="5">
                  <c:v>7</c:v>
                </c:pt>
                <c:pt idx="6">
                  <c:v>8</c:v>
                </c:pt>
              </c:numCache>
            </c:numRef>
          </c:val>
        </c:ser>
        <c:ser>
          <c:idx val="4"/>
          <c:order val="4"/>
          <c:tx>
            <c:strRef>
              <c:f>Metrics!$AR$5:$AR$6</c:f>
              <c:strCache>
                <c:ptCount val="1"/>
                <c:pt idx="0">
                  <c:v>CML</c:v>
                </c:pt>
              </c:strCache>
            </c:strRef>
          </c:tx>
          <c:spPr>
            <a:solidFill>
              <a:schemeClr val="accent5">
                <a:lumMod val="60000"/>
                <a:lumOff val="40000"/>
              </a:schemeClr>
            </a:solidFill>
            <a:ln w="12700">
              <a:solidFill>
                <a:schemeClr val="tx1"/>
              </a:solidFill>
            </a:ln>
          </c:spPr>
          <c:invertIfNegative val="0"/>
          <c:cat>
            <c:strRef>
              <c:f>Metrics!$AM$7:$AM$13</c:f>
              <c:strCache>
                <c:ptCount val="7"/>
                <c:pt idx="0">
                  <c:v>Plastic </c:v>
                </c:pt>
                <c:pt idx="1">
                  <c:v>Glass Bottles </c:v>
                </c:pt>
                <c:pt idx="2">
                  <c:v>Mixed Paper </c:v>
                </c:pt>
                <c:pt idx="3">
                  <c:v>Cardboard </c:v>
                </c:pt>
                <c:pt idx="4">
                  <c:v>Metal Can </c:v>
                </c:pt>
                <c:pt idx="5">
                  <c:v>Organic Disposals </c:v>
                </c:pt>
                <c:pt idx="6">
                  <c:v>Not Available </c:v>
                </c:pt>
              </c:strCache>
            </c:strRef>
          </c:cat>
          <c:val>
            <c:numRef>
              <c:f>Metrics!$AR$7:$AR$13</c:f>
              <c:numCache>
                <c:formatCode>General</c:formatCode>
                <c:ptCount val="7"/>
                <c:pt idx="0">
                  <c:v>7</c:v>
                </c:pt>
                <c:pt idx="1">
                  <c:v>6</c:v>
                </c:pt>
                <c:pt idx="2">
                  <c:v>9</c:v>
                </c:pt>
                <c:pt idx="3">
                  <c:v>12</c:v>
                </c:pt>
                <c:pt idx="4">
                  <c:v>7</c:v>
                </c:pt>
                <c:pt idx="5">
                  <c:v>2</c:v>
                </c:pt>
                <c:pt idx="6">
                  <c:v>3</c:v>
                </c:pt>
              </c:numCache>
            </c:numRef>
          </c:val>
        </c:ser>
        <c:ser>
          <c:idx val="5"/>
          <c:order val="5"/>
          <c:tx>
            <c:strRef>
              <c:f>Metrics!$AS$5:$AS$6</c:f>
              <c:strCache>
                <c:ptCount val="1"/>
                <c:pt idx="0">
                  <c:v>ON LL</c:v>
                </c:pt>
              </c:strCache>
            </c:strRef>
          </c:tx>
          <c:spPr>
            <a:solidFill>
              <a:schemeClr val="accent6">
                <a:lumMod val="60000"/>
                <a:lumOff val="40000"/>
              </a:schemeClr>
            </a:solidFill>
            <a:ln>
              <a:solidFill>
                <a:schemeClr val="tx1"/>
              </a:solidFill>
            </a:ln>
          </c:spPr>
          <c:invertIfNegative val="0"/>
          <c:cat>
            <c:strRef>
              <c:f>Metrics!$AM$7:$AM$13</c:f>
              <c:strCache>
                <c:ptCount val="7"/>
                <c:pt idx="0">
                  <c:v>Plastic </c:v>
                </c:pt>
                <c:pt idx="1">
                  <c:v>Glass Bottles </c:v>
                </c:pt>
                <c:pt idx="2">
                  <c:v>Mixed Paper </c:v>
                </c:pt>
                <c:pt idx="3">
                  <c:v>Cardboard </c:v>
                </c:pt>
                <c:pt idx="4">
                  <c:v>Metal Can </c:v>
                </c:pt>
                <c:pt idx="5">
                  <c:v>Organic Disposals </c:v>
                </c:pt>
                <c:pt idx="6">
                  <c:v>Not Available </c:v>
                </c:pt>
              </c:strCache>
            </c:strRef>
          </c:cat>
          <c:val>
            <c:numRef>
              <c:f>Metrics!$AS$7:$AS$13</c:f>
              <c:numCache>
                <c:formatCode>General</c:formatCode>
                <c:ptCount val="7"/>
                <c:pt idx="0">
                  <c:v>22</c:v>
                </c:pt>
                <c:pt idx="1">
                  <c:v>22</c:v>
                </c:pt>
                <c:pt idx="2">
                  <c:v>26</c:v>
                </c:pt>
                <c:pt idx="3">
                  <c:v>34</c:v>
                </c:pt>
                <c:pt idx="4">
                  <c:v>21</c:v>
                </c:pt>
                <c:pt idx="5">
                  <c:v>5</c:v>
                </c:pt>
                <c:pt idx="6">
                  <c:v>5</c:v>
                </c:pt>
              </c:numCache>
            </c:numRef>
          </c:val>
        </c:ser>
        <c:dLbls>
          <c:showLegendKey val="0"/>
          <c:showVal val="0"/>
          <c:showCatName val="0"/>
          <c:showSerName val="0"/>
          <c:showPercent val="0"/>
          <c:showBubbleSize val="0"/>
        </c:dLbls>
        <c:gapWidth val="150"/>
        <c:axId val="157182592"/>
        <c:axId val="157184384"/>
      </c:barChart>
      <c:catAx>
        <c:axId val="157182592"/>
        <c:scaling>
          <c:orientation val="minMax"/>
        </c:scaling>
        <c:delete val="0"/>
        <c:axPos val="b"/>
        <c:majorTickMark val="out"/>
        <c:minorTickMark val="none"/>
        <c:tickLblPos val="nextTo"/>
        <c:crossAx val="157184384"/>
        <c:crosses val="autoZero"/>
        <c:auto val="1"/>
        <c:lblAlgn val="ctr"/>
        <c:lblOffset val="100"/>
        <c:noMultiLvlLbl val="0"/>
      </c:catAx>
      <c:valAx>
        <c:axId val="157184384"/>
        <c:scaling>
          <c:orientation val="minMax"/>
        </c:scaling>
        <c:delete val="0"/>
        <c:axPos val="l"/>
        <c:numFmt formatCode="General" sourceLinked="1"/>
        <c:majorTickMark val="out"/>
        <c:minorTickMark val="none"/>
        <c:tickLblPos val="nextTo"/>
        <c:crossAx val="157182592"/>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[Recycling Survey Metrics.xlsm]Metrics!PivotTable2</c:name>
    <c:fmtId val="2"/>
  </c:pivotSource>
  <c:chart>
    <c:title>
      <c:tx>
        <c:rich>
          <a:bodyPr/>
          <a:lstStyle/>
          <a:p>
            <a:pPr>
              <a:defRPr/>
            </a:pPr>
            <a:r>
              <a:rPr lang="en-US"/>
              <a:t>Recycling</a:t>
            </a:r>
            <a:r>
              <a:rPr lang="en-US" baseline="0"/>
              <a:t> Program</a:t>
            </a:r>
            <a:endParaRPr lang="en-US"/>
          </a:p>
        </c:rich>
      </c:tx>
      <c:layout/>
      <c:overlay val="0"/>
    </c:title>
    <c:autoTitleDeleted val="0"/>
    <c:pivotFmts>
      <c:pivotFmt>
        <c:idx val="0"/>
        <c:spPr>
          <a:ln w="6350">
            <a:solidFill>
              <a:schemeClr val="bg1">
                <a:lumMod val="65000"/>
              </a:schemeClr>
            </a:solidFill>
          </a:ln>
          <a:scene3d>
            <a:camera prst="orthographicFront"/>
            <a:lightRig rig="threePt" dir="t"/>
          </a:scene3d>
          <a:sp3d>
            <a:bevelT w="165100" prst="coolSlant"/>
          </a:sp3d>
        </c:spPr>
        <c:marker>
          <c:symbol val="none"/>
        </c:marker>
        <c:dLbl>
          <c:idx val="0"/>
          <c:layout/>
          <c:spPr>
            <a:noFill/>
          </c:spPr>
          <c:txPr>
            <a:bodyPr/>
            <a:lstStyle/>
            <a:p>
              <a:pPr>
                <a:defRPr/>
              </a:pPr>
              <a:endParaRPr lang="en-US"/>
            </a:p>
          </c:txPr>
          <c:dLblPos val="outEnd"/>
          <c:showLegendKey val="0"/>
          <c:showVal val="0"/>
          <c:showCatName val="0"/>
          <c:showSerName val="0"/>
          <c:showPercent val="1"/>
          <c:showBubbleSize val="0"/>
        </c:dLbl>
      </c:pivotFmt>
      <c:pivotFmt>
        <c:idx val="1"/>
        <c:spPr>
          <a:ln w="12700">
            <a:solidFill>
              <a:schemeClr val="bg1">
                <a:lumMod val="65000"/>
              </a:schemeClr>
            </a:solidFill>
          </a:ln>
          <a:scene3d>
            <a:camera prst="orthographicFront"/>
            <a:lightRig rig="threePt" dir="t"/>
          </a:scene3d>
          <a:sp3d prstMaterial="matte">
            <a:bevelT w="165100" prst="coolSlant"/>
          </a:sp3d>
        </c:spPr>
        <c:marker>
          <c:symbol val="none"/>
        </c:marker>
        <c:dLbl>
          <c:idx val="0"/>
          <c:spPr/>
          <c:txPr>
            <a:bodyPr/>
            <a:lstStyle/>
            <a:p>
              <a:pPr>
                <a:defRPr/>
              </a:pPr>
              <a:endParaRPr lang="en-US"/>
            </a:p>
          </c:txPr>
          <c:dLblPos val="outEnd"/>
          <c:showLegendKey val="0"/>
          <c:showVal val="0"/>
          <c:showCatName val="0"/>
          <c:showSerName val="0"/>
          <c:showPercent val="1"/>
          <c:showBubbleSize val="0"/>
        </c:dLbl>
      </c:pivotFmt>
      <c:pivotFmt>
        <c:idx val="2"/>
        <c:spPr>
          <a:ln w="12700">
            <a:solidFill>
              <a:schemeClr val="bg1">
                <a:lumMod val="65000"/>
              </a:schemeClr>
            </a:solidFill>
          </a:ln>
          <a:scene3d>
            <a:camera prst="orthographicFront"/>
            <a:lightRig rig="threePt" dir="t"/>
          </a:scene3d>
          <a:sp3d>
            <a:bevelT w="165100" prst="coolSlant"/>
          </a:sp3d>
        </c:spPr>
        <c:marker>
          <c:symbol val="none"/>
        </c:marker>
        <c:dLbl>
          <c:idx val="0"/>
          <c:spPr/>
          <c:txPr>
            <a:bodyPr/>
            <a:lstStyle/>
            <a:p>
              <a:pPr>
                <a:defRPr/>
              </a:pPr>
              <a:endParaRPr lang="en-US"/>
            </a:p>
          </c:txPr>
          <c:dLblPos val="outEnd"/>
          <c:showLegendKey val="0"/>
          <c:showVal val="0"/>
          <c:showCatName val="0"/>
          <c:showSerName val="0"/>
          <c:showPercent val="1"/>
          <c:showBubbleSize val="0"/>
        </c:dLbl>
      </c:pivotFmt>
      <c:pivotFmt>
        <c:idx val="3"/>
        <c:spPr>
          <a:ln w="12700">
            <a:solidFill>
              <a:schemeClr val="bg1">
                <a:lumMod val="65000"/>
              </a:schemeClr>
            </a:solidFill>
          </a:ln>
          <a:scene3d>
            <a:camera prst="orthographicFront"/>
            <a:lightRig rig="threePt" dir="t"/>
          </a:scene3d>
          <a:sp3d>
            <a:bevelT w="165100" prst="coolSlant"/>
            <a:bevelB w="114300" prst="artDeco"/>
          </a:sp3d>
        </c:spPr>
        <c:marker>
          <c:symbol val="none"/>
        </c:marker>
        <c:dLbl>
          <c:idx val="0"/>
          <c:spPr/>
          <c:txPr>
            <a:bodyPr/>
            <a:lstStyle/>
            <a:p>
              <a:pPr>
                <a:defRPr/>
              </a:pPr>
              <a:endParaRPr lang="en-US"/>
            </a:p>
          </c:txPr>
          <c:dLblPos val="outEnd"/>
          <c:showLegendKey val="0"/>
          <c:showVal val="0"/>
          <c:showCatName val="0"/>
          <c:showSerName val="0"/>
          <c:showPercent val="1"/>
          <c:showBubbleSize val="0"/>
        </c:dLbl>
      </c:pivotFmt>
      <c:pivotFmt>
        <c:idx val="4"/>
      </c:pivotFmt>
      <c:pivotFmt>
        <c:idx val="5"/>
        <c:spPr>
          <a:ln w="12700">
            <a:solidFill>
              <a:schemeClr val="bg1">
                <a:lumMod val="65000"/>
              </a:schemeClr>
            </a:solidFill>
          </a:ln>
          <a:scene3d>
            <a:camera prst="orthographicFront"/>
            <a:lightRig rig="threePt" dir="t"/>
          </a:scene3d>
          <a:sp3d>
            <a:bevelT w="114300" prst="artDeco"/>
          </a:sp3d>
        </c:spPr>
        <c:marker>
          <c:symbol val="none"/>
        </c:marker>
        <c:dLbl>
          <c:idx val="0"/>
          <c:spPr/>
          <c:txPr>
            <a:bodyPr/>
            <a:lstStyle/>
            <a:p>
              <a:pPr>
                <a:defRPr/>
              </a:pPr>
              <a:endParaRPr lang="en-US"/>
            </a:p>
          </c:txPr>
          <c:dLblPos val="outEnd"/>
          <c:showLegendKey val="0"/>
          <c:showVal val="0"/>
          <c:showCatName val="0"/>
          <c:showSerName val="0"/>
          <c:showPercent val="1"/>
          <c:showBubbleSize val="0"/>
        </c:dLbl>
      </c:pivotFmt>
      <c:pivotFmt>
        <c:idx val="6"/>
        <c:spPr>
          <a:ln w="12700">
            <a:solidFill>
              <a:schemeClr val="bg1">
                <a:lumMod val="65000"/>
              </a:schemeClr>
            </a:solidFill>
          </a:ln>
          <a:scene3d>
            <a:camera prst="orthographicFront"/>
            <a:lightRig rig="threePt" dir="t"/>
          </a:scene3d>
          <a:sp3d>
            <a:bevelT w="165100" prst="coolSlant"/>
          </a:sp3d>
        </c:spPr>
        <c:marker>
          <c:symbol val="none"/>
        </c:marker>
        <c:dLbl>
          <c:idx val="0"/>
          <c:spPr/>
          <c:txPr>
            <a:bodyPr/>
            <a:lstStyle/>
            <a:p>
              <a:pPr>
                <a:defRPr/>
              </a:pPr>
              <a:endParaRPr lang="en-US"/>
            </a:p>
          </c:txPr>
          <c:dLblPos val="outEnd"/>
          <c:showLegendKey val="0"/>
          <c:showVal val="0"/>
          <c:showCatName val="0"/>
          <c:showSerName val="0"/>
          <c:showPercent val="1"/>
          <c:showBubbleSize val="0"/>
        </c:dLbl>
      </c:pivotFmt>
      <c:pivotFmt>
        <c:idx val="7"/>
        <c:marker>
          <c:symbol val="none"/>
        </c:marker>
      </c:pivotFmt>
    </c:pivotFmts>
    <c:plotArea>
      <c:layout/>
      <c:pieChart>
        <c:varyColors val="1"/>
        <c:ser>
          <c:idx val="0"/>
          <c:order val="0"/>
          <c:tx>
            <c:strRef>
              <c:f>Metrics!$AN$5:$AN$6</c:f>
              <c:strCache>
                <c:ptCount val="1"/>
                <c:pt idx="0">
                  <c:v>BC</c:v>
                </c:pt>
              </c:strCache>
            </c:strRef>
          </c:tx>
          <c:spPr>
            <a:ln w="6350">
              <a:solidFill>
                <a:schemeClr val="bg1">
                  <a:lumMod val="65000"/>
                </a:schemeClr>
              </a:solidFill>
            </a:ln>
            <a:scene3d>
              <a:camera prst="orthographicFront"/>
              <a:lightRig rig="threePt" dir="t"/>
            </a:scene3d>
            <a:sp3d>
              <a:bevelT w="165100" prst="coolSlant"/>
            </a:sp3d>
          </c:spPr>
          <c:dLbls>
            <c:spPr>
              <a:noFill/>
            </c:spPr>
            <c:txPr>
              <a:bodyPr/>
              <a:lstStyle/>
              <a:p>
                <a:pPr>
                  <a:defRPr/>
                </a:pPr>
                <a:endParaRPr lang="en-US"/>
              </a:p>
            </c:txPr>
            <c:dLblPos val="outEnd"/>
            <c:showLegendKey val="0"/>
            <c:showVal val="0"/>
            <c:showCatName val="0"/>
            <c:showSerName val="0"/>
            <c:showPercent val="1"/>
            <c:showBubbleSize val="0"/>
            <c:showLeaderLines val="1"/>
          </c:dLbls>
          <c:cat>
            <c:strRef>
              <c:f>Metrics!$AM$7:$AM$13</c:f>
              <c:strCache>
                <c:ptCount val="7"/>
                <c:pt idx="0">
                  <c:v>Plastic </c:v>
                </c:pt>
                <c:pt idx="1">
                  <c:v>Glass Bottles </c:v>
                </c:pt>
                <c:pt idx="2">
                  <c:v>Mixed Paper </c:v>
                </c:pt>
                <c:pt idx="3">
                  <c:v>Cardboard </c:v>
                </c:pt>
                <c:pt idx="4">
                  <c:v>Metal Can </c:v>
                </c:pt>
                <c:pt idx="5">
                  <c:v>Organic Disposals </c:v>
                </c:pt>
                <c:pt idx="6">
                  <c:v>Not Available </c:v>
                </c:pt>
              </c:strCache>
            </c:strRef>
          </c:cat>
          <c:val>
            <c:numRef>
              <c:f>Metrics!$AN$7:$AN$13</c:f>
              <c:numCache>
                <c:formatCode>General</c:formatCode>
                <c:ptCount val="7"/>
                <c:pt idx="0">
                  <c:v>54</c:v>
                </c:pt>
                <c:pt idx="1">
                  <c:v>41</c:v>
                </c:pt>
                <c:pt idx="2">
                  <c:v>67</c:v>
                </c:pt>
                <c:pt idx="3">
                  <c:v>90</c:v>
                </c:pt>
                <c:pt idx="4">
                  <c:v>44</c:v>
                </c:pt>
                <c:pt idx="5">
                  <c:v>41</c:v>
                </c:pt>
                <c:pt idx="6">
                  <c:v>12</c:v>
                </c:pt>
              </c:numCache>
            </c:numRef>
          </c:val>
        </c:ser>
        <c:ser>
          <c:idx val="1"/>
          <c:order val="1"/>
          <c:tx>
            <c:strRef>
              <c:f>Metrics!$AO$5:$AO$6</c:f>
              <c:strCache>
                <c:ptCount val="1"/>
                <c:pt idx="0">
                  <c:v>BC Bio</c:v>
                </c:pt>
              </c:strCache>
            </c:strRef>
          </c:tx>
          <c:spPr>
            <a:ln w="12700">
              <a:solidFill>
                <a:schemeClr val="bg1">
                  <a:lumMod val="65000"/>
                </a:schemeClr>
              </a:solidFill>
            </a:ln>
            <a:scene3d>
              <a:camera prst="orthographicFront"/>
              <a:lightRig rig="threePt" dir="t"/>
            </a:scene3d>
            <a:sp3d prstMaterial="matte">
              <a:bevelT w="165100" prst="coolSlant"/>
            </a:sp3d>
          </c:spPr>
          <c:dLbls>
            <c:spPr/>
            <c:txPr>
              <a:bodyPr/>
              <a:lstStyle/>
              <a:p>
                <a:pPr>
                  <a:defRPr/>
                </a:pPr>
                <a:endParaRPr lang="en-US"/>
              </a:p>
            </c:txPr>
            <c:dLblPos val="outEnd"/>
            <c:showLegendKey val="0"/>
            <c:showVal val="0"/>
            <c:showCatName val="0"/>
            <c:showSerName val="0"/>
            <c:showPercent val="1"/>
            <c:showBubbleSize val="0"/>
            <c:showLeaderLines val="1"/>
          </c:dLbls>
          <c:cat>
            <c:strRef>
              <c:f>Metrics!$AM$7:$AM$13</c:f>
              <c:strCache>
                <c:ptCount val="7"/>
                <c:pt idx="0">
                  <c:v>Plastic </c:v>
                </c:pt>
                <c:pt idx="1">
                  <c:v>Glass Bottles </c:v>
                </c:pt>
                <c:pt idx="2">
                  <c:v>Mixed Paper </c:v>
                </c:pt>
                <c:pt idx="3">
                  <c:v>Cardboard </c:v>
                </c:pt>
                <c:pt idx="4">
                  <c:v>Metal Can </c:v>
                </c:pt>
                <c:pt idx="5">
                  <c:v>Organic Disposals </c:v>
                </c:pt>
                <c:pt idx="6">
                  <c:v>Not Available </c:v>
                </c:pt>
              </c:strCache>
            </c:strRef>
          </c:cat>
          <c:val>
            <c:numRef>
              <c:f>Metrics!$AO$7:$AO$13</c:f>
              <c:numCache>
                <c:formatCode>General</c:formatCode>
                <c:ptCount val="7"/>
                <c:pt idx="0">
                  <c:v>16</c:v>
                </c:pt>
                <c:pt idx="1">
                  <c:v>14</c:v>
                </c:pt>
                <c:pt idx="2">
                  <c:v>22</c:v>
                </c:pt>
                <c:pt idx="3">
                  <c:v>30</c:v>
                </c:pt>
                <c:pt idx="4">
                  <c:v>13</c:v>
                </c:pt>
                <c:pt idx="5">
                  <c:v>10</c:v>
                </c:pt>
                <c:pt idx="6">
                  <c:v>3</c:v>
                </c:pt>
              </c:numCache>
            </c:numRef>
          </c:val>
        </c:ser>
        <c:ser>
          <c:idx val="2"/>
          <c:order val="2"/>
          <c:tx>
            <c:strRef>
              <c:f>Metrics!$AP$5:$AP$6</c:f>
              <c:strCache>
                <c:ptCount val="1"/>
                <c:pt idx="0">
                  <c:v>BC LL</c:v>
                </c:pt>
              </c:strCache>
            </c:strRef>
          </c:tx>
          <c:spPr>
            <a:ln w="12700">
              <a:solidFill>
                <a:schemeClr val="bg1">
                  <a:lumMod val="65000"/>
                </a:schemeClr>
              </a:solidFill>
            </a:ln>
            <a:scene3d>
              <a:camera prst="orthographicFront"/>
              <a:lightRig rig="threePt" dir="t"/>
            </a:scene3d>
            <a:sp3d>
              <a:bevelT w="165100" prst="coolSlant"/>
            </a:sp3d>
          </c:spPr>
          <c:dLbls>
            <c:spPr/>
            <c:txPr>
              <a:bodyPr/>
              <a:lstStyle/>
              <a:p>
                <a:pPr>
                  <a:defRPr/>
                </a:pPr>
                <a:endParaRPr lang="en-US"/>
              </a:p>
            </c:txPr>
            <c:dLblPos val="outEnd"/>
            <c:showLegendKey val="0"/>
            <c:showVal val="0"/>
            <c:showCatName val="0"/>
            <c:showSerName val="0"/>
            <c:showPercent val="1"/>
            <c:showBubbleSize val="0"/>
            <c:showLeaderLines val="1"/>
          </c:dLbls>
          <c:cat>
            <c:strRef>
              <c:f>Metrics!$AM$7:$AM$13</c:f>
              <c:strCache>
                <c:ptCount val="7"/>
                <c:pt idx="0">
                  <c:v>Plastic </c:v>
                </c:pt>
                <c:pt idx="1">
                  <c:v>Glass Bottles </c:v>
                </c:pt>
                <c:pt idx="2">
                  <c:v>Mixed Paper </c:v>
                </c:pt>
                <c:pt idx="3">
                  <c:v>Cardboard </c:v>
                </c:pt>
                <c:pt idx="4">
                  <c:v>Metal Can </c:v>
                </c:pt>
                <c:pt idx="5">
                  <c:v>Organic Disposals </c:v>
                </c:pt>
                <c:pt idx="6">
                  <c:v>Not Available </c:v>
                </c:pt>
              </c:strCache>
            </c:strRef>
          </c:cat>
          <c:val>
            <c:numRef>
              <c:f>Metrics!$AP$7:$AP$13</c:f>
              <c:numCache>
                <c:formatCode>General</c:formatCode>
                <c:ptCount val="7"/>
                <c:pt idx="0">
                  <c:v>38</c:v>
                </c:pt>
                <c:pt idx="1">
                  <c:v>27</c:v>
                </c:pt>
                <c:pt idx="2">
                  <c:v>45</c:v>
                </c:pt>
                <c:pt idx="3">
                  <c:v>60</c:v>
                </c:pt>
                <c:pt idx="4">
                  <c:v>31</c:v>
                </c:pt>
                <c:pt idx="5">
                  <c:v>31</c:v>
                </c:pt>
                <c:pt idx="6">
                  <c:v>9</c:v>
                </c:pt>
              </c:numCache>
            </c:numRef>
          </c:val>
        </c:ser>
        <c:ser>
          <c:idx val="3"/>
          <c:order val="3"/>
          <c:tx>
            <c:strRef>
              <c:f>Metrics!$AQ$5:$AQ$6</c:f>
              <c:strCache>
                <c:ptCount val="1"/>
                <c:pt idx="0">
                  <c:v>ON</c:v>
                </c:pt>
              </c:strCache>
            </c:strRef>
          </c:tx>
          <c:spPr>
            <a:ln w="12700">
              <a:solidFill>
                <a:schemeClr val="bg1">
                  <a:lumMod val="65000"/>
                </a:schemeClr>
              </a:solidFill>
            </a:ln>
            <a:scene3d>
              <a:camera prst="orthographicFront"/>
              <a:lightRig rig="threePt" dir="t"/>
            </a:scene3d>
            <a:sp3d>
              <a:bevelT w="165100" prst="coolSlant"/>
              <a:bevelB w="114300" prst="artDeco"/>
            </a:sp3d>
          </c:spPr>
          <c:dLbls>
            <c:spPr/>
            <c:txPr>
              <a:bodyPr/>
              <a:lstStyle/>
              <a:p>
                <a:pPr>
                  <a:defRPr/>
                </a:pPr>
                <a:endParaRPr lang="en-US"/>
              </a:p>
            </c:txPr>
            <c:dLblPos val="outEnd"/>
            <c:showLegendKey val="0"/>
            <c:showVal val="0"/>
            <c:showCatName val="0"/>
            <c:showSerName val="0"/>
            <c:showPercent val="1"/>
            <c:showBubbleSize val="0"/>
            <c:showLeaderLines val="1"/>
          </c:dLbls>
          <c:cat>
            <c:strRef>
              <c:f>Metrics!$AM$7:$AM$13</c:f>
              <c:strCache>
                <c:ptCount val="7"/>
                <c:pt idx="0">
                  <c:v>Plastic </c:v>
                </c:pt>
                <c:pt idx="1">
                  <c:v>Glass Bottles </c:v>
                </c:pt>
                <c:pt idx="2">
                  <c:v>Mixed Paper </c:v>
                </c:pt>
                <c:pt idx="3">
                  <c:v>Cardboard </c:v>
                </c:pt>
                <c:pt idx="4">
                  <c:v>Metal Can </c:v>
                </c:pt>
                <c:pt idx="5">
                  <c:v>Organic Disposals </c:v>
                </c:pt>
                <c:pt idx="6">
                  <c:v>Not Available </c:v>
                </c:pt>
              </c:strCache>
            </c:strRef>
          </c:cat>
          <c:val>
            <c:numRef>
              <c:f>Metrics!$AQ$7:$AQ$13</c:f>
              <c:numCache>
                <c:formatCode>General</c:formatCode>
                <c:ptCount val="7"/>
                <c:pt idx="0">
                  <c:v>29</c:v>
                </c:pt>
                <c:pt idx="1">
                  <c:v>28</c:v>
                </c:pt>
                <c:pt idx="2">
                  <c:v>35</c:v>
                </c:pt>
                <c:pt idx="3">
                  <c:v>46</c:v>
                </c:pt>
                <c:pt idx="4">
                  <c:v>28</c:v>
                </c:pt>
                <c:pt idx="5">
                  <c:v>7</c:v>
                </c:pt>
                <c:pt idx="6">
                  <c:v>8</c:v>
                </c:pt>
              </c:numCache>
            </c:numRef>
          </c:val>
        </c:ser>
        <c:ser>
          <c:idx val="4"/>
          <c:order val="4"/>
          <c:tx>
            <c:strRef>
              <c:f>Metrics!$AR$5:$AR$6</c:f>
              <c:strCache>
                <c:ptCount val="1"/>
                <c:pt idx="0">
                  <c:v>CML</c:v>
                </c:pt>
              </c:strCache>
            </c:strRef>
          </c:tx>
          <c:spPr>
            <a:ln w="12700">
              <a:solidFill>
                <a:schemeClr val="bg1">
                  <a:lumMod val="65000"/>
                </a:schemeClr>
              </a:solidFill>
            </a:ln>
            <a:scene3d>
              <a:camera prst="orthographicFront"/>
              <a:lightRig rig="threePt" dir="t"/>
            </a:scene3d>
            <a:sp3d>
              <a:bevelT w="114300" prst="artDeco"/>
            </a:sp3d>
          </c:spPr>
          <c:dLbls>
            <c:spPr/>
            <c:txPr>
              <a:bodyPr/>
              <a:lstStyle/>
              <a:p>
                <a:pPr>
                  <a:defRPr/>
                </a:pPr>
                <a:endParaRPr lang="en-US"/>
              </a:p>
            </c:txPr>
            <c:dLblPos val="outEnd"/>
            <c:showLegendKey val="0"/>
            <c:showVal val="0"/>
            <c:showCatName val="0"/>
            <c:showSerName val="0"/>
            <c:showPercent val="1"/>
            <c:showBubbleSize val="0"/>
            <c:showLeaderLines val="1"/>
          </c:dLbls>
          <c:cat>
            <c:strRef>
              <c:f>Metrics!$AM$7:$AM$13</c:f>
              <c:strCache>
                <c:ptCount val="7"/>
                <c:pt idx="0">
                  <c:v>Plastic </c:v>
                </c:pt>
                <c:pt idx="1">
                  <c:v>Glass Bottles </c:v>
                </c:pt>
                <c:pt idx="2">
                  <c:v>Mixed Paper </c:v>
                </c:pt>
                <c:pt idx="3">
                  <c:v>Cardboard </c:v>
                </c:pt>
                <c:pt idx="4">
                  <c:v>Metal Can </c:v>
                </c:pt>
                <c:pt idx="5">
                  <c:v>Organic Disposals </c:v>
                </c:pt>
                <c:pt idx="6">
                  <c:v>Not Available </c:v>
                </c:pt>
              </c:strCache>
            </c:strRef>
          </c:cat>
          <c:val>
            <c:numRef>
              <c:f>Metrics!$AR$7:$AR$13</c:f>
              <c:numCache>
                <c:formatCode>General</c:formatCode>
                <c:ptCount val="7"/>
                <c:pt idx="0">
                  <c:v>7</c:v>
                </c:pt>
                <c:pt idx="1">
                  <c:v>6</c:v>
                </c:pt>
                <c:pt idx="2">
                  <c:v>9</c:v>
                </c:pt>
                <c:pt idx="3">
                  <c:v>12</c:v>
                </c:pt>
                <c:pt idx="4">
                  <c:v>7</c:v>
                </c:pt>
                <c:pt idx="5">
                  <c:v>2</c:v>
                </c:pt>
                <c:pt idx="6">
                  <c:v>3</c:v>
                </c:pt>
              </c:numCache>
            </c:numRef>
          </c:val>
        </c:ser>
        <c:ser>
          <c:idx val="5"/>
          <c:order val="5"/>
          <c:tx>
            <c:strRef>
              <c:f>Metrics!$AS$5:$AS$6</c:f>
              <c:strCache>
                <c:ptCount val="1"/>
                <c:pt idx="0">
                  <c:v>ON LL</c:v>
                </c:pt>
              </c:strCache>
            </c:strRef>
          </c:tx>
          <c:spPr>
            <a:ln w="12700">
              <a:solidFill>
                <a:schemeClr val="bg1">
                  <a:lumMod val="65000"/>
                </a:schemeClr>
              </a:solidFill>
            </a:ln>
            <a:scene3d>
              <a:camera prst="orthographicFront"/>
              <a:lightRig rig="threePt" dir="t"/>
            </a:scene3d>
            <a:sp3d>
              <a:bevelT w="165100" prst="coolSlant"/>
            </a:sp3d>
          </c:spPr>
          <c:dLbls>
            <c:spPr/>
            <c:txPr>
              <a:bodyPr/>
              <a:lstStyle/>
              <a:p>
                <a:pPr>
                  <a:defRPr/>
                </a:pPr>
                <a:endParaRPr lang="en-US"/>
              </a:p>
            </c:txPr>
            <c:dLblPos val="outEnd"/>
            <c:showLegendKey val="0"/>
            <c:showVal val="0"/>
            <c:showCatName val="0"/>
            <c:showSerName val="0"/>
            <c:showPercent val="1"/>
            <c:showBubbleSize val="0"/>
            <c:showLeaderLines val="1"/>
          </c:dLbls>
          <c:cat>
            <c:strRef>
              <c:f>Metrics!$AM$7:$AM$13</c:f>
              <c:strCache>
                <c:ptCount val="7"/>
                <c:pt idx="0">
                  <c:v>Plastic </c:v>
                </c:pt>
                <c:pt idx="1">
                  <c:v>Glass Bottles </c:v>
                </c:pt>
                <c:pt idx="2">
                  <c:v>Mixed Paper </c:v>
                </c:pt>
                <c:pt idx="3">
                  <c:v>Cardboard </c:v>
                </c:pt>
                <c:pt idx="4">
                  <c:v>Metal Can </c:v>
                </c:pt>
                <c:pt idx="5">
                  <c:v>Organic Disposals </c:v>
                </c:pt>
                <c:pt idx="6">
                  <c:v>Not Available </c:v>
                </c:pt>
              </c:strCache>
            </c:strRef>
          </c:cat>
          <c:val>
            <c:numRef>
              <c:f>Metrics!$AS$7:$AS$13</c:f>
              <c:numCache>
                <c:formatCode>General</c:formatCode>
                <c:ptCount val="7"/>
                <c:pt idx="0">
                  <c:v>22</c:v>
                </c:pt>
                <c:pt idx="1">
                  <c:v>22</c:v>
                </c:pt>
                <c:pt idx="2">
                  <c:v>26</c:v>
                </c:pt>
                <c:pt idx="3">
                  <c:v>34</c:v>
                </c:pt>
                <c:pt idx="4">
                  <c:v>21</c:v>
                </c:pt>
                <c:pt idx="5">
                  <c:v>5</c:v>
                </c:pt>
                <c:pt idx="6">
                  <c:v>5</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[Recycling Survey Metrics.xlsm]Metrics!PivotTable3</c:name>
    <c:fmtId val="0"/>
  </c:pivotSource>
  <c:chart>
    <c:title>
      <c:tx>
        <c:rich>
          <a:bodyPr/>
          <a:lstStyle/>
          <a:p>
            <a:pPr>
              <a:defRPr/>
            </a:pPr>
            <a:r>
              <a:rPr lang="en-US"/>
              <a:t>Plastics Acceptability</a:t>
            </a:r>
          </a:p>
        </c:rich>
      </c:tx>
      <c:layout/>
      <c:overlay val="1"/>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spPr>
          <a:ln w="12700">
            <a:solidFill>
              <a:schemeClr val="tx1">
                <a:lumMod val="95000"/>
                <a:lumOff val="5000"/>
              </a:schemeClr>
            </a:solidFill>
          </a:ln>
        </c:spPr>
        <c:marker>
          <c:symbol val="none"/>
        </c:marker>
      </c:pivotFmt>
      <c:pivotFmt>
        <c:idx val="9"/>
        <c:spPr>
          <a:solidFill>
            <a:schemeClr val="accent2">
              <a:lumMod val="75000"/>
            </a:schemeClr>
          </a:solidFill>
          <a:ln w="12700">
            <a:solidFill>
              <a:schemeClr val="tx1">
                <a:lumMod val="95000"/>
                <a:lumOff val="5000"/>
              </a:schemeClr>
            </a:solidFill>
          </a:ln>
        </c:spPr>
        <c:marker>
          <c:symbol val="none"/>
        </c:marker>
      </c:pivotFmt>
      <c:pivotFmt>
        <c:idx val="10"/>
        <c:spPr>
          <a:solidFill>
            <a:schemeClr val="accent3">
              <a:lumMod val="60000"/>
              <a:lumOff val="40000"/>
            </a:schemeClr>
          </a:solidFill>
          <a:ln w="12700">
            <a:solidFill>
              <a:schemeClr val="tx1">
                <a:lumMod val="95000"/>
                <a:lumOff val="5000"/>
              </a:schemeClr>
            </a:solidFill>
          </a:ln>
        </c:spPr>
        <c:marker>
          <c:symbol val="none"/>
        </c:marker>
      </c:pivotFmt>
      <c:pivotFmt>
        <c:idx val="11"/>
        <c:spPr>
          <a:solidFill>
            <a:schemeClr val="accent5">
              <a:lumMod val="60000"/>
              <a:lumOff val="40000"/>
            </a:schemeClr>
          </a:solidFill>
          <a:ln w="12700">
            <a:solidFill>
              <a:schemeClr val="tx1">
                <a:lumMod val="95000"/>
                <a:lumOff val="5000"/>
              </a:schemeClr>
            </a:solidFill>
          </a:ln>
        </c:spPr>
        <c:marker>
          <c:symbol val="none"/>
        </c:marker>
      </c:pivotFmt>
      <c:pivotFmt>
        <c:idx val="12"/>
        <c:spPr>
          <a:solidFill>
            <a:schemeClr val="accent4">
              <a:lumMod val="75000"/>
            </a:schemeClr>
          </a:solidFill>
          <a:ln w="12700">
            <a:solidFill>
              <a:schemeClr val="tx1">
                <a:lumMod val="95000"/>
                <a:lumOff val="5000"/>
              </a:schemeClr>
            </a:solidFill>
          </a:ln>
        </c:spPr>
        <c:marker>
          <c:symbol val="none"/>
        </c:marker>
      </c:pivotFmt>
      <c:pivotFmt>
        <c:idx val="13"/>
        <c:spPr>
          <a:solidFill>
            <a:schemeClr val="accent6">
              <a:lumMod val="60000"/>
              <a:lumOff val="40000"/>
            </a:schemeClr>
          </a:solidFill>
          <a:ln w="12700">
            <a:solidFill>
              <a:schemeClr val="tx1">
                <a:lumMod val="95000"/>
                <a:lumOff val="5000"/>
              </a:schemeClr>
            </a:solidFill>
          </a:ln>
        </c:spPr>
        <c:marker>
          <c:symbol val="none"/>
        </c:marker>
      </c:pivotFmt>
    </c:pivotFmts>
    <c:plotArea>
      <c:layout>
        <c:manualLayout>
          <c:layoutTarget val="inner"/>
          <c:xMode val="edge"/>
          <c:yMode val="edge"/>
          <c:x val="6.217458702470012E-2"/>
          <c:y val="0.16487853012509374"/>
          <c:w val="0.91143534395308501"/>
          <c:h val="0.52959837914665175"/>
        </c:manualLayout>
      </c:layout>
      <c:barChart>
        <c:barDir val="col"/>
        <c:grouping val="clustered"/>
        <c:varyColors val="0"/>
        <c:ser>
          <c:idx val="0"/>
          <c:order val="0"/>
          <c:tx>
            <c:strRef>
              <c:f>Metrics!$AN$21:$AN$22</c:f>
              <c:strCache>
                <c:ptCount val="1"/>
                <c:pt idx="0">
                  <c:v>BC</c:v>
                </c:pt>
              </c:strCache>
            </c:strRef>
          </c:tx>
          <c:spPr>
            <a:ln w="12700">
              <a:solidFill>
                <a:schemeClr val="tx1">
                  <a:lumMod val="95000"/>
                  <a:lumOff val="5000"/>
                </a:schemeClr>
              </a:solidFill>
            </a:ln>
          </c:spPr>
          <c:invertIfNegative val="0"/>
          <c:cat>
            <c:strRef>
              <c:f>Metrics!$AM$23:$AM$30</c:f>
              <c:strCache>
                <c:ptCount val="8"/>
                <c:pt idx="0">
                  <c:v>PET #1 </c:v>
                </c:pt>
                <c:pt idx="1">
                  <c:v>HDPE #2 </c:v>
                </c:pt>
                <c:pt idx="2">
                  <c:v>LDPE #4 </c:v>
                </c:pt>
                <c:pt idx="3">
                  <c:v>PP #5 </c:v>
                </c:pt>
                <c:pt idx="4">
                  <c:v>PS #6 </c:v>
                </c:pt>
                <c:pt idx="5">
                  <c:v>Other #7 </c:v>
                </c:pt>
                <c:pt idx="6">
                  <c:v>Not Acceptable </c:v>
                </c:pt>
                <c:pt idx="7">
                  <c:v>Not Applicable </c:v>
                </c:pt>
              </c:strCache>
            </c:strRef>
          </c:cat>
          <c:val>
            <c:numRef>
              <c:f>Metrics!$AN$23:$AN$30</c:f>
              <c:numCache>
                <c:formatCode>General</c:formatCode>
                <c:ptCount val="8"/>
                <c:pt idx="0">
                  <c:v>35</c:v>
                </c:pt>
                <c:pt idx="1">
                  <c:v>34</c:v>
                </c:pt>
                <c:pt idx="2">
                  <c:v>27</c:v>
                </c:pt>
                <c:pt idx="3">
                  <c:v>33</c:v>
                </c:pt>
                <c:pt idx="4">
                  <c:v>27</c:v>
                </c:pt>
                <c:pt idx="5">
                  <c:v>23</c:v>
                </c:pt>
                <c:pt idx="6">
                  <c:v>11</c:v>
                </c:pt>
                <c:pt idx="7">
                  <c:v>53</c:v>
                </c:pt>
              </c:numCache>
            </c:numRef>
          </c:val>
        </c:ser>
        <c:ser>
          <c:idx val="1"/>
          <c:order val="1"/>
          <c:tx>
            <c:strRef>
              <c:f>Metrics!$AO$21:$AO$22</c:f>
              <c:strCache>
                <c:ptCount val="1"/>
                <c:pt idx="0">
                  <c:v>BC Bio</c:v>
                </c:pt>
              </c:strCache>
            </c:strRef>
          </c:tx>
          <c:spPr>
            <a:solidFill>
              <a:schemeClr val="accent2">
                <a:lumMod val="75000"/>
              </a:schemeClr>
            </a:solidFill>
            <a:ln w="12700">
              <a:solidFill>
                <a:schemeClr val="tx1">
                  <a:lumMod val="95000"/>
                  <a:lumOff val="5000"/>
                </a:schemeClr>
              </a:solidFill>
            </a:ln>
          </c:spPr>
          <c:invertIfNegative val="0"/>
          <c:cat>
            <c:strRef>
              <c:f>Metrics!$AM$23:$AM$30</c:f>
              <c:strCache>
                <c:ptCount val="8"/>
                <c:pt idx="0">
                  <c:v>PET #1 </c:v>
                </c:pt>
                <c:pt idx="1">
                  <c:v>HDPE #2 </c:v>
                </c:pt>
                <c:pt idx="2">
                  <c:v>LDPE #4 </c:v>
                </c:pt>
                <c:pt idx="3">
                  <c:v>PP #5 </c:v>
                </c:pt>
                <c:pt idx="4">
                  <c:v>PS #6 </c:v>
                </c:pt>
                <c:pt idx="5">
                  <c:v>Other #7 </c:v>
                </c:pt>
                <c:pt idx="6">
                  <c:v>Not Acceptable </c:v>
                </c:pt>
                <c:pt idx="7">
                  <c:v>Not Applicable </c:v>
                </c:pt>
              </c:strCache>
            </c:strRef>
          </c:cat>
          <c:val>
            <c:numRef>
              <c:f>Metrics!$AO$23:$AO$30</c:f>
              <c:numCache>
                <c:formatCode>General</c:formatCode>
                <c:ptCount val="8"/>
                <c:pt idx="0">
                  <c:v>12</c:v>
                </c:pt>
                <c:pt idx="1">
                  <c:v>13</c:v>
                </c:pt>
                <c:pt idx="2">
                  <c:v>6</c:v>
                </c:pt>
                <c:pt idx="3">
                  <c:v>12</c:v>
                </c:pt>
                <c:pt idx="4">
                  <c:v>8</c:v>
                </c:pt>
                <c:pt idx="5">
                  <c:v>4</c:v>
                </c:pt>
                <c:pt idx="6">
                  <c:v>3</c:v>
                </c:pt>
                <c:pt idx="7">
                  <c:v>16</c:v>
                </c:pt>
              </c:numCache>
            </c:numRef>
          </c:val>
        </c:ser>
        <c:ser>
          <c:idx val="2"/>
          <c:order val="2"/>
          <c:tx>
            <c:strRef>
              <c:f>Metrics!$AP$21:$AP$22</c:f>
              <c:strCache>
                <c:ptCount val="1"/>
                <c:pt idx="0">
                  <c:v>BC LL</c:v>
                </c:pt>
              </c:strCache>
            </c:strRef>
          </c:tx>
          <c:spPr>
            <a:solidFill>
              <a:schemeClr val="accent3">
                <a:lumMod val="60000"/>
                <a:lumOff val="40000"/>
              </a:schemeClr>
            </a:solidFill>
            <a:ln w="12700">
              <a:solidFill>
                <a:schemeClr val="tx1">
                  <a:lumMod val="95000"/>
                  <a:lumOff val="5000"/>
                </a:schemeClr>
              </a:solidFill>
            </a:ln>
          </c:spPr>
          <c:invertIfNegative val="0"/>
          <c:cat>
            <c:strRef>
              <c:f>Metrics!$AM$23:$AM$30</c:f>
              <c:strCache>
                <c:ptCount val="8"/>
                <c:pt idx="0">
                  <c:v>PET #1 </c:v>
                </c:pt>
                <c:pt idx="1">
                  <c:v>HDPE #2 </c:v>
                </c:pt>
                <c:pt idx="2">
                  <c:v>LDPE #4 </c:v>
                </c:pt>
                <c:pt idx="3">
                  <c:v>PP #5 </c:v>
                </c:pt>
                <c:pt idx="4">
                  <c:v>PS #6 </c:v>
                </c:pt>
                <c:pt idx="5">
                  <c:v>Other #7 </c:v>
                </c:pt>
                <c:pt idx="6">
                  <c:v>Not Acceptable </c:v>
                </c:pt>
                <c:pt idx="7">
                  <c:v>Not Applicable </c:v>
                </c:pt>
              </c:strCache>
            </c:strRef>
          </c:cat>
          <c:val>
            <c:numRef>
              <c:f>Metrics!$AP$23:$AP$30</c:f>
              <c:numCache>
                <c:formatCode>General</c:formatCode>
                <c:ptCount val="8"/>
                <c:pt idx="0">
                  <c:v>23</c:v>
                </c:pt>
                <c:pt idx="1">
                  <c:v>21</c:v>
                </c:pt>
                <c:pt idx="2">
                  <c:v>21</c:v>
                </c:pt>
                <c:pt idx="3">
                  <c:v>21</c:v>
                </c:pt>
                <c:pt idx="4">
                  <c:v>19</c:v>
                </c:pt>
                <c:pt idx="5">
                  <c:v>19</c:v>
                </c:pt>
                <c:pt idx="6">
                  <c:v>8</c:v>
                </c:pt>
                <c:pt idx="7">
                  <c:v>37</c:v>
                </c:pt>
              </c:numCache>
            </c:numRef>
          </c:val>
        </c:ser>
        <c:ser>
          <c:idx val="3"/>
          <c:order val="3"/>
          <c:tx>
            <c:strRef>
              <c:f>Metrics!$AQ$21:$AQ$22</c:f>
              <c:strCache>
                <c:ptCount val="1"/>
                <c:pt idx="0">
                  <c:v>ON</c:v>
                </c:pt>
              </c:strCache>
            </c:strRef>
          </c:tx>
          <c:spPr>
            <a:solidFill>
              <a:schemeClr val="accent4">
                <a:lumMod val="75000"/>
              </a:schemeClr>
            </a:solidFill>
            <a:ln w="12700">
              <a:solidFill>
                <a:schemeClr val="tx1">
                  <a:lumMod val="95000"/>
                  <a:lumOff val="5000"/>
                </a:schemeClr>
              </a:solidFill>
            </a:ln>
          </c:spPr>
          <c:invertIfNegative val="0"/>
          <c:cat>
            <c:strRef>
              <c:f>Metrics!$AM$23:$AM$30</c:f>
              <c:strCache>
                <c:ptCount val="8"/>
                <c:pt idx="0">
                  <c:v>PET #1 </c:v>
                </c:pt>
                <c:pt idx="1">
                  <c:v>HDPE #2 </c:v>
                </c:pt>
                <c:pt idx="2">
                  <c:v>LDPE #4 </c:v>
                </c:pt>
                <c:pt idx="3">
                  <c:v>PP #5 </c:v>
                </c:pt>
                <c:pt idx="4">
                  <c:v>PS #6 </c:v>
                </c:pt>
                <c:pt idx="5">
                  <c:v>Other #7 </c:v>
                </c:pt>
                <c:pt idx="6">
                  <c:v>Not Acceptable </c:v>
                </c:pt>
                <c:pt idx="7">
                  <c:v>Not Applicable </c:v>
                </c:pt>
              </c:strCache>
            </c:strRef>
          </c:cat>
          <c:val>
            <c:numRef>
              <c:f>Metrics!$AQ$23:$AQ$30</c:f>
              <c:numCache>
                <c:formatCode>General</c:formatCode>
                <c:ptCount val="8"/>
                <c:pt idx="0">
                  <c:v>21</c:v>
                </c:pt>
                <c:pt idx="1">
                  <c:v>21</c:v>
                </c:pt>
                <c:pt idx="2">
                  <c:v>17</c:v>
                </c:pt>
                <c:pt idx="3">
                  <c:v>16</c:v>
                </c:pt>
                <c:pt idx="4">
                  <c:v>15</c:v>
                </c:pt>
                <c:pt idx="5">
                  <c:v>13</c:v>
                </c:pt>
                <c:pt idx="6">
                  <c:v>3</c:v>
                </c:pt>
                <c:pt idx="7">
                  <c:v>26</c:v>
                </c:pt>
              </c:numCache>
            </c:numRef>
          </c:val>
        </c:ser>
        <c:ser>
          <c:idx val="4"/>
          <c:order val="4"/>
          <c:tx>
            <c:strRef>
              <c:f>Metrics!$AR$21:$AR$22</c:f>
              <c:strCache>
                <c:ptCount val="1"/>
                <c:pt idx="0">
                  <c:v>CML</c:v>
                </c:pt>
              </c:strCache>
            </c:strRef>
          </c:tx>
          <c:spPr>
            <a:solidFill>
              <a:schemeClr val="accent5">
                <a:lumMod val="60000"/>
                <a:lumOff val="40000"/>
              </a:schemeClr>
            </a:solidFill>
            <a:ln w="12700">
              <a:solidFill>
                <a:schemeClr val="tx1">
                  <a:lumMod val="95000"/>
                  <a:lumOff val="5000"/>
                </a:schemeClr>
              </a:solidFill>
            </a:ln>
          </c:spPr>
          <c:invertIfNegative val="0"/>
          <c:cat>
            <c:strRef>
              <c:f>Metrics!$AM$23:$AM$30</c:f>
              <c:strCache>
                <c:ptCount val="8"/>
                <c:pt idx="0">
                  <c:v>PET #1 </c:v>
                </c:pt>
                <c:pt idx="1">
                  <c:v>HDPE #2 </c:v>
                </c:pt>
                <c:pt idx="2">
                  <c:v>LDPE #4 </c:v>
                </c:pt>
                <c:pt idx="3">
                  <c:v>PP #5 </c:v>
                </c:pt>
                <c:pt idx="4">
                  <c:v>PS #6 </c:v>
                </c:pt>
                <c:pt idx="5">
                  <c:v>Other #7 </c:v>
                </c:pt>
                <c:pt idx="6">
                  <c:v>Not Acceptable </c:v>
                </c:pt>
                <c:pt idx="7">
                  <c:v>Not Applicable </c:v>
                </c:pt>
              </c:strCache>
            </c:strRef>
          </c:cat>
          <c:val>
            <c:numRef>
              <c:f>Metrics!$AR$23:$AR$30</c:f>
              <c:numCache>
                <c:formatCode>General</c:formatCode>
                <c:ptCount val="8"/>
                <c:pt idx="0">
                  <c:v>5</c:v>
                </c:pt>
                <c:pt idx="1">
                  <c:v>6</c:v>
                </c:pt>
                <c:pt idx="2">
                  <c:v>4</c:v>
                </c:pt>
                <c:pt idx="3">
                  <c:v>5</c:v>
                </c:pt>
                <c:pt idx="4">
                  <c:v>4</c:v>
                </c:pt>
                <c:pt idx="5">
                  <c:v>3</c:v>
                </c:pt>
                <c:pt idx="6">
                  <c:v>1</c:v>
                </c:pt>
                <c:pt idx="7">
                  <c:v>8</c:v>
                </c:pt>
              </c:numCache>
            </c:numRef>
          </c:val>
        </c:ser>
        <c:ser>
          <c:idx val="5"/>
          <c:order val="5"/>
          <c:tx>
            <c:strRef>
              <c:f>Metrics!$AS$21:$AS$22</c:f>
              <c:strCache>
                <c:ptCount val="1"/>
                <c:pt idx="0">
                  <c:v>ON LL</c:v>
                </c:pt>
              </c:strCache>
            </c:strRef>
          </c:tx>
          <c:spPr>
            <a:solidFill>
              <a:schemeClr val="accent6">
                <a:lumMod val="60000"/>
                <a:lumOff val="40000"/>
              </a:schemeClr>
            </a:solidFill>
            <a:ln w="12700">
              <a:solidFill>
                <a:schemeClr val="tx1">
                  <a:lumMod val="95000"/>
                  <a:lumOff val="5000"/>
                </a:schemeClr>
              </a:solidFill>
            </a:ln>
          </c:spPr>
          <c:invertIfNegative val="0"/>
          <c:cat>
            <c:strRef>
              <c:f>Metrics!$AM$23:$AM$30</c:f>
              <c:strCache>
                <c:ptCount val="8"/>
                <c:pt idx="0">
                  <c:v>PET #1 </c:v>
                </c:pt>
                <c:pt idx="1">
                  <c:v>HDPE #2 </c:v>
                </c:pt>
                <c:pt idx="2">
                  <c:v>LDPE #4 </c:v>
                </c:pt>
                <c:pt idx="3">
                  <c:v>PP #5 </c:v>
                </c:pt>
                <c:pt idx="4">
                  <c:v>PS #6 </c:v>
                </c:pt>
                <c:pt idx="5">
                  <c:v>Other #7 </c:v>
                </c:pt>
                <c:pt idx="6">
                  <c:v>Not Acceptable </c:v>
                </c:pt>
                <c:pt idx="7">
                  <c:v>Not Applicable </c:v>
                </c:pt>
              </c:strCache>
            </c:strRef>
          </c:cat>
          <c:val>
            <c:numRef>
              <c:f>Metrics!$AS$23:$AS$30</c:f>
              <c:numCache>
                <c:formatCode>General</c:formatCode>
                <c:ptCount val="8"/>
                <c:pt idx="0">
                  <c:v>16</c:v>
                </c:pt>
                <c:pt idx="1">
                  <c:v>15</c:v>
                </c:pt>
                <c:pt idx="2">
                  <c:v>13</c:v>
                </c:pt>
                <c:pt idx="3">
                  <c:v>11</c:v>
                </c:pt>
                <c:pt idx="4">
                  <c:v>11</c:v>
                </c:pt>
                <c:pt idx="5">
                  <c:v>10</c:v>
                </c:pt>
                <c:pt idx="6">
                  <c:v>2</c:v>
                </c:pt>
                <c:pt idx="7">
                  <c:v>18</c:v>
                </c:pt>
              </c:numCache>
            </c:numRef>
          </c:val>
        </c:ser>
        <c:dLbls>
          <c:showLegendKey val="0"/>
          <c:showVal val="0"/>
          <c:showCatName val="0"/>
          <c:showSerName val="0"/>
          <c:showPercent val="0"/>
          <c:showBubbleSize val="0"/>
        </c:dLbls>
        <c:gapWidth val="150"/>
        <c:axId val="157518080"/>
        <c:axId val="157523968"/>
      </c:barChart>
      <c:catAx>
        <c:axId val="157518080"/>
        <c:scaling>
          <c:orientation val="minMax"/>
        </c:scaling>
        <c:delete val="0"/>
        <c:axPos val="b"/>
        <c:majorTickMark val="out"/>
        <c:minorTickMark val="none"/>
        <c:tickLblPos val="nextTo"/>
        <c:crossAx val="157523968"/>
        <c:crosses val="autoZero"/>
        <c:auto val="1"/>
        <c:lblAlgn val="ctr"/>
        <c:lblOffset val="100"/>
        <c:noMultiLvlLbl val="0"/>
      </c:catAx>
      <c:valAx>
        <c:axId val="157523968"/>
        <c:scaling>
          <c:orientation val="minMax"/>
        </c:scaling>
        <c:delete val="0"/>
        <c:axPos val="l"/>
        <c:numFmt formatCode="General" sourceLinked="1"/>
        <c:majorTickMark val="out"/>
        <c:minorTickMark val="none"/>
        <c:tickLblPos val="nextTo"/>
        <c:crossAx val="157518080"/>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[Recycling Survey Metrics.xlsm]Metrics!PivotTable3</c:name>
    <c:fmtId val="1"/>
  </c:pivotSource>
  <c:chart>
    <c:title>
      <c:tx>
        <c:rich>
          <a:bodyPr/>
          <a:lstStyle/>
          <a:p>
            <a:pPr>
              <a:defRPr/>
            </a:pPr>
            <a:r>
              <a:rPr lang="en-US"/>
              <a:t>Plastics Acceptability</a:t>
            </a:r>
          </a:p>
        </c:rich>
      </c:tx>
      <c:layout/>
      <c:overlay val="0"/>
    </c:title>
    <c:autoTitleDeleted val="0"/>
    <c:pivotFmts>
      <c:pivotFmt>
        <c:idx val="0"/>
        <c:spPr>
          <a:ln w="12700">
            <a:solidFill>
              <a:schemeClr val="bg1">
                <a:lumMod val="65000"/>
              </a:schemeClr>
            </a:solidFill>
          </a:ln>
          <a:scene3d>
            <a:camera prst="orthographicFront"/>
            <a:lightRig rig="threePt" dir="t"/>
          </a:scene3d>
          <a:sp3d>
            <a:bevelT w="165100" prst="coolSlant"/>
          </a:sp3d>
        </c:spPr>
        <c:marker>
          <c:symbol val="none"/>
        </c:marker>
        <c:dLbl>
          <c:idx val="0"/>
          <c:layout/>
          <c:spPr/>
          <c:txPr>
            <a:bodyPr/>
            <a:lstStyle/>
            <a:p>
              <a:pPr>
                <a:defRPr/>
              </a:pPr>
              <a:endParaRPr lang="en-US"/>
            </a:p>
          </c:txPr>
          <c:dLblPos val="outEnd"/>
          <c:showLegendKey val="0"/>
          <c:showVal val="0"/>
          <c:showCatName val="0"/>
          <c:showSerName val="0"/>
          <c:showPercent val="1"/>
          <c:showBubbleSize val="0"/>
        </c:dLbl>
      </c:pivotFmt>
      <c:pivotFmt>
        <c:idx val="1"/>
        <c:spPr>
          <a:ln w="12700">
            <a:solidFill>
              <a:schemeClr val="bg1">
                <a:lumMod val="65000"/>
              </a:schemeClr>
            </a:solidFill>
          </a:ln>
          <a:scene3d>
            <a:camera prst="orthographicFront"/>
            <a:lightRig rig="threePt" dir="t"/>
          </a:scene3d>
          <a:sp3d>
            <a:bevelT w="165100" prst="coolSlant"/>
          </a:sp3d>
        </c:spPr>
        <c:marker>
          <c:symbol val="none"/>
        </c:marker>
        <c:dLbl>
          <c:idx val="0"/>
          <c:spPr/>
          <c:txPr>
            <a:bodyPr/>
            <a:lstStyle/>
            <a:p>
              <a:pPr>
                <a:defRPr/>
              </a:pPr>
              <a:endParaRPr lang="en-US"/>
            </a:p>
          </c:txPr>
          <c:dLblPos val="outEnd"/>
          <c:showLegendKey val="0"/>
          <c:showVal val="0"/>
          <c:showCatName val="0"/>
          <c:showSerName val="0"/>
          <c:showPercent val="1"/>
          <c:showBubbleSize val="0"/>
        </c:dLbl>
      </c:pivotFmt>
      <c:pivotFmt>
        <c:idx val="2"/>
        <c:spPr>
          <a:ln w="12700">
            <a:solidFill>
              <a:schemeClr val="bg1">
                <a:lumMod val="65000"/>
              </a:schemeClr>
            </a:solidFill>
          </a:ln>
          <a:scene3d>
            <a:camera prst="orthographicFront"/>
            <a:lightRig rig="threePt" dir="t"/>
          </a:scene3d>
          <a:sp3d>
            <a:bevelT w="165100" prst="coolSlant"/>
          </a:sp3d>
        </c:spPr>
        <c:marker>
          <c:symbol val="none"/>
        </c:marker>
        <c:dLbl>
          <c:idx val="0"/>
          <c:spPr/>
          <c:txPr>
            <a:bodyPr/>
            <a:lstStyle/>
            <a:p>
              <a:pPr>
                <a:defRPr/>
              </a:pPr>
              <a:endParaRPr lang="en-US"/>
            </a:p>
          </c:txPr>
          <c:dLblPos val="outEnd"/>
          <c:showLegendKey val="0"/>
          <c:showVal val="0"/>
          <c:showCatName val="0"/>
          <c:showSerName val="0"/>
          <c:showPercent val="1"/>
          <c:showBubbleSize val="0"/>
        </c:dLbl>
      </c:pivotFmt>
      <c:pivotFmt>
        <c:idx val="3"/>
        <c:spPr>
          <a:ln w="12700">
            <a:solidFill>
              <a:schemeClr val="bg1">
                <a:lumMod val="65000"/>
              </a:schemeClr>
            </a:solidFill>
          </a:ln>
          <a:scene3d>
            <a:camera prst="orthographicFront"/>
            <a:lightRig rig="threePt" dir="t"/>
          </a:scene3d>
          <a:sp3d>
            <a:bevelT w="165100" prst="coolSlant"/>
          </a:sp3d>
        </c:spPr>
        <c:marker>
          <c:symbol val="none"/>
        </c:marker>
        <c:dLbl>
          <c:idx val="0"/>
          <c:spPr/>
          <c:txPr>
            <a:bodyPr/>
            <a:lstStyle/>
            <a:p>
              <a:pPr>
                <a:defRPr/>
              </a:pPr>
              <a:endParaRPr lang="en-US"/>
            </a:p>
          </c:txPr>
          <c:dLblPos val="outEnd"/>
          <c:showLegendKey val="0"/>
          <c:showVal val="0"/>
          <c:showCatName val="0"/>
          <c:showSerName val="0"/>
          <c:showPercent val="1"/>
          <c:showBubbleSize val="0"/>
        </c:dLbl>
      </c:pivotFmt>
      <c:pivotFmt>
        <c:idx val="4"/>
        <c:spPr>
          <a:ln w="12700">
            <a:solidFill>
              <a:schemeClr val="bg1">
                <a:lumMod val="65000"/>
              </a:schemeClr>
            </a:solidFill>
          </a:ln>
          <a:scene3d>
            <a:camera prst="orthographicFront"/>
            <a:lightRig rig="threePt" dir="t"/>
          </a:scene3d>
          <a:sp3d>
            <a:bevelT/>
          </a:sp3d>
        </c:spPr>
        <c:marker>
          <c:symbol val="none"/>
        </c:marker>
        <c:dLbl>
          <c:idx val="0"/>
          <c:spPr/>
          <c:txPr>
            <a:bodyPr/>
            <a:lstStyle/>
            <a:p>
              <a:pPr>
                <a:defRPr/>
              </a:pPr>
              <a:endParaRPr lang="en-US"/>
            </a:p>
          </c:txPr>
          <c:dLblPos val="outEnd"/>
          <c:showLegendKey val="0"/>
          <c:showVal val="0"/>
          <c:showCatName val="0"/>
          <c:showSerName val="0"/>
          <c:showPercent val="1"/>
          <c:showBubbleSize val="0"/>
        </c:dLbl>
      </c:pivotFmt>
      <c:pivotFmt>
        <c:idx val="5"/>
        <c:spPr>
          <a:ln w="12700">
            <a:solidFill>
              <a:schemeClr val="bg1">
                <a:lumMod val="65000"/>
              </a:schemeClr>
            </a:solidFill>
          </a:ln>
          <a:scene3d>
            <a:camera prst="orthographicFront"/>
            <a:lightRig rig="threePt" dir="t"/>
          </a:scene3d>
          <a:sp3d>
            <a:bevelT w="114300" prst="artDeco"/>
          </a:sp3d>
        </c:spPr>
        <c:marker>
          <c:symbol val="none"/>
        </c:marker>
        <c:dLbl>
          <c:idx val="0"/>
          <c:spPr/>
          <c:txPr>
            <a:bodyPr/>
            <a:lstStyle/>
            <a:p>
              <a:pPr>
                <a:defRPr/>
              </a:pPr>
              <a:endParaRPr lang="en-US"/>
            </a:p>
          </c:txPr>
          <c:dLblPos val="outEnd"/>
          <c:showLegendKey val="0"/>
          <c:showVal val="0"/>
          <c:showCatName val="0"/>
          <c:showSerName val="0"/>
          <c:showPercent val="1"/>
          <c:showBubbleSize val="0"/>
        </c:dLbl>
      </c:pivotFmt>
    </c:pivotFmts>
    <c:plotArea>
      <c:layout/>
      <c:pieChart>
        <c:varyColors val="1"/>
        <c:ser>
          <c:idx val="0"/>
          <c:order val="0"/>
          <c:tx>
            <c:strRef>
              <c:f>Metrics!$AN$21:$AN$22</c:f>
              <c:strCache>
                <c:ptCount val="1"/>
                <c:pt idx="0">
                  <c:v>BC</c:v>
                </c:pt>
              </c:strCache>
            </c:strRef>
          </c:tx>
          <c:spPr>
            <a:ln w="12700">
              <a:solidFill>
                <a:schemeClr val="bg1">
                  <a:lumMod val="65000"/>
                </a:schemeClr>
              </a:solidFill>
            </a:ln>
            <a:scene3d>
              <a:camera prst="orthographicFront"/>
              <a:lightRig rig="threePt" dir="t"/>
            </a:scene3d>
            <a:sp3d>
              <a:bevelT w="165100" prst="coolSlant"/>
            </a:sp3d>
          </c:spPr>
          <c:dLbls>
            <c:spPr/>
            <c:txPr>
              <a:bodyPr/>
              <a:lstStyle/>
              <a:p>
                <a:pPr>
                  <a:defRPr/>
                </a:pPr>
                <a:endParaRPr lang="en-US"/>
              </a:p>
            </c:txPr>
            <c:dLblPos val="outEnd"/>
            <c:showLegendKey val="0"/>
            <c:showVal val="0"/>
            <c:showCatName val="0"/>
            <c:showSerName val="0"/>
            <c:showPercent val="1"/>
            <c:showBubbleSize val="0"/>
            <c:showLeaderLines val="1"/>
          </c:dLbls>
          <c:cat>
            <c:strRef>
              <c:f>Metrics!$AM$23:$AM$30</c:f>
              <c:strCache>
                <c:ptCount val="8"/>
                <c:pt idx="0">
                  <c:v>PET #1 </c:v>
                </c:pt>
                <c:pt idx="1">
                  <c:v>HDPE #2 </c:v>
                </c:pt>
                <c:pt idx="2">
                  <c:v>LDPE #4 </c:v>
                </c:pt>
                <c:pt idx="3">
                  <c:v>PP #5 </c:v>
                </c:pt>
                <c:pt idx="4">
                  <c:v>PS #6 </c:v>
                </c:pt>
                <c:pt idx="5">
                  <c:v>Other #7 </c:v>
                </c:pt>
                <c:pt idx="6">
                  <c:v>Not Acceptable </c:v>
                </c:pt>
                <c:pt idx="7">
                  <c:v>Not Applicable </c:v>
                </c:pt>
              </c:strCache>
            </c:strRef>
          </c:cat>
          <c:val>
            <c:numRef>
              <c:f>Metrics!$AN$23:$AN$30</c:f>
              <c:numCache>
                <c:formatCode>General</c:formatCode>
                <c:ptCount val="8"/>
                <c:pt idx="0">
                  <c:v>35</c:v>
                </c:pt>
                <c:pt idx="1">
                  <c:v>34</c:v>
                </c:pt>
                <c:pt idx="2">
                  <c:v>27</c:v>
                </c:pt>
                <c:pt idx="3">
                  <c:v>33</c:v>
                </c:pt>
                <c:pt idx="4">
                  <c:v>27</c:v>
                </c:pt>
                <c:pt idx="5">
                  <c:v>23</c:v>
                </c:pt>
                <c:pt idx="6">
                  <c:v>11</c:v>
                </c:pt>
                <c:pt idx="7">
                  <c:v>53</c:v>
                </c:pt>
              </c:numCache>
            </c:numRef>
          </c:val>
        </c:ser>
        <c:ser>
          <c:idx val="1"/>
          <c:order val="1"/>
          <c:tx>
            <c:strRef>
              <c:f>Metrics!$AO$21:$AO$22</c:f>
              <c:strCache>
                <c:ptCount val="1"/>
                <c:pt idx="0">
                  <c:v>BC Bio</c:v>
                </c:pt>
              </c:strCache>
            </c:strRef>
          </c:tx>
          <c:spPr>
            <a:ln w="12700">
              <a:solidFill>
                <a:schemeClr val="bg1">
                  <a:lumMod val="65000"/>
                </a:schemeClr>
              </a:solidFill>
            </a:ln>
            <a:scene3d>
              <a:camera prst="orthographicFront"/>
              <a:lightRig rig="threePt" dir="t"/>
            </a:scene3d>
            <a:sp3d>
              <a:bevelT w="165100" prst="coolSlant"/>
            </a:sp3d>
          </c:spPr>
          <c:dLbls>
            <c:spPr/>
            <c:txPr>
              <a:bodyPr/>
              <a:lstStyle/>
              <a:p>
                <a:pPr>
                  <a:defRPr/>
                </a:pPr>
                <a:endParaRPr lang="en-US"/>
              </a:p>
            </c:txPr>
            <c:dLblPos val="outEnd"/>
            <c:showLegendKey val="0"/>
            <c:showVal val="0"/>
            <c:showCatName val="0"/>
            <c:showSerName val="0"/>
            <c:showPercent val="1"/>
            <c:showBubbleSize val="0"/>
            <c:showLeaderLines val="1"/>
          </c:dLbls>
          <c:cat>
            <c:strRef>
              <c:f>Metrics!$AM$23:$AM$30</c:f>
              <c:strCache>
                <c:ptCount val="8"/>
                <c:pt idx="0">
                  <c:v>PET #1 </c:v>
                </c:pt>
                <c:pt idx="1">
                  <c:v>HDPE #2 </c:v>
                </c:pt>
                <c:pt idx="2">
                  <c:v>LDPE #4 </c:v>
                </c:pt>
                <c:pt idx="3">
                  <c:v>PP #5 </c:v>
                </c:pt>
                <c:pt idx="4">
                  <c:v>PS #6 </c:v>
                </c:pt>
                <c:pt idx="5">
                  <c:v>Other #7 </c:v>
                </c:pt>
                <c:pt idx="6">
                  <c:v>Not Acceptable </c:v>
                </c:pt>
                <c:pt idx="7">
                  <c:v>Not Applicable </c:v>
                </c:pt>
              </c:strCache>
            </c:strRef>
          </c:cat>
          <c:val>
            <c:numRef>
              <c:f>Metrics!$AO$23:$AO$30</c:f>
              <c:numCache>
                <c:formatCode>General</c:formatCode>
                <c:ptCount val="8"/>
                <c:pt idx="0">
                  <c:v>12</c:v>
                </c:pt>
                <c:pt idx="1">
                  <c:v>13</c:v>
                </c:pt>
                <c:pt idx="2">
                  <c:v>6</c:v>
                </c:pt>
                <c:pt idx="3">
                  <c:v>12</c:v>
                </c:pt>
                <c:pt idx="4">
                  <c:v>8</c:v>
                </c:pt>
                <c:pt idx="5">
                  <c:v>4</c:v>
                </c:pt>
                <c:pt idx="6">
                  <c:v>3</c:v>
                </c:pt>
                <c:pt idx="7">
                  <c:v>16</c:v>
                </c:pt>
              </c:numCache>
            </c:numRef>
          </c:val>
        </c:ser>
        <c:ser>
          <c:idx val="2"/>
          <c:order val="2"/>
          <c:tx>
            <c:strRef>
              <c:f>Metrics!$AP$21:$AP$22</c:f>
              <c:strCache>
                <c:ptCount val="1"/>
                <c:pt idx="0">
                  <c:v>BC LL</c:v>
                </c:pt>
              </c:strCache>
            </c:strRef>
          </c:tx>
          <c:spPr>
            <a:ln w="12700">
              <a:solidFill>
                <a:schemeClr val="bg1">
                  <a:lumMod val="65000"/>
                </a:schemeClr>
              </a:solidFill>
            </a:ln>
            <a:scene3d>
              <a:camera prst="orthographicFront"/>
              <a:lightRig rig="threePt" dir="t"/>
            </a:scene3d>
            <a:sp3d>
              <a:bevelT w="165100" prst="coolSlant"/>
            </a:sp3d>
          </c:spPr>
          <c:dLbls>
            <c:spPr/>
            <c:txPr>
              <a:bodyPr/>
              <a:lstStyle/>
              <a:p>
                <a:pPr>
                  <a:defRPr/>
                </a:pPr>
                <a:endParaRPr lang="en-US"/>
              </a:p>
            </c:txPr>
            <c:dLblPos val="outEnd"/>
            <c:showLegendKey val="0"/>
            <c:showVal val="0"/>
            <c:showCatName val="0"/>
            <c:showSerName val="0"/>
            <c:showPercent val="1"/>
            <c:showBubbleSize val="0"/>
            <c:showLeaderLines val="1"/>
          </c:dLbls>
          <c:cat>
            <c:strRef>
              <c:f>Metrics!$AM$23:$AM$30</c:f>
              <c:strCache>
                <c:ptCount val="8"/>
                <c:pt idx="0">
                  <c:v>PET #1 </c:v>
                </c:pt>
                <c:pt idx="1">
                  <c:v>HDPE #2 </c:v>
                </c:pt>
                <c:pt idx="2">
                  <c:v>LDPE #4 </c:v>
                </c:pt>
                <c:pt idx="3">
                  <c:v>PP #5 </c:v>
                </c:pt>
                <c:pt idx="4">
                  <c:v>PS #6 </c:v>
                </c:pt>
                <c:pt idx="5">
                  <c:v>Other #7 </c:v>
                </c:pt>
                <c:pt idx="6">
                  <c:v>Not Acceptable </c:v>
                </c:pt>
                <c:pt idx="7">
                  <c:v>Not Applicable </c:v>
                </c:pt>
              </c:strCache>
            </c:strRef>
          </c:cat>
          <c:val>
            <c:numRef>
              <c:f>Metrics!$AP$23:$AP$30</c:f>
              <c:numCache>
                <c:formatCode>General</c:formatCode>
                <c:ptCount val="8"/>
                <c:pt idx="0">
                  <c:v>23</c:v>
                </c:pt>
                <c:pt idx="1">
                  <c:v>21</c:v>
                </c:pt>
                <c:pt idx="2">
                  <c:v>21</c:v>
                </c:pt>
                <c:pt idx="3">
                  <c:v>21</c:v>
                </c:pt>
                <c:pt idx="4">
                  <c:v>19</c:v>
                </c:pt>
                <c:pt idx="5">
                  <c:v>19</c:v>
                </c:pt>
                <c:pt idx="6">
                  <c:v>8</c:v>
                </c:pt>
                <c:pt idx="7">
                  <c:v>37</c:v>
                </c:pt>
              </c:numCache>
            </c:numRef>
          </c:val>
        </c:ser>
        <c:ser>
          <c:idx val="3"/>
          <c:order val="3"/>
          <c:tx>
            <c:strRef>
              <c:f>Metrics!$AQ$21:$AQ$22</c:f>
              <c:strCache>
                <c:ptCount val="1"/>
                <c:pt idx="0">
                  <c:v>ON</c:v>
                </c:pt>
              </c:strCache>
            </c:strRef>
          </c:tx>
          <c:spPr>
            <a:ln w="12700">
              <a:solidFill>
                <a:schemeClr val="bg1">
                  <a:lumMod val="65000"/>
                </a:schemeClr>
              </a:solidFill>
            </a:ln>
            <a:scene3d>
              <a:camera prst="orthographicFront"/>
              <a:lightRig rig="threePt" dir="t"/>
            </a:scene3d>
            <a:sp3d>
              <a:bevelT w="165100" prst="coolSlant"/>
            </a:sp3d>
          </c:spPr>
          <c:dLbls>
            <c:spPr/>
            <c:txPr>
              <a:bodyPr/>
              <a:lstStyle/>
              <a:p>
                <a:pPr>
                  <a:defRPr/>
                </a:pPr>
                <a:endParaRPr lang="en-US"/>
              </a:p>
            </c:txPr>
            <c:dLblPos val="outEnd"/>
            <c:showLegendKey val="0"/>
            <c:showVal val="0"/>
            <c:showCatName val="0"/>
            <c:showSerName val="0"/>
            <c:showPercent val="1"/>
            <c:showBubbleSize val="0"/>
            <c:showLeaderLines val="1"/>
          </c:dLbls>
          <c:cat>
            <c:strRef>
              <c:f>Metrics!$AM$23:$AM$30</c:f>
              <c:strCache>
                <c:ptCount val="8"/>
                <c:pt idx="0">
                  <c:v>PET #1 </c:v>
                </c:pt>
                <c:pt idx="1">
                  <c:v>HDPE #2 </c:v>
                </c:pt>
                <c:pt idx="2">
                  <c:v>LDPE #4 </c:v>
                </c:pt>
                <c:pt idx="3">
                  <c:v>PP #5 </c:v>
                </c:pt>
                <c:pt idx="4">
                  <c:v>PS #6 </c:v>
                </c:pt>
                <c:pt idx="5">
                  <c:v>Other #7 </c:v>
                </c:pt>
                <c:pt idx="6">
                  <c:v>Not Acceptable </c:v>
                </c:pt>
                <c:pt idx="7">
                  <c:v>Not Applicable </c:v>
                </c:pt>
              </c:strCache>
            </c:strRef>
          </c:cat>
          <c:val>
            <c:numRef>
              <c:f>Metrics!$AQ$23:$AQ$30</c:f>
              <c:numCache>
                <c:formatCode>General</c:formatCode>
                <c:ptCount val="8"/>
                <c:pt idx="0">
                  <c:v>21</c:v>
                </c:pt>
                <c:pt idx="1">
                  <c:v>21</c:v>
                </c:pt>
                <c:pt idx="2">
                  <c:v>17</c:v>
                </c:pt>
                <c:pt idx="3">
                  <c:v>16</c:v>
                </c:pt>
                <c:pt idx="4">
                  <c:v>15</c:v>
                </c:pt>
                <c:pt idx="5">
                  <c:v>13</c:v>
                </c:pt>
                <c:pt idx="6">
                  <c:v>3</c:v>
                </c:pt>
                <c:pt idx="7">
                  <c:v>26</c:v>
                </c:pt>
              </c:numCache>
            </c:numRef>
          </c:val>
        </c:ser>
        <c:ser>
          <c:idx val="4"/>
          <c:order val="4"/>
          <c:tx>
            <c:strRef>
              <c:f>Metrics!$AR$21:$AR$22</c:f>
              <c:strCache>
                <c:ptCount val="1"/>
                <c:pt idx="0">
                  <c:v>CML</c:v>
                </c:pt>
              </c:strCache>
            </c:strRef>
          </c:tx>
          <c:spPr>
            <a:ln w="12700">
              <a:solidFill>
                <a:schemeClr val="bg1">
                  <a:lumMod val="65000"/>
                </a:schemeClr>
              </a:solidFill>
            </a:ln>
            <a:scene3d>
              <a:camera prst="orthographicFront"/>
              <a:lightRig rig="threePt" dir="t"/>
            </a:scene3d>
            <a:sp3d>
              <a:bevelT/>
            </a:sp3d>
          </c:spPr>
          <c:dLbls>
            <c:spPr/>
            <c:txPr>
              <a:bodyPr/>
              <a:lstStyle/>
              <a:p>
                <a:pPr>
                  <a:defRPr/>
                </a:pPr>
                <a:endParaRPr lang="en-US"/>
              </a:p>
            </c:txPr>
            <c:dLblPos val="outEnd"/>
            <c:showLegendKey val="0"/>
            <c:showVal val="0"/>
            <c:showCatName val="0"/>
            <c:showSerName val="0"/>
            <c:showPercent val="1"/>
            <c:showBubbleSize val="0"/>
            <c:showLeaderLines val="1"/>
          </c:dLbls>
          <c:cat>
            <c:strRef>
              <c:f>Metrics!$AM$23:$AM$30</c:f>
              <c:strCache>
                <c:ptCount val="8"/>
                <c:pt idx="0">
                  <c:v>PET #1 </c:v>
                </c:pt>
                <c:pt idx="1">
                  <c:v>HDPE #2 </c:v>
                </c:pt>
                <c:pt idx="2">
                  <c:v>LDPE #4 </c:v>
                </c:pt>
                <c:pt idx="3">
                  <c:v>PP #5 </c:v>
                </c:pt>
                <c:pt idx="4">
                  <c:v>PS #6 </c:v>
                </c:pt>
                <c:pt idx="5">
                  <c:v>Other #7 </c:v>
                </c:pt>
                <c:pt idx="6">
                  <c:v>Not Acceptable </c:v>
                </c:pt>
                <c:pt idx="7">
                  <c:v>Not Applicable </c:v>
                </c:pt>
              </c:strCache>
            </c:strRef>
          </c:cat>
          <c:val>
            <c:numRef>
              <c:f>Metrics!$AR$23:$AR$30</c:f>
              <c:numCache>
                <c:formatCode>General</c:formatCode>
                <c:ptCount val="8"/>
                <c:pt idx="0">
                  <c:v>5</c:v>
                </c:pt>
                <c:pt idx="1">
                  <c:v>6</c:v>
                </c:pt>
                <c:pt idx="2">
                  <c:v>4</c:v>
                </c:pt>
                <c:pt idx="3">
                  <c:v>5</c:v>
                </c:pt>
                <c:pt idx="4">
                  <c:v>4</c:v>
                </c:pt>
                <c:pt idx="5">
                  <c:v>3</c:v>
                </c:pt>
                <c:pt idx="6">
                  <c:v>1</c:v>
                </c:pt>
                <c:pt idx="7">
                  <c:v>8</c:v>
                </c:pt>
              </c:numCache>
            </c:numRef>
          </c:val>
        </c:ser>
        <c:ser>
          <c:idx val="5"/>
          <c:order val="5"/>
          <c:tx>
            <c:strRef>
              <c:f>Metrics!$AS$21:$AS$22</c:f>
              <c:strCache>
                <c:ptCount val="1"/>
                <c:pt idx="0">
                  <c:v>ON LL</c:v>
                </c:pt>
              </c:strCache>
            </c:strRef>
          </c:tx>
          <c:spPr>
            <a:ln w="12700">
              <a:solidFill>
                <a:schemeClr val="bg1">
                  <a:lumMod val="65000"/>
                </a:schemeClr>
              </a:solidFill>
            </a:ln>
            <a:scene3d>
              <a:camera prst="orthographicFront"/>
              <a:lightRig rig="threePt" dir="t"/>
            </a:scene3d>
            <a:sp3d>
              <a:bevelT w="114300" prst="artDeco"/>
            </a:sp3d>
          </c:spPr>
          <c:dLbls>
            <c:spPr/>
            <c:txPr>
              <a:bodyPr/>
              <a:lstStyle/>
              <a:p>
                <a:pPr>
                  <a:defRPr/>
                </a:pPr>
                <a:endParaRPr lang="en-US"/>
              </a:p>
            </c:txPr>
            <c:dLblPos val="outEnd"/>
            <c:showLegendKey val="0"/>
            <c:showVal val="0"/>
            <c:showCatName val="0"/>
            <c:showSerName val="0"/>
            <c:showPercent val="1"/>
            <c:showBubbleSize val="0"/>
            <c:showLeaderLines val="1"/>
          </c:dLbls>
          <c:cat>
            <c:strRef>
              <c:f>Metrics!$AM$23:$AM$30</c:f>
              <c:strCache>
                <c:ptCount val="8"/>
                <c:pt idx="0">
                  <c:v>PET #1 </c:v>
                </c:pt>
                <c:pt idx="1">
                  <c:v>HDPE #2 </c:v>
                </c:pt>
                <c:pt idx="2">
                  <c:v>LDPE #4 </c:v>
                </c:pt>
                <c:pt idx="3">
                  <c:v>PP #5 </c:v>
                </c:pt>
                <c:pt idx="4">
                  <c:v>PS #6 </c:v>
                </c:pt>
                <c:pt idx="5">
                  <c:v>Other #7 </c:v>
                </c:pt>
                <c:pt idx="6">
                  <c:v>Not Acceptable </c:v>
                </c:pt>
                <c:pt idx="7">
                  <c:v>Not Applicable </c:v>
                </c:pt>
              </c:strCache>
            </c:strRef>
          </c:cat>
          <c:val>
            <c:numRef>
              <c:f>Metrics!$AS$23:$AS$30</c:f>
              <c:numCache>
                <c:formatCode>General</c:formatCode>
                <c:ptCount val="8"/>
                <c:pt idx="0">
                  <c:v>16</c:v>
                </c:pt>
                <c:pt idx="1">
                  <c:v>15</c:v>
                </c:pt>
                <c:pt idx="2">
                  <c:v>13</c:v>
                </c:pt>
                <c:pt idx="3">
                  <c:v>11</c:v>
                </c:pt>
                <c:pt idx="4">
                  <c:v>11</c:v>
                </c:pt>
                <c:pt idx="5">
                  <c:v>10</c:v>
                </c:pt>
                <c:pt idx="6">
                  <c:v>2</c:v>
                </c:pt>
                <c:pt idx="7">
                  <c:v>18</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[Recycling Survey Metrics.xlsm]Metrics!PivotTable4</c:name>
    <c:fmtId val="0"/>
  </c:pivotSource>
  <c:chart>
    <c:title>
      <c:tx>
        <c:rich>
          <a:bodyPr/>
          <a:lstStyle/>
          <a:p>
            <a:pPr>
              <a:defRPr/>
            </a:pPr>
            <a:r>
              <a:rPr lang="en-US"/>
              <a:t>Performance/Status</a:t>
            </a:r>
          </a:p>
        </c:rich>
      </c:tx>
      <c:layout/>
      <c:overlay val="1"/>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spPr>
          <a:ln w="12700">
            <a:solidFill>
              <a:schemeClr val="tx1">
                <a:lumMod val="85000"/>
                <a:lumOff val="15000"/>
              </a:schemeClr>
            </a:solidFill>
          </a:ln>
        </c:spPr>
        <c:marker>
          <c:symbol val="none"/>
        </c:marker>
      </c:pivotFmt>
      <c:pivotFmt>
        <c:idx val="5"/>
        <c:spPr>
          <a:solidFill>
            <a:schemeClr val="accent2">
              <a:lumMod val="75000"/>
            </a:schemeClr>
          </a:solidFill>
          <a:ln w="12700">
            <a:solidFill>
              <a:schemeClr val="tx1">
                <a:lumMod val="85000"/>
                <a:lumOff val="15000"/>
              </a:schemeClr>
            </a:solidFill>
          </a:ln>
        </c:spPr>
        <c:marker>
          <c:symbol val="none"/>
        </c:marker>
      </c:pivotFmt>
      <c:pivotFmt>
        <c:idx val="6"/>
        <c:spPr>
          <a:solidFill>
            <a:schemeClr val="accent3">
              <a:lumMod val="60000"/>
              <a:lumOff val="40000"/>
            </a:schemeClr>
          </a:solidFill>
          <a:ln w="12700">
            <a:solidFill>
              <a:schemeClr val="tx1">
                <a:lumMod val="85000"/>
                <a:lumOff val="15000"/>
              </a:schemeClr>
            </a:solidFill>
          </a:ln>
        </c:spPr>
        <c:marker>
          <c:symbol val="none"/>
        </c:marker>
      </c:pivotFmt>
      <c:pivotFmt>
        <c:idx val="7"/>
        <c:spPr>
          <a:solidFill>
            <a:schemeClr val="accent4">
              <a:lumMod val="75000"/>
            </a:schemeClr>
          </a:solidFill>
          <a:ln w="12700">
            <a:solidFill>
              <a:schemeClr val="tx1">
                <a:lumMod val="85000"/>
                <a:lumOff val="15000"/>
              </a:schemeClr>
            </a:solidFill>
          </a:ln>
        </c:spPr>
        <c:marker>
          <c:symbol val="none"/>
        </c:marker>
      </c:pivotFmt>
      <c:pivotFmt>
        <c:idx val="8"/>
        <c:spPr>
          <a:solidFill>
            <a:schemeClr val="accent5">
              <a:lumMod val="60000"/>
              <a:lumOff val="40000"/>
            </a:schemeClr>
          </a:solidFill>
          <a:ln w="12700">
            <a:solidFill>
              <a:schemeClr val="tx1">
                <a:lumMod val="85000"/>
                <a:lumOff val="15000"/>
              </a:schemeClr>
            </a:solidFill>
          </a:ln>
        </c:spPr>
        <c:marker>
          <c:symbol val="none"/>
        </c:marker>
      </c:pivotFmt>
      <c:pivotFmt>
        <c:idx val="9"/>
        <c:spPr>
          <a:solidFill>
            <a:schemeClr val="accent6">
              <a:lumMod val="60000"/>
              <a:lumOff val="40000"/>
            </a:schemeClr>
          </a:solidFill>
          <a:ln w="12700">
            <a:solidFill>
              <a:schemeClr val="tx1">
                <a:lumMod val="85000"/>
                <a:lumOff val="15000"/>
              </a:schemeClr>
            </a:solidFill>
          </a:ln>
        </c:spPr>
        <c:marker>
          <c:symbol val="none"/>
        </c:marker>
      </c:pivotFmt>
    </c:pivotFmts>
    <c:plotArea>
      <c:layout>
        <c:manualLayout>
          <c:layoutTarget val="inner"/>
          <c:xMode val="edge"/>
          <c:yMode val="edge"/>
          <c:x val="6.1769210601533404E-2"/>
          <c:y val="0.18565981335666376"/>
          <c:w val="0.91201278282651133"/>
          <c:h val="0.58686533974919797"/>
        </c:manualLayout>
      </c:layout>
      <c:barChart>
        <c:barDir val="col"/>
        <c:grouping val="clustered"/>
        <c:varyColors val="0"/>
        <c:ser>
          <c:idx val="0"/>
          <c:order val="0"/>
          <c:tx>
            <c:strRef>
              <c:f>Metrics!$AN$43:$AN$44</c:f>
              <c:strCache>
                <c:ptCount val="1"/>
                <c:pt idx="0">
                  <c:v>BC</c:v>
                </c:pt>
              </c:strCache>
            </c:strRef>
          </c:tx>
          <c:spPr>
            <a:ln w="12700">
              <a:solidFill>
                <a:schemeClr val="tx1">
                  <a:lumMod val="85000"/>
                  <a:lumOff val="15000"/>
                </a:schemeClr>
              </a:solidFill>
            </a:ln>
          </c:spPr>
          <c:invertIfNegative val="0"/>
          <c:cat>
            <c:strRef>
              <c:f>Metrics!$AM$45:$AM$48</c:f>
              <c:strCache>
                <c:ptCount val="4"/>
                <c:pt idx="0">
                  <c:v>Complete </c:v>
                </c:pt>
                <c:pt idx="1">
                  <c:v>Meets Expectation </c:v>
                </c:pt>
                <c:pt idx="2">
                  <c:v>Partial </c:v>
                </c:pt>
                <c:pt idx="3">
                  <c:v>No Recycling Program </c:v>
                </c:pt>
              </c:strCache>
            </c:strRef>
          </c:cat>
          <c:val>
            <c:numRef>
              <c:f>Metrics!$AN$45:$AN$48</c:f>
              <c:numCache>
                <c:formatCode>General</c:formatCode>
                <c:ptCount val="4"/>
                <c:pt idx="0">
                  <c:v>23</c:v>
                </c:pt>
                <c:pt idx="1">
                  <c:v>27</c:v>
                </c:pt>
                <c:pt idx="2">
                  <c:v>43</c:v>
                </c:pt>
                <c:pt idx="3">
                  <c:v>11</c:v>
                </c:pt>
              </c:numCache>
            </c:numRef>
          </c:val>
        </c:ser>
        <c:ser>
          <c:idx val="1"/>
          <c:order val="1"/>
          <c:tx>
            <c:strRef>
              <c:f>Metrics!$AO$43:$AO$44</c:f>
              <c:strCache>
                <c:ptCount val="1"/>
                <c:pt idx="0">
                  <c:v>BC Bio</c:v>
                </c:pt>
              </c:strCache>
            </c:strRef>
          </c:tx>
          <c:spPr>
            <a:solidFill>
              <a:schemeClr val="accent2">
                <a:lumMod val="75000"/>
              </a:schemeClr>
            </a:solidFill>
            <a:ln w="12700">
              <a:solidFill>
                <a:schemeClr val="tx1">
                  <a:lumMod val="85000"/>
                  <a:lumOff val="15000"/>
                </a:schemeClr>
              </a:solidFill>
            </a:ln>
          </c:spPr>
          <c:invertIfNegative val="0"/>
          <c:cat>
            <c:strRef>
              <c:f>Metrics!$AM$45:$AM$48</c:f>
              <c:strCache>
                <c:ptCount val="4"/>
                <c:pt idx="0">
                  <c:v>Complete </c:v>
                </c:pt>
                <c:pt idx="1">
                  <c:v>Meets Expectation </c:v>
                </c:pt>
                <c:pt idx="2">
                  <c:v>Partial </c:v>
                </c:pt>
                <c:pt idx="3">
                  <c:v>No Recycling Program </c:v>
                </c:pt>
              </c:strCache>
            </c:strRef>
          </c:cat>
          <c:val>
            <c:numRef>
              <c:f>Metrics!$AO$45:$AO$48</c:f>
              <c:numCache>
                <c:formatCode>General</c:formatCode>
                <c:ptCount val="4"/>
                <c:pt idx="0">
                  <c:v>5</c:v>
                </c:pt>
                <c:pt idx="1">
                  <c:v>11</c:v>
                </c:pt>
                <c:pt idx="2">
                  <c:v>15</c:v>
                </c:pt>
                <c:pt idx="3">
                  <c:v>3</c:v>
                </c:pt>
              </c:numCache>
            </c:numRef>
          </c:val>
        </c:ser>
        <c:ser>
          <c:idx val="2"/>
          <c:order val="2"/>
          <c:tx>
            <c:strRef>
              <c:f>Metrics!$AP$43:$AP$44</c:f>
              <c:strCache>
                <c:ptCount val="1"/>
                <c:pt idx="0">
                  <c:v>BC LL</c:v>
                </c:pt>
              </c:strCache>
            </c:strRef>
          </c:tx>
          <c:spPr>
            <a:solidFill>
              <a:schemeClr val="accent3">
                <a:lumMod val="60000"/>
                <a:lumOff val="40000"/>
              </a:schemeClr>
            </a:solidFill>
            <a:ln w="12700">
              <a:solidFill>
                <a:schemeClr val="tx1">
                  <a:lumMod val="85000"/>
                  <a:lumOff val="15000"/>
                </a:schemeClr>
              </a:solidFill>
            </a:ln>
          </c:spPr>
          <c:invertIfNegative val="0"/>
          <c:cat>
            <c:strRef>
              <c:f>Metrics!$AM$45:$AM$48</c:f>
              <c:strCache>
                <c:ptCount val="4"/>
                <c:pt idx="0">
                  <c:v>Complete </c:v>
                </c:pt>
                <c:pt idx="1">
                  <c:v>Meets Expectation </c:v>
                </c:pt>
                <c:pt idx="2">
                  <c:v>Partial </c:v>
                </c:pt>
                <c:pt idx="3">
                  <c:v>No Recycling Program </c:v>
                </c:pt>
              </c:strCache>
            </c:strRef>
          </c:cat>
          <c:val>
            <c:numRef>
              <c:f>Metrics!$AP$45:$AP$48</c:f>
              <c:numCache>
                <c:formatCode>General</c:formatCode>
                <c:ptCount val="4"/>
                <c:pt idx="0">
                  <c:v>18</c:v>
                </c:pt>
                <c:pt idx="1">
                  <c:v>16</c:v>
                </c:pt>
                <c:pt idx="2">
                  <c:v>28</c:v>
                </c:pt>
                <c:pt idx="3">
                  <c:v>8</c:v>
                </c:pt>
              </c:numCache>
            </c:numRef>
          </c:val>
        </c:ser>
        <c:ser>
          <c:idx val="3"/>
          <c:order val="3"/>
          <c:tx>
            <c:strRef>
              <c:f>Metrics!$AQ$43:$AQ$44</c:f>
              <c:strCache>
                <c:ptCount val="1"/>
                <c:pt idx="0">
                  <c:v>ON</c:v>
                </c:pt>
              </c:strCache>
            </c:strRef>
          </c:tx>
          <c:spPr>
            <a:solidFill>
              <a:schemeClr val="accent4">
                <a:lumMod val="75000"/>
              </a:schemeClr>
            </a:solidFill>
            <a:ln w="12700">
              <a:solidFill>
                <a:schemeClr val="tx1">
                  <a:lumMod val="85000"/>
                  <a:lumOff val="15000"/>
                </a:schemeClr>
              </a:solidFill>
            </a:ln>
          </c:spPr>
          <c:invertIfNegative val="0"/>
          <c:cat>
            <c:strRef>
              <c:f>Metrics!$AM$45:$AM$48</c:f>
              <c:strCache>
                <c:ptCount val="4"/>
                <c:pt idx="0">
                  <c:v>Complete </c:v>
                </c:pt>
                <c:pt idx="1">
                  <c:v>Meets Expectation </c:v>
                </c:pt>
                <c:pt idx="2">
                  <c:v>Partial </c:v>
                </c:pt>
                <c:pt idx="3">
                  <c:v>No Recycling Program </c:v>
                </c:pt>
              </c:strCache>
            </c:strRef>
          </c:cat>
          <c:val>
            <c:numRef>
              <c:f>Metrics!$AQ$45:$AQ$48</c:f>
              <c:numCache>
                <c:formatCode>General</c:formatCode>
                <c:ptCount val="4"/>
                <c:pt idx="0">
                  <c:v>7</c:v>
                </c:pt>
                <c:pt idx="1">
                  <c:v>22</c:v>
                </c:pt>
                <c:pt idx="2">
                  <c:v>18</c:v>
                </c:pt>
                <c:pt idx="3">
                  <c:v>9</c:v>
                </c:pt>
              </c:numCache>
            </c:numRef>
          </c:val>
        </c:ser>
        <c:ser>
          <c:idx val="4"/>
          <c:order val="4"/>
          <c:tx>
            <c:strRef>
              <c:f>Metrics!$AR$43:$AR$44</c:f>
              <c:strCache>
                <c:ptCount val="1"/>
                <c:pt idx="0">
                  <c:v>CML</c:v>
                </c:pt>
              </c:strCache>
            </c:strRef>
          </c:tx>
          <c:spPr>
            <a:solidFill>
              <a:schemeClr val="accent5">
                <a:lumMod val="60000"/>
                <a:lumOff val="40000"/>
              </a:schemeClr>
            </a:solidFill>
            <a:ln w="12700">
              <a:solidFill>
                <a:schemeClr val="tx1">
                  <a:lumMod val="85000"/>
                  <a:lumOff val="15000"/>
                </a:schemeClr>
              </a:solidFill>
            </a:ln>
          </c:spPr>
          <c:invertIfNegative val="0"/>
          <c:cat>
            <c:strRef>
              <c:f>Metrics!$AM$45:$AM$48</c:f>
              <c:strCache>
                <c:ptCount val="4"/>
                <c:pt idx="0">
                  <c:v>Complete </c:v>
                </c:pt>
                <c:pt idx="1">
                  <c:v>Meets Expectation </c:v>
                </c:pt>
                <c:pt idx="2">
                  <c:v>Partial </c:v>
                </c:pt>
                <c:pt idx="3">
                  <c:v>No Recycling Program </c:v>
                </c:pt>
              </c:strCache>
            </c:strRef>
          </c:cat>
          <c:val>
            <c:numRef>
              <c:f>Metrics!$AR$45:$AR$48</c:f>
              <c:numCache>
                <c:formatCode>General</c:formatCode>
                <c:ptCount val="4"/>
                <c:pt idx="0">
                  <c:v>2</c:v>
                </c:pt>
                <c:pt idx="1">
                  <c:v>5</c:v>
                </c:pt>
                <c:pt idx="2">
                  <c:v>5</c:v>
                </c:pt>
                <c:pt idx="3">
                  <c:v>3</c:v>
                </c:pt>
              </c:numCache>
            </c:numRef>
          </c:val>
        </c:ser>
        <c:ser>
          <c:idx val="5"/>
          <c:order val="5"/>
          <c:tx>
            <c:strRef>
              <c:f>Metrics!$AS$43:$AS$44</c:f>
              <c:strCache>
                <c:ptCount val="1"/>
                <c:pt idx="0">
                  <c:v>ON LL</c:v>
                </c:pt>
              </c:strCache>
            </c:strRef>
          </c:tx>
          <c:spPr>
            <a:solidFill>
              <a:schemeClr val="accent6">
                <a:lumMod val="60000"/>
                <a:lumOff val="40000"/>
              </a:schemeClr>
            </a:solidFill>
            <a:ln w="12700">
              <a:solidFill>
                <a:schemeClr val="tx1">
                  <a:lumMod val="85000"/>
                  <a:lumOff val="15000"/>
                </a:schemeClr>
              </a:solidFill>
            </a:ln>
          </c:spPr>
          <c:invertIfNegative val="0"/>
          <c:cat>
            <c:strRef>
              <c:f>Metrics!$AM$45:$AM$48</c:f>
              <c:strCache>
                <c:ptCount val="4"/>
                <c:pt idx="0">
                  <c:v>Complete </c:v>
                </c:pt>
                <c:pt idx="1">
                  <c:v>Meets Expectation </c:v>
                </c:pt>
                <c:pt idx="2">
                  <c:v>Partial </c:v>
                </c:pt>
                <c:pt idx="3">
                  <c:v>No Recycling Program </c:v>
                </c:pt>
              </c:strCache>
            </c:strRef>
          </c:cat>
          <c:val>
            <c:numRef>
              <c:f>Metrics!$AS$45:$AS$48</c:f>
              <c:numCache>
                <c:formatCode>General</c:formatCode>
                <c:ptCount val="4"/>
                <c:pt idx="0">
                  <c:v>5</c:v>
                </c:pt>
                <c:pt idx="1">
                  <c:v>17</c:v>
                </c:pt>
                <c:pt idx="2">
                  <c:v>13</c:v>
                </c:pt>
                <c:pt idx="3">
                  <c:v>6</c:v>
                </c:pt>
              </c:numCache>
            </c:numRef>
          </c:val>
        </c:ser>
        <c:dLbls>
          <c:showLegendKey val="0"/>
          <c:showVal val="0"/>
          <c:showCatName val="0"/>
          <c:showSerName val="0"/>
          <c:showPercent val="0"/>
          <c:showBubbleSize val="0"/>
        </c:dLbls>
        <c:gapWidth val="150"/>
        <c:axId val="157863296"/>
        <c:axId val="157869184"/>
      </c:barChart>
      <c:catAx>
        <c:axId val="157863296"/>
        <c:scaling>
          <c:orientation val="minMax"/>
        </c:scaling>
        <c:delete val="0"/>
        <c:axPos val="b"/>
        <c:majorTickMark val="out"/>
        <c:minorTickMark val="none"/>
        <c:tickLblPos val="nextTo"/>
        <c:crossAx val="157869184"/>
        <c:crosses val="autoZero"/>
        <c:auto val="1"/>
        <c:lblAlgn val="ctr"/>
        <c:lblOffset val="100"/>
        <c:noMultiLvlLbl val="0"/>
      </c:catAx>
      <c:valAx>
        <c:axId val="157869184"/>
        <c:scaling>
          <c:orientation val="minMax"/>
        </c:scaling>
        <c:delete val="0"/>
        <c:axPos val="l"/>
        <c:numFmt formatCode="General" sourceLinked="1"/>
        <c:majorTickMark val="out"/>
        <c:minorTickMark val="none"/>
        <c:tickLblPos val="nextTo"/>
        <c:crossAx val="157863296"/>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[Recycling Survey Metrics.xlsm]Metrics!PivotTable4</c:name>
    <c:fmtId val="1"/>
  </c:pivotSource>
  <c:chart>
    <c:title>
      <c:tx>
        <c:rich>
          <a:bodyPr/>
          <a:lstStyle/>
          <a:p>
            <a:pPr>
              <a:defRPr/>
            </a:pPr>
            <a:r>
              <a:rPr lang="en-US"/>
              <a:t>Performance/Status</a:t>
            </a:r>
          </a:p>
        </c:rich>
      </c:tx>
      <c:layout/>
      <c:overlay val="0"/>
    </c:title>
    <c:autoTitleDeleted val="0"/>
    <c:pivotFmts>
      <c:pivotFmt>
        <c:idx val="0"/>
        <c:spPr>
          <a:ln w="12700">
            <a:solidFill>
              <a:schemeClr val="bg1">
                <a:lumMod val="65000"/>
              </a:schemeClr>
            </a:solidFill>
          </a:ln>
          <a:scene3d>
            <a:camera prst="orthographicFront"/>
            <a:lightRig rig="threePt" dir="t"/>
          </a:scene3d>
          <a:sp3d>
            <a:bevelT w="114300" prst="artDeco"/>
          </a:sp3d>
        </c:spPr>
        <c:marker>
          <c:symbol val="none"/>
        </c:marker>
        <c:dLbl>
          <c:idx val="0"/>
          <c:layout/>
          <c:spPr/>
          <c:txPr>
            <a:bodyPr/>
            <a:lstStyle/>
            <a:p>
              <a:pPr>
                <a:defRPr/>
              </a:pPr>
              <a:endParaRPr lang="en-US"/>
            </a:p>
          </c:txPr>
          <c:dLblPos val="outEnd"/>
          <c:showLegendKey val="0"/>
          <c:showVal val="0"/>
          <c:showCatName val="0"/>
          <c:showSerName val="0"/>
          <c:showPercent val="1"/>
          <c:showBubbleSize val="0"/>
        </c:dLbl>
      </c:pivotFmt>
      <c:pivotFmt>
        <c:idx val="1"/>
        <c:spPr>
          <a:ln w="12700">
            <a:solidFill>
              <a:schemeClr val="bg1">
                <a:lumMod val="65000"/>
              </a:schemeClr>
            </a:solidFill>
          </a:ln>
          <a:scene3d>
            <a:camera prst="orthographicFront"/>
            <a:lightRig rig="threePt" dir="t"/>
          </a:scene3d>
          <a:sp3d>
            <a:bevelT w="114300" prst="artDeco"/>
          </a:sp3d>
        </c:spPr>
        <c:marker>
          <c:symbol val="none"/>
        </c:marker>
        <c:dLbl>
          <c:idx val="0"/>
          <c:spPr/>
          <c:txPr>
            <a:bodyPr/>
            <a:lstStyle/>
            <a:p>
              <a:pPr>
                <a:defRPr/>
              </a:pPr>
              <a:endParaRPr lang="en-US"/>
            </a:p>
          </c:txPr>
          <c:dLblPos val="outEnd"/>
          <c:showLegendKey val="0"/>
          <c:showVal val="0"/>
          <c:showCatName val="0"/>
          <c:showSerName val="0"/>
          <c:showPercent val="1"/>
          <c:showBubbleSize val="0"/>
        </c:dLbl>
      </c:pivotFmt>
      <c:pivotFmt>
        <c:idx val="2"/>
        <c:spPr>
          <a:ln w="12700">
            <a:solidFill>
              <a:schemeClr val="bg1">
                <a:lumMod val="65000"/>
              </a:schemeClr>
            </a:solidFill>
          </a:ln>
          <a:scene3d>
            <a:camera prst="orthographicFront"/>
            <a:lightRig rig="threePt" dir="t"/>
          </a:scene3d>
          <a:sp3d>
            <a:bevelT w="114300" prst="artDeco"/>
          </a:sp3d>
        </c:spPr>
        <c:marker>
          <c:symbol val="none"/>
        </c:marker>
        <c:dLbl>
          <c:idx val="0"/>
          <c:spPr/>
          <c:txPr>
            <a:bodyPr/>
            <a:lstStyle/>
            <a:p>
              <a:pPr>
                <a:defRPr/>
              </a:pPr>
              <a:endParaRPr lang="en-US"/>
            </a:p>
          </c:txPr>
          <c:dLblPos val="outEnd"/>
          <c:showLegendKey val="0"/>
          <c:showVal val="0"/>
          <c:showCatName val="0"/>
          <c:showSerName val="0"/>
          <c:showPercent val="1"/>
          <c:showBubbleSize val="0"/>
        </c:dLbl>
      </c:pivotFmt>
      <c:pivotFmt>
        <c:idx val="3"/>
        <c:spPr>
          <a:ln w="12700">
            <a:solidFill>
              <a:schemeClr val="bg1">
                <a:lumMod val="65000"/>
              </a:schemeClr>
            </a:solidFill>
          </a:ln>
          <a:scene3d>
            <a:camera prst="orthographicFront"/>
            <a:lightRig rig="threePt" dir="t"/>
          </a:scene3d>
          <a:sp3d>
            <a:bevelT/>
          </a:sp3d>
        </c:spPr>
        <c:marker>
          <c:symbol val="none"/>
        </c:marker>
        <c:dLbl>
          <c:idx val="0"/>
          <c:spPr/>
          <c:txPr>
            <a:bodyPr/>
            <a:lstStyle/>
            <a:p>
              <a:pPr>
                <a:defRPr/>
              </a:pPr>
              <a:endParaRPr lang="en-US"/>
            </a:p>
          </c:txPr>
          <c:dLblPos val="outEnd"/>
          <c:showLegendKey val="0"/>
          <c:showVal val="0"/>
          <c:showCatName val="0"/>
          <c:showSerName val="0"/>
          <c:showPercent val="1"/>
          <c:showBubbleSize val="0"/>
        </c:dLbl>
      </c:pivotFmt>
      <c:pivotFmt>
        <c:idx val="4"/>
        <c:spPr>
          <a:ln w="12700">
            <a:solidFill>
              <a:schemeClr val="bg1">
                <a:lumMod val="65000"/>
              </a:schemeClr>
            </a:solidFill>
          </a:ln>
          <a:scene3d>
            <a:camera prst="orthographicFront"/>
            <a:lightRig rig="threePt" dir="t"/>
          </a:scene3d>
          <a:sp3d>
            <a:bevelT w="165100" prst="coolSlant"/>
          </a:sp3d>
        </c:spPr>
        <c:marker>
          <c:symbol val="none"/>
        </c:marker>
        <c:dLbl>
          <c:idx val="0"/>
          <c:spPr/>
          <c:txPr>
            <a:bodyPr/>
            <a:lstStyle/>
            <a:p>
              <a:pPr>
                <a:defRPr/>
              </a:pPr>
              <a:endParaRPr lang="en-US"/>
            </a:p>
          </c:txPr>
          <c:dLblPos val="outEnd"/>
          <c:showLegendKey val="0"/>
          <c:showVal val="0"/>
          <c:showCatName val="0"/>
          <c:showSerName val="0"/>
          <c:showPercent val="1"/>
          <c:showBubbleSize val="0"/>
        </c:dLbl>
      </c:pivotFmt>
      <c:pivotFmt>
        <c:idx val="5"/>
        <c:spPr>
          <a:ln w="12700">
            <a:solidFill>
              <a:schemeClr val="bg1">
                <a:lumMod val="65000"/>
              </a:schemeClr>
            </a:solidFill>
          </a:ln>
          <a:scene3d>
            <a:camera prst="orthographicFront"/>
            <a:lightRig rig="threePt" dir="t"/>
          </a:scene3d>
          <a:sp3d>
            <a:bevelT/>
          </a:sp3d>
        </c:spPr>
        <c:marker>
          <c:symbol val="none"/>
        </c:marker>
        <c:dLbl>
          <c:idx val="0"/>
          <c:spPr/>
          <c:txPr>
            <a:bodyPr/>
            <a:lstStyle/>
            <a:p>
              <a:pPr>
                <a:defRPr/>
              </a:pPr>
              <a:endParaRPr lang="en-US"/>
            </a:p>
          </c:txPr>
          <c:dLblPos val="outEnd"/>
          <c:showLegendKey val="0"/>
          <c:showVal val="0"/>
          <c:showCatName val="0"/>
          <c:showSerName val="0"/>
          <c:showPercent val="1"/>
          <c:showBubbleSize val="0"/>
        </c:dLbl>
      </c:pivotFmt>
    </c:pivotFmts>
    <c:plotArea>
      <c:layout/>
      <c:pieChart>
        <c:varyColors val="1"/>
        <c:ser>
          <c:idx val="0"/>
          <c:order val="0"/>
          <c:tx>
            <c:strRef>
              <c:f>Metrics!$AN$43:$AN$44</c:f>
              <c:strCache>
                <c:ptCount val="1"/>
                <c:pt idx="0">
                  <c:v>BC</c:v>
                </c:pt>
              </c:strCache>
            </c:strRef>
          </c:tx>
          <c:spPr>
            <a:ln w="12700">
              <a:solidFill>
                <a:schemeClr val="bg1">
                  <a:lumMod val="65000"/>
                </a:schemeClr>
              </a:solidFill>
            </a:ln>
            <a:scene3d>
              <a:camera prst="orthographicFront"/>
              <a:lightRig rig="threePt" dir="t"/>
            </a:scene3d>
            <a:sp3d>
              <a:bevelT w="114300" prst="artDeco"/>
            </a:sp3d>
          </c:spPr>
          <c:dLbls>
            <c:spPr/>
            <c:txPr>
              <a:bodyPr/>
              <a:lstStyle/>
              <a:p>
                <a:pPr>
                  <a:defRPr/>
                </a:pPr>
                <a:endParaRPr lang="en-US"/>
              </a:p>
            </c:txPr>
            <c:dLblPos val="outEnd"/>
            <c:showLegendKey val="0"/>
            <c:showVal val="0"/>
            <c:showCatName val="0"/>
            <c:showSerName val="0"/>
            <c:showPercent val="1"/>
            <c:showBubbleSize val="0"/>
            <c:showLeaderLines val="1"/>
          </c:dLbls>
          <c:cat>
            <c:strRef>
              <c:f>Metrics!$AM$45:$AM$48</c:f>
              <c:strCache>
                <c:ptCount val="4"/>
                <c:pt idx="0">
                  <c:v>Complete </c:v>
                </c:pt>
                <c:pt idx="1">
                  <c:v>Meets Expectation </c:v>
                </c:pt>
                <c:pt idx="2">
                  <c:v>Partial </c:v>
                </c:pt>
                <c:pt idx="3">
                  <c:v>No Recycling Program </c:v>
                </c:pt>
              </c:strCache>
            </c:strRef>
          </c:cat>
          <c:val>
            <c:numRef>
              <c:f>Metrics!$AN$45:$AN$48</c:f>
              <c:numCache>
                <c:formatCode>General</c:formatCode>
                <c:ptCount val="4"/>
                <c:pt idx="0">
                  <c:v>23</c:v>
                </c:pt>
                <c:pt idx="1">
                  <c:v>27</c:v>
                </c:pt>
                <c:pt idx="2">
                  <c:v>43</c:v>
                </c:pt>
                <c:pt idx="3">
                  <c:v>11</c:v>
                </c:pt>
              </c:numCache>
            </c:numRef>
          </c:val>
        </c:ser>
        <c:ser>
          <c:idx val="1"/>
          <c:order val="1"/>
          <c:tx>
            <c:strRef>
              <c:f>Metrics!$AO$43:$AO$44</c:f>
              <c:strCache>
                <c:ptCount val="1"/>
                <c:pt idx="0">
                  <c:v>BC Bio</c:v>
                </c:pt>
              </c:strCache>
            </c:strRef>
          </c:tx>
          <c:spPr>
            <a:ln w="12700">
              <a:solidFill>
                <a:schemeClr val="bg1">
                  <a:lumMod val="65000"/>
                </a:schemeClr>
              </a:solidFill>
            </a:ln>
            <a:scene3d>
              <a:camera prst="orthographicFront"/>
              <a:lightRig rig="threePt" dir="t"/>
            </a:scene3d>
            <a:sp3d>
              <a:bevelT w="114300" prst="artDeco"/>
            </a:sp3d>
          </c:spPr>
          <c:dLbls>
            <c:spPr/>
            <c:txPr>
              <a:bodyPr/>
              <a:lstStyle/>
              <a:p>
                <a:pPr>
                  <a:defRPr/>
                </a:pPr>
                <a:endParaRPr lang="en-US"/>
              </a:p>
            </c:txPr>
            <c:dLblPos val="outEnd"/>
            <c:showLegendKey val="0"/>
            <c:showVal val="0"/>
            <c:showCatName val="0"/>
            <c:showSerName val="0"/>
            <c:showPercent val="1"/>
            <c:showBubbleSize val="0"/>
            <c:showLeaderLines val="1"/>
          </c:dLbls>
          <c:cat>
            <c:strRef>
              <c:f>Metrics!$AM$45:$AM$48</c:f>
              <c:strCache>
                <c:ptCount val="4"/>
                <c:pt idx="0">
                  <c:v>Complete </c:v>
                </c:pt>
                <c:pt idx="1">
                  <c:v>Meets Expectation </c:v>
                </c:pt>
                <c:pt idx="2">
                  <c:v>Partial </c:v>
                </c:pt>
                <c:pt idx="3">
                  <c:v>No Recycling Program </c:v>
                </c:pt>
              </c:strCache>
            </c:strRef>
          </c:cat>
          <c:val>
            <c:numRef>
              <c:f>Metrics!$AO$45:$AO$48</c:f>
              <c:numCache>
                <c:formatCode>General</c:formatCode>
                <c:ptCount val="4"/>
                <c:pt idx="0">
                  <c:v>5</c:v>
                </c:pt>
                <c:pt idx="1">
                  <c:v>11</c:v>
                </c:pt>
                <c:pt idx="2">
                  <c:v>15</c:v>
                </c:pt>
                <c:pt idx="3">
                  <c:v>3</c:v>
                </c:pt>
              </c:numCache>
            </c:numRef>
          </c:val>
        </c:ser>
        <c:ser>
          <c:idx val="2"/>
          <c:order val="2"/>
          <c:tx>
            <c:strRef>
              <c:f>Metrics!$AP$43:$AP$44</c:f>
              <c:strCache>
                <c:ptCount val="1"/>
                <c:pt idx="0">
                  <c:v>BC LL</c:v>
                </c:pt>
              </c:strCache>
            </c:strRef>
          </c:tx>
          <c:spPr>
            <a:ln w="12700">
              <a:solidFill>
                <a:schemeClr val="bg1">
                  <a:lumMod val="65000"/>
                </a:schemeClr>
              </a:solidFill>
            </a:ln>
            <a:scene3d>
              <a:camera prst="orthographicFront"/>
              <a:lightRig rig="threePt" dir="t"/>
            </a:scene3d>
            <a:sp3d>
              <a:bevelT w="114300" prst="artDeco"/>
            </a:sp3d>
          </c:spPr>
          <c:dLbls>
            <c:spPr/>
            <c:txPr>
              <a:bodyPr/>
              <a:lstStyle/>
              <a:p>
                <a:pPr>
                  <a:defRPr/>
                </a:pPr>
                <a:endParaRPr lang="en-US"/>
              </a:p>
            </c:txPr>
            <c:dLblPos val="outEnd"/>
            <c:showLegendKey val="0"/>
            <c:showVal val="0"/>
            <c:showCatName val="0"/>
            <c:showSerName val="0"/>
            <c:showPercent val="1"/>
            <c:showBubbleSize val="0"/>
            <c:showLeaderLines val="1"/>
          </c:dLbls>
          <c:cat>
            <c:strRef>
              <c:f>Metrics!$AM$45:$AM$48</c:f>
              <c:strCache>
                <c:ptCount val="4"/>
                <c:pt idx="0">
                  <c:v>Complete </c:v>
                </c:pt>
                <c:pt idx="1">
                  <c:v>Meets Expectation </c:v>
                </c:pt>
                <c:pt idx="2">
                  <c:v>Partial </c:v>
                </c:pt>
                <c:pt idx="3">
                  <c:v>No Recycling Program </c:v>
                </c:pt>
              </c:strCache>
            </c:strRef>
          </c:cat>
          <c:val>
            <c:numRef>
              <c:f>Metrics!$AP$45:$AP$48</c:f>
              <c:numCache>
                <c:formatCode>General</c:formatCode>
                <c:ptCount val="4"/>
                <c:pt idx="0">
                  <c:v>18</c:v>
                </c:pt>
                <c:pt idx="1">
                  <c:v>16</c:v>
                </c:pt>
                <c:pt idx="2">
                  <c:v>28</c:v>
                </c:pt>
                <c:pt idx="3">
                  <c:v>8</c:v>
                </c:pt>
              </c:numCache>
            </c:numRef>
          </c:val>
        </c:ser>
        <c:ser>
          <c:idx val="3"/>
          <c:order val="3"/>
          <c:tx>
            <c:strRef>
              <c:f>Metrics!$AQ$43:$AQ$44</c:f>
              <c:strCache>
                <c:ptCount val="1"/>
                <c:pt idx="0">
                  <c:v>ON</c:v>
                </c:pt>
              </c:strCache>
            </c:strRef>
          </c:tx>
          <c:spPr>
            <a:ln w="12700">
              <a:solidFill>
                <a:schemeClr val="bg1">
                  <a:lumMod val="65000"/>
                </a:schemeClr>
              </a:solidFill>
            </a:ln>
            <a:scene3d>
              <a:camera prst="orthographicFront"/>
              <a:lightRig rig="threePt" dir="t"/>
            </a:scene3d>
            <a:sp3d>
              <a:bevelT/>
            </a:sp3d>
          </c:spPr>
          <c:dLbls>
            <c:spPr/>
            <c:txPr>
              <a:bodyPr/>
              <a:lstStyle/>
              <a:p>
                <a:pPr>
                  <a:defRPr/>
                </a:pPr>
                <a:endParaRPr lang="en-US"/>
              </a:p>
            </c:txPr>
            <c:dLblPos val="outEnd"/>
            <c:showLegendKey val="0"/>
            <c:showVal val="0"/>
            <c:showCatName val="0"/>
            <c:showSerName val="0"/>
            <c:showPercent val="1"/>
            <c:showBubbleSize val="0"/>
            <c:showLeaderLines val="1"/>
          </c:dLbls>
          <c:cat>
            <c:strRef>
              <c:f>Metrics!$AM$45:$AM$48</c:f>
              <c:strCache>
                <c:ptCount val="4"/>
                <c:pt idx="0">
                  <c:v>Complete </c:v>
                </c:pt>
                <c:pt idx="1">
                  <c:v>Meets Expectation </c:v>
                </c:pt>
                <c:pt idx="2">
                  <c:v>Partial </c:v>
                </c:pt>
                <c:pt idx="3">
                  <c:v>No Recycling Program </c:v>
                </c:pt>
              </c:strCache>
            </c:strRef>
          </c:cat>
          <c:val>
            <c:numRef>
              <c:f>Metrics!$AQ$45:$AQ$48</c:f>
              <c:numCache>
                <c:formatCode>General</c:formatCode>
                <c:ptCount val="4"/>
                <c:pt idx="0">
                  <c:v>7</c:v>
                </c:pt>
                <c:pt idx="1">
                  <c:v>22</c:v>
                </c:pt>
                <c:pt idx="2">
                  <c:v>18</c:v>
                </c:pt>
                <c:pt idx="3">
                  <c:v>9</c:v>
                </c:pt>
              </c:numCache>
            </c:numRef>
          </c:val>
        </c:ser>
        <c:ser>
          <c:idx val="4"/>
          <c:order val="4"/>
          <c:tx>
            <c:strRef>
              <c:f>Metrics!$AR$43:$AR$44</c:f>
              <c:strCache>
                <c:ptCount val="1"/>
                <c:pt idx="0">
                  <c:v>CML</c:v>
                </c:pt>
              </c:strCache>
            </c:strRef>
          </c:tx>
          <c:spPr>
            <a:ln w="12700">
              <a:solidFill>
                <a:schemeClr val="bg1">
                  <a:lumMod val="65000"/>
                </a:schemeClr>
              </a:solidFill>
            </a:ln>
            <a:scene3d>
              <a:camera prst="orthographicFront"/>
              <a:lightRig rig="threePt" dir="t"/>
            </a:scene3d>
            <a:sp3d>
              <a:bevelT w="165100" prst="coolSlant"/>
            </a:sp3d>
          </c:spPr>
          <c:dLbls>
            <c:spPr/>
            <c:txPr>
              <a:bodyPr/>
              <a:lstStyle/>
              <a:p>
                <a:pPr>
                  <a:defRPr/>
                </a:pPr>
                <a:endParaRPr lang="en-US"/>
              </a:p>
            </c:txPr>
            <c:dLblPos val="outEnd"/>
            <c:showLegendKey val="0"/>
            <c:showVal val="0"/>
            <c:showCatName val="0"/>
            <c:showSerName val="0"/>
            <c:showPercent val="1"/>
            <c:showBubbleSize val="0"/>
            <c:showLeaderLines val="1"/>
          </c:dLbls>
          <c:cat>
            <c:strRef>
              <c:f>Metrics!$AM$45:$AM$48</c:f>
              <c:strCache>
                <c:ptCount val="4"/>
                <c:pt idx="0">
                  <c:v>Complete </c:v>
                </c:pt>
                <c:pt idx="1">
                  <c:v>Meets Expectation </c:v>
                </c:pt>
                <c:pt idx="2">
                  <c:v>Partial </c:v>
                </c:pt>
                <c:pt idx="3">
                  <c:v>No Recycling Program </c:v>
                </c:pt>
              </c:strCache>
            </c:strRef>
          </c:cat>
          <c:val>
            <c:numRef>
              <c:f>Metrics!$AR$45:$AR$48</c:f>
              <c:numCache>
                <c:formatCode>General</c:formatCode>
                <c:ptCount val="4"/>
                <c:pt idx="0">
                  <c:v>2</c:v>
                </c:pt>
                <c:pt idx="1">
                  <c:v>5</c:v>
                </c:pt>
                <c:pt idx="2">
                  <c:v>5</c:v>
                </c:pt>
                <c:pt idx="3">
                  <c:v>3</c:v>
                </c:pt>
              </c:numCache>
            </c:numRef>
          </c:val>
        </c:ser>
        <c:ser>
          <c:idx val="5"/>
          <c:order val="5"/>
          <c:tx>
            <c:strRef>
              <c:f>Metrics!$AS$43:$AS$44</c:f>
              <c:strCache>
                <c:ptCount val="1"/>
                <c:pt idx="0">
                  <c:v>ON LL</c:v>
                </c:pt>
              </c:strCache>
            </c:strRef>
          </c:tx>
          <c:spPr>
            <a:ln w="12700">
              <a:solidFill>
                <a:schemeClr val="bg1">
                  <a:lumMod val="65000"/>
                </a:schemeClr>
              </a:solidFill>
            </a:ln>
            <a:scene3d>
              <a:camera prst="orthographicFront"/>
              <a:lightRig rig="threePt" dir="t"/>
            </a:scene3d>
            <a:sp3d>
              <a:bevelT/>
            </a:sp3d>
          </c:spPr>
          <c:dLbls>
            <c:spPr/>
            <c:txPr>
              <a:bodyPr/>
              <a:lstStyle/>
              <a:p>
                <a:pPr>
                  <a:defRPr/>
                </a:pPr>
                <a:endParaRPr lang="en-US"/>
              </a:p>
            </c:txPr>
            <c:dLblPos val="outEnd"/>
            <c:showLegendKey val="0"/>
            <c:showVal val="0"/>
            <c:showCatName val="0"/>
            <c:showSerName val="0"/>
            <c:showPercent val="1"/>
            <c:showBubbleSize val="0"/>
            <c:showLeaderLines val="1"/>
          </c:dLbls>
          <c:cat>
            <c:strRef>
              <c:f>Metrics!$AM$45:$AM$48</c:f>
              <c:strCache>
                <c:ptCount val="4"/>
                <c:pt idx="0">
                  <c:v>Complete </c:v>
                </c:pt>
                <c:pt idx="1">
                  <c:v>Meets Expectation </c:v>
                </c:pt>
                <c:pt idx="2">
                  <c:v>Partial </c:v>
                </c:pt>
                <c:pt idx="3">
                  <c:v>No Recycling Program </c:v>
                </c:pt>
              </c:strCache>
            </c:strRef>
          </c:cat>
          <c:val>
            <c:numRef>
              <c:f>Metrics!$AS$45:$AS$48</c:f>
              <c:numCache>
                <c:formatCode>General</c:formatCode>
                <c:ptCount val="4"/>
                <c:pt idx="0">
                  <c:v>5</c:v>
                </c:pt>
                <c:pt idx="1">
                  <c:v>17</c:v>
                </c:pt>
                <c:pt idx="2">
                  <c:v>13</c:v>
                </c:pt>
                <c:pt idx="3">
                  <c:v>6</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[Recycling Survey Metrics.xlsm]Metrics!PivotTable6</c:name>
    <c:fmtId val="0"/>
  </c:pivotSource>
  <c:chart>
    <c:title>
      <c:tx>
        <c:rich>
          <a:bodyPr/>
          <a:lstStyle/>
          <a:p>
            <a:pPr>
              <a:defRPr/>
            </a:pPr>
            <a:r>
              <a:rPr lang="en-US"/>
              <a:t>Performance/Status</a:t>
            </a:r>
          </a:p>
        </c:rich>
      </c:tx>
      <c:layout/>
      <c:overlay val="1"/>
    </c:title>
    <c:autoTitleDeleted val="0"/>
    <c:pivotFmts>
      <c:pivotFmt>
        <c:idx val="0"/>
        <c:marker>
          <c:symbol val="none"/>
        </c:marker>
      </c:pivotFmt>
      <c:pivotFmt>
        <c:idx val="1"/>
        <c:marker>
          <c:symbol val="none"/>
        </c:marker>
      </c:pivotFmt>
      <c:pivotFmt>
        <c:idx val="2"/>
        <c:marker>
          <c:symbol val="none"/>
        </c:marker>
      </c:pivotFmt>
      <c:pivotFmt>
        <c:idx val="3"/>
        <c:spPr>
          <a:solidFill>
            <a:schemeClr val="accent2">
              <a:lumMod val="60000"/>
              <a:lumOff val="40000"/>
            </a:schemeClr>
          </a:solidFill>
          <a:ln w="12700">
            <a:solidFill>
              <a:schemeClr val="tx1"/>
            </a:solidFill>
          </a:ln>
        </c:spPr>
        <c:marker>
          <c:symbol val="none"/>
        </c:marker>
        <c:dLbl>
          <c:idx val="0"/>
          <c:layout/>
          <c:spPr/>
          <c:txPr>
            <a:bodyPr/>
            <a:lstStyle/>
            <a:p>
              <a:pPr>
                <a:defRPr/>
              </a:pPr>
              <a:endParaRPr lang="en-US"/>
            </a:p>
          </c:txPr>
          <c:showLegendKey val="0"/>
          <c:showVal val="1"/>
          <c:showCatName val="0"/>
          <c:showSerName val="0"/>
          <c:showPercent val="0"/>
          <c:showBubbleSize val="0"/>
        </c:dLbl>
      </c:pivotFmt>
      <c:pivotFmt>
        <c:idx val="4"/>
        <c:spPr>
          <a:solidFill>
            <a:schemeClr val="accent5">
              <a:lumMod val="60000"/>
              <a:lumOff val="40000"/>
            </a:schemeClr>
          </a:solidFill>
          <a:ln w="12700">
            <a:solidFill>
              <a:schemeClr val="tx1"/>
            </a:solidFill>
          </a:ln>
        </c:spPr>
        <c:marker>
          <c:symbol val="none"/>
        </c:marker>
        <c:dLbl>
          <c:idx val="0"/>
          <c:layout/>
          <c:spPr/>
          <c:txPr>
            <a:bodyPr/>
            <a:lstStyle/>
            <a:p>
              <a:pPr>
                <a:defRPr/>
              </a:pPr>
              <a:endParaRPr lang="en-US"/>
            </a:p>
          </c:txPr>
          <c:showLegendKey val="0"/>
          <c:showVal val="1"/>
          <c:showCatName val="0"/>
          <c:showSerName val="0"/>
          <c:showPercent val="0"/>
          <c:showBubbleSize val="0"/>
        </c:dLbl>
      </c:pivotFmt>
      <c:pivotFmt>
        <c:idx val="5"/>
        <c:spPr>
          <a:solidFill>
            <a:schemeClr val="accent4">
              <a:lumMod val="60000"/>
              <a:lumOff val="40000"/>
            </a:schemeClr>
          </a:solidFill>
          <a:ln w="12700">
            <a:solidFill>
              <a:schemeClr val="tx1"/>
            </a:solidFill>
          </a:ln>
        </c:spPr>
        <c:marker>
          <c:symbol val="none"/>
        </c:marker>
        <c:dLbl>
          <c:idx val="0"/>
          <c:layout/>
          <c:spPr/>
          <c:txPr>
            <a:bodyPr/>
            <a:lstStyle/>
            <a:p>
              <a:pPr>
                <a:defRPr/>
              </a:pPr>
              <a:endParaRPr lang="en-US"/>
            </a:p>
          </c:txPr>
          <c:showLegendKey val="0"/>
          <c:showVal val="1"/>
          <c:showCatName val="0"/>
          <c:showSerName val="0"/>
          <c:showPercent val="0"/>
          <c:showBubbleSize val="0"/>
        </c:dLbl>
      </c:pivotFmt>
      <c:pivotFmt>
        <c:idx val="6"/>
        <c:spPr>
          <a:solidFill>
            <a:schemeClr val="accent4">
              <a:lumMod val="75000"/>
            </a:schemeClr>
          </a:solidFill>
          <a:ln w="12700">
            <a:solidFill>
              <a:schemeClr val="tx1"/>
            </a:solidFill>
          </a:ln>
        </c:spPr>
        <c:marker>
          <c:symbol val="none"/>
        </c:marker>
        <c:dLbl>
          <c:idx val="0"/>
          <c:layout/>
          <c:spPr/>
          <c:txPr>
            <a:bodyPr/>
            <a:lstStyle/>
            <a:p>
              <a:pPr>
                <a:defRPr/>
              </a:pPr>
              <a:endParaRPr lang="en-US"/>
            </a:p>
          </c:txPr>
          <c:showLegendKey val="0"/>
          <c:showVal val="1"/>
          <c:showCatName val="0"/>
          <c:showSerName val="0"/>
          <c:showPercent val="0"/>
          <c:showBubbleSize val="0"/>
        </c:dLbl>
      </c:pivotFmt>
      <c:pivotFmt>
        <c:idx val="7"/>
        <c:spPr>
          <a:solidFill>
            <a:schemeClr val="accent5">
              <a:lumMod val="60000"/>
              <a:lumOff val="40000"/>
            </a:schemeClr>
          </a:solidFill>
          <a:ln w="12700">
            <a:solidFill>
              <a:schemeClr val="tx1"/>
            </a:solidFill>
          </a:ln>
        </c:spPr>
        <c:marker>
          <c:symbol val="none"/>
        </c:marker>
        <c:dLbl>
          <c:idx val="0"/>
          <c:layout/>
          <c:spPr/>
          <c:txPr>
            <a:bodyPr/>
            <a:lstStyle/>
            <a:p>
              <a:pPr>
                <a:defRPr/>
              </a:pPr>
              <a:endParaRPr lang="en-US"/>
            </a:p>
          </c:txPr>
          <c:showLegendKey val="0"/>
          <c:showVal val="1"/>
          <c:showCatName val="0"/>
          <c:showSerName val="0"/>
          <c:showPercent val="0"/>
          <c:showBubbleSize val="0"/>
        </c:dLbl>
      </c:pivotFmt>
      <c:pivotFmt>
        <c:idx val="8"/>
        <c:spPr>
          <a:solidFill>
            <a:schemeClr val="accent6">
              <a:lumMod val="60000"/>
              <a:lumOff val="40000"/>
            </a:schemeClr>
          </a:solidFill>
          <a:ln w="12700">
            <a:solidFill>
              <a:schemeClr val="tx1"/>
            </a:solidFill>
          </a:ln>
        </c:spPr>
        <c:marker>
          <c:symbol val="none"/>
        </c:marker>
        <c:dLbl>
          <c:idx val="0"/>
          <c:layout/>
          <c:spPr/>
          <c:txPr>
            <a:bodyPr/>
            <a:lstStyle/>
            <a:p>
              <a:pPr>
                <a:defRPr/>
              </a:pPr>
              <a:endParaRPr lang="en-US"/>
            </a:p>
          </c:txPr>
          <c:showLegendKey val="0"/>
          <c:showVal val="1"/>
          <c:showCatName val="0"/>
          <c:showSerName val="0"/>
          <c:showPercent val="0"/>
          <c:showBubbleSize val="0"/>
        </c:dLbl>
      </c:pivotFmt>
    </c:pivotFmts>
    <c:plotArea>
      <c:layout>
        <c:manualLayout>
          <c:layoutTarget val="inner"/>
          <c:xMode val="edge"/>
          <c:yMode val="edge"/>
          <c:x val="7.1988407699037624E-2"/>
          <c:y val="0.17177092446777487"/>
          <c:w val="0.89745603674540686"/>
          <c:h val="0.48774460484106152"/>
        </c:manualLayout>
      </c:layout>
      <c:barChart>
        <c:barDir val="col"/>
        <c:grouping val="clustered"/>
        <c:varyColors val="0"/>
        <c:ser>
          <c:idx val="0"/>
          <c:order val="0"/>
          <c:tx>
            <c:strRef>
              <c:f>Metrics!$AN$53:$AN$54</c:f>
              <c:strCache>
                <c:ptCount val="1"/>
                <c:pt idx="0">
                  <c:v>BC</c:v>
                </c:pt>
              </c:strCache>
            </c:strRef>
          </c:tx>
          <c:spPr>
            <a:solidFill>
              <a:schemeClr val="accent2">
                <a:lumMod val="60000"/>
                <a:lumOff val="40000"/>
              </a:schemeClr>
            </a:solidFill>
            <a:ln w="12700">
              <a:solidFill>
                <a:schemeClr val="tx1"/>
              </a:solidFill>
            </a:ln>
          </c:spPr>
          <c:invertIfNegative val="0"/>
          <c:dLbls>
            <c:spPr/>
            <c:txPr>
              <a:bodyPr/>
              <a:lstStyle/>
              <a:p>
                <a:pPr>
                  <a:defRPr/>
                </a:pPr>
                <a:endParaRPr lang="en-US"/>
              </a:p>
            </c:txPr>
            <c:showLegendKey val="0"/>
            <c:showVal val="1"/>
            <c:showCatName val="0"/>
            <c:showSerName val="0"/>
            <c:showPercent val="0"/>
            <c:showBubbleSize val="0"/>
            <c:showLeaderLines val="0"/>
          </c:dLbls>
          <c:cat>
            <c:strRef>
              <c:f>Metrics!$AM$55:$AM$57</c:f>
              <c:strCache>
                <c:ptCount val="3"/>
                <c:pt idx="0">
                  <c:v>Meets Needs of Lifelabs and/or Regulatory Requirements </c:v>
                </c:pt>
                <c:pt idx="1">
                  <c:v>Incomplete Recycling Program </c:v>
                </c:pt>
                <c:pt idx="2">
                  <c:v>No Recycling </c:v>
                </c:pt>
              </c:strCache>
            </c:strRef>
          </c:cat>
          <c:val>
            <c:numRef>
              <c:f>Metrics!$AN$55:$AN$57</c:f>
              <c:numCache>
                <c:formatCode>General</c:formatCode>
                <c:ptCount val="3"/>
                <c:pt idx="0">
                  <c:v>50</c:v>
                </c:pt>
                <c:pt idx="1">
                  <c:v>44</c:v>
                </c:pt>
                <c:pt idx="2">
                  <c:v>11</c:v>
                </c:pt>
              </c:numCache>
            </c:numRef>
          </c:val>
        </c:ser>
        <c:ser>
          <c:idx val="1"/>
          <c:order val="1"/>
          <c:tx>
            <c:strRef>
              <c:f>Metrics!$AO$53:$AO$54</c:f>
              <c:strCache>
                <c:ptCount val="1"/>
                <c:pt idx="0">
                  <c:v>BC Bio</c:v>
                </c:pt>
              </c:strCache>
            </c:strRef>
          </c:tx>
          <c:spPr>
            <a:solidFill>
              <a:schemeClr val="accent5">
                <a:lumMod val="60000"/>
                <a:lumOff val="40000"/>
              </a:schemeClr>
            </a:solidFill>
            <a:ln w="12700">
              <a:solidFill>
                <a:schemeClr val="tx1"/>
              </a:solidFill>
            </a:ln>
          </c:spPr>
          <c:invertIfNegative val="0"/>
          <c:dLbls>
            <c:spPr/>
            <c:txPr>
              <a:bodyPr/>
              <a:lstStyle/>
              <a:p>
                <a:pPr>
                  <a:defRPr/>
                </a:pPr>
                <a:endParaRPr lang="en-US"/>
              </a:p>
            </c:txPr>
            <c:showLegendKey val="0"/>
            <c:showVal val="1"/>
            <c:showCatName val="0"/>
            <c:showSerName val="0"/>
            <c:showPercent val="0"/>
            <c:showBubbleSize val="0"/>
            <c:showLeaderLines val="0"/>
          </c:dLbls>
          <c:cat>
            <c:strRef>
              <c:f>Metrics!$AM$55:$AM$57</c:f>
              <c:strCache>
                <c:ptCount val="3"/>
                <c:pt idx="0">
                  <c:v>Meets Needs of Lifelabs and/or Regulatory Requirements </c:v>
                </c:pt>
                <c:pt idx="1">
                  <c:v>Incomplete Recycling Program </c:v>
                </c:pt>
                <c:pt idx="2">
                  <c:v>No Recycling </c:v>
                </c:pt>
              </c:strCache>
            </c:strRef>
          </c:cat>
          <c:val>
            <c:numRef>
              <c:f>Metrics!$AO$55:$AO$57</c:f>
              <c:numCache>
                <c:formatCode>General</c:formatCode>
                <c:ptCount val="3"/>
                <c:pt idx="0">
                  <c:v>16</c:v>
                </c:pt>
                <c:pt idx="1">
                  <c:v>11</c:v>
                </c:pt>
                <c:pt idx="2">
                  <c:v>3</c:v>
                </c:pt>
              </c:numCache>
            </c:numRef>
          </c:val>
        </c:ser>
        <c:ser>
          <c:idx val="2"/>
          <c:order val="2"/>
          <c:tx>
            <c:strRef>
              <c:f>Metrics!$AP$53:$AP$54</c:f>
              <c:strCache>
                <c:ptCount val="1"/>
                <c:pt idx="0">
                  <c:v>BC LL</c:v>
                </c:pt>
              </c:strCache>
            </c:strRef>
          </c:tx>
          <c:spPr>
            <a:solidFill>
              <a:schemeClr val="accent4">
                <a:lumMod val="60000"/>
                <a:lumOff val="40000"/>
              </a:schemeClr>
            </a:solidFill>
            <a:ln w="12700">
              <a:solidFill>
                <a:schemeClr val="tx1"/>
              </a:solidFill>
            </a:ln>
          </c:spPr>
          <c:invertIfNegative val="0"/>
          <c:dLbls>
            <c:spPr/>
            <c:txPr>
              <a:bodyPr/>
              <a:lstStyle/>
              <a:p>
                <a:pPr>
                  <a:defRPr/>
                </a:pPr>
                <a:endParaRPr lang="en-US"/>
              </a:p>
            </c:txPr>
            <c:showLegendKey val="0"/>
            <c:showVal val="1"/>
            <c:showCatName val="0"/>
            <c:showSerName val="0"/>
            <c:showPercent val="0"/>
            <c:showBubbleSize val="0"/>
            <c:showLeaderLines val="0"/>
          </c:dLbls>
          <c:cat>
            <c:strRef>
              <c:f>Metrics!$AM$55:$AM$57</c:f>
              <c:strCache>
                <c:ptCount val="3"/>
                <c:pt idx="0">
                  <c:v>Meets Needs of Lifelabs and/or Regulatory Requirements </c:v>
                </c:pt>
                <c:pt idx="1">
                  <c:v>Incomplete Recycling Program </c:v>
                </c:pt>
                <c:pt idx="2">
                  <c:v>No Recycling </c:v>
                </c:pt>
              </c:strCache>
            </c:strRef>
          </c:cat>
          <c:val>
            <c:numRef>
              <c:f>Metrics!$AP$55:$AP$57</c:f>
              <c:numCache>
                <c:formatCode>General</c:formatCode>
                <c:ptCount val="3"/>
                <c:pt idx="0">
                  <c:v>34</c:v>
                </c:pt>
                <c:pt idx="1">
                  <c:v>16</c:v>
                </c:pt>
                <c:pt idx="2">
                  <c:v>8</c:v>
                </c:pt>
              </c:numCache>
            </c:numRef>
          </c:val>
        </c:ser>
        <c:ser>
          <c:idx val="3"/>
          <c:order val="3"/>
          <c:tx>
            <c:strRef>
              <c:f>Metrics!$AQ$53:$AQ$54</c:f>
              <c:strCache>
                <c:ptCount val="1"/>
                <c:pt idx="0">
                  <c:v>ON</c:v>
                </c:pt>
              </c:strCache>
            </c:strRef>
          </c:tx>
          <c:spPr>
            <a:solidFill>
              <a:schemeClr val="accent4">
                <a:lumMod val="75000"/>
              </a:schemeClr>
            </a:solidFill>
            <a:ln w="12700">
              <a:solidFill>
                <a:schemeClr val="tx1"/>
              </a:solidFill>
            </a:ln>
          </c:spPr>
          <c:invertIfNegative val="0"/>
          <c:dLbls>
            <c:spPr/>
            <c:txPr>
              <a:bodyPr/>
              <a:lstStyle/>
              <a:p>
                <a:pPr>
                  <a:defRPr/>
                </a:pPr>
                <a:endParaRPr lang="en-US"/>
              </a:p>
            </c:txPr>
            <c:showLegendKey val="0"/>
            <c:showVal val="1"/>
            <c:showCatName val="0"/>
            <c:showSerName val="0"/>
            <c:showPercent val="0"/>
            <c:showBubbleSize val="0"/>
            <c:showLeaderLines val="0"/>
          </c:dLbls>
          <c:cat>
            <c:strRef>
              <c:f>Metrics!$AM$55:$AM$57</c:f>
              <c:strCache>
                <c:ptCount val="3"/>
                <c:pt idx="0">
                  <c:v>Meets Needs of Lifelabs and/or Regulatory Requirements </c:v>
                </c:pt>
                <c:pt idx="1">
                  <c:v>Incomplete Recycling Program </c:v>
                </c:pt>
                <c:pt idx="2">
                  <c:v>No Recycling </c:v>
                </c:pt>
              </c:strCache>
            </c:strRef>
          </c:cat>
          <c:val>
            <c:numRef>
              <c:f>Metrics!$AQ$55:$AQ$57</c:f>
              <c:numCache>
                <c:formatCode>General</c:formatCode>
                <c:ptCount val="3"/>
                <c:pt idx="0">
                  <c:v>29</c:v>
                </c:pt>
                <c:pt idx="1">
                  <c:v>22</c:v>
                </c:pt>
                <c:pt idx="2">
                  <c:v>9</c:v>
                </c:pt>
              </c:numCache>
            </c:numRef>
          </c:val>
        </c:ser>
        <c:ser>
          <c:idx val="4"/>
          <c:order val="4"/>
          <c:tx>
            <c:strRef>
              <c:f>Metrics!$AR$53:$AR$54</c:f>
              <c:strCache>
                <c:ptCount val="1"/>
                <c:pt idx="0">
                  <c:v>CML</c:v>
                </c:pt>
              </c:strCache>
            </c:strRef>
          </c:tx>
          <c:spPr>
            <a:solidFill>
              <a:schemeClr val="accent5">
                <a:lumMod val="60000"/>
                <a:lumOff val="40000"/>
              </a:schemeClr>
            </a:solidFill>
            <a:ln w="12700">
              <a:solidFill>
                <a:schemeClr val="tx1"/>
              </a:solidFill>
            </a:ln>
          </c:spPr>
          <c:invertIfNegative val="0"/>
          <c:dLbls>
            <c:spPr/>
            <c:txPr>
              <a:bodyPr/>
              <a:lstStyle/>
              <a:p>
                <a:pPr>
                  <a:defRPr/>
                </a:pPr>
                <a:endParaRPr lang="en-US"/>
              </a:p>
            </c:txPr>
            <c:showLegendKey val="0"/>
            <c:showVal val="1"/>
            <c:showCatName val="0"/>
            <c:showSerName val="0"/>
            <c:showPercent val="0"/>
            <c:showBubbleSize val="0"/>
            <c:showLeaderLines val="0"/>
          </c:dLbls>
          <c:cat>
            <c:strRef>
              <c:f>Metrics!$AM$55:$AM$57</c:f>
              <c:strCache>
                <c:ptCount val="3"/>
                <c:pt idx="0">
                  <c:v>Meets Needs of Lifelabs and/or Regulatory Requirements </c:v>
                </c:pt>
                <c:pt idx="1">
                  <c:v>Incomplete Recycling Program </c:v>
                </c:pt>
                <c:pt idx="2">
                  <c:v>No Recycling </c:v>
                </c:pt>
              </c:strCache>
            </c:strRef>
          </c:cat>
          <c:val>
            <c:numRef>
              <c:f>Metrics!$AR$55:$AR$57</c:f>
              <c:numCache>
                <c:formatCode>General</c:formatCode>
                <c:ptCount val="3"/>
                <c:pt idx="0">
                  <c:v>7</c:v>
                </c:pt>
                <c:pt idx="1">
                  <c:v>5</c:v>
                </c:pt>
                <c:pt idx="2">
                  <c:v>3</c:v>
                </c:pt>
              </c:numCache>
            </c:numRef>
          </c:val>
        </c:ser>
        <c:ser>
          <c:idx val="5"/>
          <c:order val="5"/>
          <c:tx>
            <c:strRef>
              <c:f>Metrics!$AS$53:$AS$54</c:f>
              <c:strCache>
                <c:ptCount val="1"/>
                <c:pt idx="0">
                  <c:v>ON LL</c:v>
                </c:pt>
              </c:strCache>
            </c:strRef>
          </c:tx>
          <c:spPr>
            <a:solidFill>
              <a:schemeClr val="accent6">
                <a:lumMod val="60000"/>
                <a:lumOff val="40000"/>
              </a:schemeClr>
            </a:solidFill>
            <a:ln w="12700">
              <a:solidFill>
                <a:schemeClr val="tx1"/>
              </a:solidFill>
            </a:ln>
          </c:spPr>
          <c:invertIfNegative val="0"/>
          <c:dLbls>
            <c:spPr/>
            <c:txPr>
              <a:bodyPr/>
              <a:lstStyle/>
              <a:p>
                <a:pPr>
                  <a:defRPr/>
                </a:pPr>
                <a:endParaRPr lang="en-US"/>
              </a:p>
            </c:txPr>
            <c:showLegendKey val="0"/>
            <c:showVal val="1"/>
            <c:showCatName val="0"/>
            <c:showSerName val="0"/>
            <c:showPercent val="0"/>
            <c:showBubbleSize val="0"/>
            <c:showLeaderLines val="0"/>
          </c:dLbls>
          <c:cat>
            <c:strRef>
              <c:f>Metrics!$AM$55:$AM$57</c:f>
              <c:strCache>
                <c:ptCount val="3"/>
                <c:pt idx="0">
                  <c:v>Meets Needs of Lifelabs and/or Regulatory Requirements </c:v>
                </c:pt>
                <c:pt idx="1">
                  <c:v>Incomplete Recycling Program </c:v>
                </c:pt>
                <c:pt idx="2">
                  <c:v>No Recycling </c:v>
                </c:pt>
              </c:strCache>
            </c:strRef>
          </c:cat>
          <c:val>
            <c:numRef>
              <c:f>Metrics!$AS$55:$AS$57</c:f>
              <c:numCache>
                <c:formatCode>General</c:formatCode>
                <c:ptCount val="3"/>
                <c:pt idx="0">
                  <c:v>22</c:v>
                </c:pt>
                <c:pt idx="1">
                  <c:v>17</c:v>
                </c:pt>
                <c:pt idx="2">
                  <c:v>6</c:v>
                </c:pt>
              </c:numCache>
            </c:numRef>
          </c:val>
        </c:ser>
        <c:dLbls>
          <c:showLegendKey val="0"/>
          <c:showVal val="0"/>
          <c:showCatName val="0"/>
          <c:showSerName val="0"/>
          <c:showPercent val="0"/>
          <c:showBubbleSize val="0"/>
        </c:dLbls>
        <c:gapWidth val="150"/>
        <c:axId val="157644672"/>
        <c:axId val="157646208"/>
      </c:barChart>
      <c:catAx>
        <c:axId val="157644672"/>
        <c:scaling>
          <c:orientation val="minMax"/>
        </c:scaling>
        <c:delete val="0"/>
        <c:axPos val="b"/>
        <c:majorTickMark val="out"/>
        <c:minorTickMark val="none"/>
        <c:tickLblPos val="nextTo"/>
        <c:crossAx val="157646208"/>
        <c:crosses val="autoZero"/>
        <c:auto val="1"/>
        <c:lblAlgn val="ctr"/>
        <c:lblOffset val="100"/>
        <c:noMultiLvlLbl val="0"/>
      </c:catAx>
      <c:valAx>
        <c:axId val="157646208"/>
        <c:scaling>
          <c:orientation val="minMax"/>
        </c:scaling>
        <c:delete val="0"/>
        <c:axPos val="l"/>
        <c:numFmt formatCode="General" sourceLinked="1"/>
        <c:majorTickMark val="out"/>
        <c:minorTickMark val="none"/>
        <c:tickLblPos val="nextTo"/>
        <c:crossAx val="157644672"/>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18</xdr:col>
      <xdr:colOff>137583</xdr:colOff>
      <xdr:row>0</xdr:row>
      <xdr:rowOff>179917</xdr:rowOff>
    </xdr:from>
    <xdr:to>
      <xdr:col>20</xdr:col>
      <xdr:colOff>560917</xdr:colOff>
      <xdr:row>1</xdr:row>
      <xdr:rowOff>222250</xdr:rowOff>
    </xdr:to>
    <xdr:sp macro="[0]!CommandButton1_Click" textlink="">
      <xdr:nvSpPr>
        <xdr:cNvPr id="2" name="TextBox 1"/>
        <xdr:cNvSpPr txBox="1"/>
      </xdr:nvSpPr>
      <xdr:spPr>
        <a:xfrm>
          <a:off x="21907500" y="179917"/>
          <a:ext cx="1651000" cy="476250"/>
        </a:xfrm>
        <a:prstGeom prst="rect">
          <a:avLst/>
        </a:prstGeom>
        <a:solidFill>
          <a:schemeClr val="accent5">
            <a:lumMod val="60000"/>
            <a:lumOff val="40000"/>
          </a:schemeClr>
        </a:solidFill>
        <a:ln w="12700" cmpd="sng">
          <a:solidFill>
            <a:schemeClr val="tx1">
              <a:lumMod val="95000"/>
              <a:lumOff val="5000"/>
            </a:schemeClr>
          </a:solidFill>
        </a:ln>
        <a:effectLst>
          <a:glow rad="63500">
            <a:schemeClr val="accent1">
              <a:satMod val="175000"/>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Update Data</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11</xdr:col>
      <xdr:colOff>142875</xdr:colOff>
      <xdr:row>42</xdr:row>
      <xdr:rowOff>238125</xdr:rowOff>
    </xdr:from>
    <xdr:to>
      <xdr:col>13</xdr:col>
      <xdr:colOff>409575</xdr:colOff>
      <xdr:row>46</xdr:row>
      <xdr:rowOff>28575</xdr:rowOff>
    </xdr:to>
    <mc:AlternateContent xmlns:mc="http://schemas.openxmlformats.org/markup-compatibility/2006" xmlns:a14="http://schemas.microsoft.com/office/drawing/2010/main">
      <mc:Choice Requires="a14">
        <xdr:graphicFrame macro="">
          <xdr:nvGraphicFramePr>
            <xdr:cNvPr id="23" name="Category 2"/>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9934575" y="8239125"/>
              <a:ext cx="1828800" cy="9429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142875</xdr:colOff>
      <xdr:row>22</xdr:row>
      <xdr:rowOff>95250</xdr:rowOff>
    </xdr:from>
    <xdr:to>
      <xdr:col>13</xdr:col>
      <xdr:colOff>409575</xdr:colOff>
      <xdr:row>26</xdr:row>
      <xdr:rowOff>47625</xdr:rowOff>
    </xdr:to>
    <mc:AlternateContent xmlns:mc="http://schemas.openxmlformats.org/markup-compatibility/2006" xmlns:a14="http://schemas.microsoft.com/office/drawing/2010/main">
      <mc:Choice Requires="a14">
        <xdr:graphicFrame macro="">
          <xdr:nvGraphicFramePr>
            <xdr:cNvPr id="22" name="Category 1"/>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9934575" y="4286250"/>
              <a:ext cx="1828800" cy="7143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114300</xdr:colOff>
      <xdr:row>4</xdr:row>
      <xdr:rowOff>171450</xdr:rowOff>
    </xdr:from>
    <xdr:to>
      <xdr:col>13</xdr:col>
      <xdr:colOff>381000</xdr:colOff>
      <xdr:row>9</xdr:row>
      <xdr:rowOff>38099</xdr:rowOff>
    </xdr:to>
    <mc:AlternateContent xmlns:mc="http://schemas.openxmlformats.org/markup-compatibility/2006" xmlns:a14="http://schemas.microsoft.com/office/drawing/2010/main">
      <mc:Choice Requires="a14">
        <xdr:graphicFrame macro="">
          <xdr:nvGraphicFramePr>
            <xdr:cNvPr id="21" name="Category"/>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906000" y="933450"/>
              <a:ext cx="1828800" cy="819149"/>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135591</xdr:colOff>
      <xdr:row>40</xdr:row>
      <xdr:rowOff>143436</xdr:rowOff>
    </xdr:from>
    <xdr:to>
      <xdr:col>21</xdr:col>
      <xdr:colOff>0</xdr:colOff>
      <xdr:row>42</xdr:row>
      <xdr:rowOff>302559</xdr:rowOff>
    </xdr:to>
    <mc:AlternateContent xmlns:mc="http://schemas.openxmlformats.org/markup-compatibility/2006" xmlns:a14="http://schemas.microsoft.com/office/drawing/2010/main">
      <mc:Choice Requires="a14">
        <xdr:graphicFrame macro="">
          <xdr:nvGraphicFramePr>
            <xdr:cNvPr id="17" name="Site 2"/>
            <xdr:cNvGraphicFramePr/>
          </xdr:nvGraphicFramePr>
          <xdr:xfrm>
            <a:off x="0" y="0"/>
            <a:ext cx="0" cy="0"/>
          </xdr:xfrm>
          <a:graphic>
            <a:graphicData uri="http://schemas.microsoft.com/office/drawing/2010/slicer">
              <sle:slicer xmlns:sle="http://schemas.microsoft.com/office/drawing/2010/slicer" name="Site 2"/>
            </a:graphicData>
          </a:graphic>
        </xdr:graphicFrame>
      </mc:Choice>
      <mc:Fallback xmlns="">
        <xdr:sp macro="" textlink="">
          <xdr:nvSpPr>
            <xdr:cNvPr id="0" name=""/>
            <xdr:cNvSpPr>
              <a:spLocks noTextEdit="1"/>
            </xdr:cNvSpPr>
          </xdr:nvSpPr>
          <xdr:spPr>
            <a:xfrm>
              <a:off x="8222316" y="7001436"/>
              <a:ext cx="5776633" cy="54012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159125</xdr:colOff>
      <xdr:row>2</xdr:row>
      <xdr:rowOff>66675</xdr:rowOff>
    </xdr:from>
    <xdr:to>
      <xdr:col>21</xdr:col>
      <xdr:colOff>0</xdr:colOff>
      <xdr:row>4</xdr:row>
      <xdr:rowOff>152399</xdr:rowOff>
    </xdr:to>
    <mc:AlternateContent xmlns:mc="http://schemas.openxmlformats.org/markup-compatibility/2006" xmlns:a14="http://schemas.microsoft.com/office/drawing/2010/main">
      <mc:Choice Requires="a14">
        <xdr:graphicFrame macro="">
          <xdr:nvGraphicFramePr>
            <xdr:cNvPr id="11" name="Site"/>
            <xdr:cNvGraphicFramePr/>
          </xdr:nvGraphicFramePr>
          <xdr:xfrm>
            <a:off x="0" y="0"/>
            <a:ext cx="0" cy="0"/>
          </xdr:xfrm>
          <a:graphic>
            <a:graphicData uri="http://schemas.microsoft.com/office/drawing/2010/slicer">
              <sle:slicer xmlns:sle="http://schemas.microsoft.com/office/drawing/2010/slicer" name="Site"/>
            </a:graphicData>
          </a:graphic>
        </xdr:graphicFrame>
      </mc:Choice>
      <mc:Fallback xmlns="">
        <xdr:sp macro="" textlink="">
          <xdr:nvSpPr>
            <xdr:cNvPr id="0" name=""/>
            <xdr:cNvSpPr>
              <a:spLocks noTextEdit="1"/>
            </xdr:cNvSpPr>
          </xdr:nvSpPr>
          <xdr:spPr>
            <a:xfrm>
              <a:off x="10903325" y="447675"/>
              <a:ext cx="5327275" cy="466724"/>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142875</xdr:colOff>
      <xdr:row>20</xdr:row>
      <xdr:rowOff>92321</xdr:rowOff>
    </xdr:from>
    <xdr:to>
      <xdr:col>20</xdr:col>
      <xdr:colOff>561975</xdr:colOff>
      <xdr:row>22</xdr:row>
      <xdr:rowOff>130421</xdr:rowOff>
    </xdr:to>
    <mc:AlternateContent xmlns:mc="http://schemas.openxmlformats.org/markup-compatibility/2006" xmlns:a14="http://schemas.microsoft.com/office/drawing/2010/main">
      <mc:Choice Requires="a14">
        <xdr:graphicFrame macro="">
          <xdr:nvGraphicFramePr>
            <xdr:cNvPr id="8" name="Site 1"/>
            <xdr:cNvGraphicFramePr/>
          </xdr:nvGraphicFramePr>
          <xdr:xfrm>
            <a:off x="0" y="0"/>
            <a:ext cx="0" cy="0"/>
          </xdr:xfrm>
          <a:graphic>
            <a:graphicData uri="http://schemas.microsoft.com/office/drawing/2010/slicer">
              <sle:slicer xmlns:sle="http://schemas.microsoft.com/office/drawing/2010/slicer" name="Site 1"/>
            </a:graphicData>
          </a:graphic>
        </xdr:graphicFrame>
      </mc:Choice>
      <mc:Fallback xmlns="">
        <xdr:sp macro="" textlink="">
          <xdr:nvSpPr>
            <xdr:cNvPr id="0" name=""/>
            <xdr:cNvSpPr>
              <a:spLocks noTextEdit="1"/>
            </xdr:cNvSpPr>
          </xdr:nvSpPr>
          <xdr:spPr>
            <a:xfrm>
              <a:off x="8229600" y="3521321"/>
              <a:ext cx="5295900" cy="41910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12</xdr:col>
      <xdr:colOff>190500</xdr:colOff>
      <xdr:row>66</xdr:row>
      <xdr:rowOff>133350</xdr:rowOff>
    </xdr:from>
    <xdr:to>
      <xdr:col>19</xdr:col>
      <xdr:colOff>495300</xdr:colOff>
      <xdr:row>78</xdr:row>
      <xdr:rowOff>9525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200025</xdr:colOff>
      <xdr:row>83</xdr:row>
      <xdr:rowOff>161925</xdr:rowOff>
    </xdr:from>
    <xdr:to>
      <xdr:col>19</xdr:col>
      <xdr:colOff>504825</xdr:colOff>
      <xdr:row>95</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190500</xdr:colOff>
      <xdr:row>101</xdr:row>
      <xdr:rowOff>28576</xdr:rowOff>
    </xdr:from>
    <xdr:to>
      <xdr:col>19</xdr:col>
      <xdr:colOff>495300</xdr:colOff>
      <xdr:row>112</xdr:row>
      <xdr:rowOff>161926</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190500</xdr:colOff>
      <xdr:row>118</xdr:row>
      <xdr:rowOff>109537</xdr:rowOff>
    </xdr:from>
    <xdr:to>
      <xdr:col>19</xdr:col>
      <xdr:colOff>495300</xdr:colOff>
      <xdr:row>130</xdr:row>
      <xdr:rowOff>38100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208448</xdr:colOff>
      <xdr:row>3</xdr:row>
      <xdr:rowOff>186230</xdr:rowOff>
    </xdr:from>
    <xdr:to>
      <xdr:col>28</xdr:col>
      <xdr:colOff>66672</xdr:colOff>
      <xdr:row>18</xdr:row>
      <xdr:rowOff>126546</xdr:rowOff>
    </xdr:to>
    <xdr:grpSp>
      <xdr:nvGrpSpPr>
        <xdr:cNvPr id="15" name="Group 14"/>
        <xdr:cNvGrpSpPr/>
      </xdr:nvGrpSpPr>
      <xdr:grpSpPr>
        <a:xfrm>
          <a:off x="10952648" y="757730"/>
          <a:ext cx="9611824" cy="2797816"/>
          <a:chOff x="10466514" y="3031788"/>
          <a:chExt cx="7280722" cy="2693755"/>
        </a:xfrm>
      </xdr:grpSpPr>
      <xdr:graphicFrame macro="">
        <xdr:nvGraphicFramePr>
          <xdr:cNvPr id="9" name="Chart 8"/>
          <xdr:cNvGraphicFramePr/>
        </xdr:nvGraphicFramePr>
        <xdr:xfrm>
          <a:off x="10466514" y="3031969"/>
          <a:ext cx="4062853" cy="268779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3" name="Chart 12"/>
          <xdr:cNvGraphicFramePr/>
        </xdr:nvGraphicFramePr>
        <xdr:xfrm>
          <a:off x="14522151" y="3031788"/>
          <a:ext cx="3225085" cy="2693755"/>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12</xdr:col>
      <xdr:colOff>209549</xdr:colOff>
      <xdr:row>22</xdr:row>
      <xdr:rowOff>21982</xdr:rowOff>
    </xdr:from>
    <xdr:to>
      <xdr:col>21</xdr:col>
      <xdr:colOff>89647</xdr:colOff>
      <xdr:row>36</xdr:row>
      <xdr:rowOff>145676</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78441</xdr:colOff>
      <xdr:row>22</xdr:row>
      <xdr:rowOff>21982</xdr:rowOff>
    </xdr:from>
    <xdr:to>
      <xdr:col>28</xdr:col>
      <xdr:colOff>89647</xdr:colOff>
      <xdr:row>36</xdr:row>
      <xdr:rowOff>145676</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207306</xdr:colOff>
      <xdr:row>42</xdr:row>
      <xdr:rowOff>74542</xdr:rowOff>
    </xdr:from>
    <xdr:to>
      <xdr:col>21</xdr:col>
      <xdr:colOff>89646</xdr:colOff>
      <xdr:row>56</xdr:row>
      <xdr:rowOff>68035</xdr:rowOff>
    </xdr:to>
    <xdr:graphicFrame macro="">
      <xdr:nvGraphicFramePr>
        <xdr:cNvPr id="16" name="Chart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402770</xdr:colOff>
      <xdr:row>42</xdr:row>
      <xdr:rowOff>74542</xdr:rowOff>
    </xdr:from>
    <xdr:to>
      <xdr:col>35</xdr:col>
      <xdr:colOff>423182</xdr:colOff>
      <xdr:row>56</xdr:row>
      <xdr:rowOff>66675</xdr:rowOff>
    </xdr:to>
    <xdr:graphicFrame macro="">
      <xdr:nvGraphicFramePr>
        <xdr:cNvPr id="18" name="Chart 1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21</xdr:col>
      <xdr:colOff>76200</xdr:colOff>
      <xdr:row>42</xdr:row>
      <xdr:rowOff>74542</xdr:rowOff>
    </xdr:from>
    <xdr:to>
      <xdr:col>28</xdr:col>
      <xdr:colOff>419100</xdr:colOff>
      <xdr:row>56</xdr:row>
      <xdr:rowOff>66675</xdr:rowOff>
    </xdr:to>
    <xdr:graphicFrame macro="">
      <xdr:nvGraphicFramePr>
        <xdr:cNvPr id="24" name="Chart 2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266700</xdr:colOff>
      <xdr:row>0</xdr:row>
      <xdr:rowOff>104775</xdr:rowOff>
    </xdr:from>
    <xdr:to>
      <xdr:col>15</xdr:col>
      <xdr:colOff>28575</xdr:colOff>
      <xdr:row>1</xdr:row>
      <xdr:rowOff>142875</xdr:rowOff>
    </xdr:to>
    <xdr:sp macro="[0]!ClearFilters" textlink="">
      <xdr:nvSpPr>
        <xdr:cNvPr id="25" name="TextBox 24"/>
        <xdr:cNvSpPr txBox="1"/>
      </xdr:nvSpPr>
      <xdr:spPr>
        <a:xfrm>
          <a:off x="11010900" y="104775"/>
          <a:ext cx="1590675" cy="228600"/>
        </a:xfrm>
        <a:prstGeom prst="rect">
          <a:avLst/>
        </a:prstGeom>
        <a:solidFill>
          <a:schemeClr val="accent4">
            <a:lumMod val="60000"/>
            <a:lumOff val="4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lumMod val="95000"/>
                </a:schemeClr>
              </a:solidFill>
            </a:rPr>
            <a:t>Clear All Filters</a:t>
          </a:r>
        </a:p>
      </xdr:txBody>
    </xdr:sp>
    <xdr:clientData/>
  </xdr:twoCellAnchor>
  <xdr:twoCellAnchor>
    <xdr:from>
      <xdr:col>15</xdr:col>
      <xdr:colOff>333376</xdr:colOff>
      <xdr:row>0</xdr:row>
      <xdr:rowOff>85725</xdr:rowOff>
    </xdr:from>
    <xdr:to>
      <xdr:col>17</xdr:col>
      <xdr:colOff>457200</xdr:colOff>
      <xdr:row>1</xdr:row>
      <xdr:rowOff>142875</xdr:rowOff>
    </xdr:to>
    <xdr:sp macro="[0]!TextBox9_Click" textlink="">
      <xdr:nvSpPr>
        <xdr:cNvPr id="10" name="TextBox 9"/>
        <xdr:cNvSpPr txBox="1"/>
      </xdr:nvSpPr>
      <xdr:spPr>
        <a:xfrm>
          <a:off x="12906376" y="85725"/>
          <a:ext cx="1343024" cy="247650"/>
        </a:xfrm>
        <a:prstGeom prst="rect">
          <a:avLst/>
        </a:prstGeom>
        <a:solidFill>
          <a:schemeClr val="accent5">
            <a:lumMod val="60000"/>
            <a:lumOff val="40000"/>
          </a:schemeClr>
        </a:solidFill>
        <a:ln w="12700"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Update Graphs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cycling%20Survey.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RHun/AppData/Local/Microsoft/Windows/Temporary%20Internet%20Files/Content.Outlook/LAQMI39Z/Copy%20of%20Landlord%20Contact%20Report%20September%202015%20BC%20from%20Rose%20Santell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
      <sheetName val="Tracker"/>
      <sheetName val="List"/>
    </sheetNames>
    <sheetDataSet>
      <sheetData sheetId="0"/>
      <sheetData sheetId="1"/>
      <sheetData sheetId="2">
        <row r="1">
          <cell r="A1" t="str">
            <v>Plastic</v>
          </cell>
        </row>
        <row r="2">
          <cell r="A2" t="str">
            <v>Glass Bottles</v>
          </cell>
        </row>
        <row r="3">
          <cell r="A3" t="str">
            <v xml:space="preserve">Mixed Paper </v>
          </cell>
        </row>
        <row r="4">
          <cell r="A4" t="str">
            <v>Cardboard</v>
          </cell>
        </row>
        <row r="5">
          <cell r="A5" t="str">
            <v>Metal Can</v>
          </cell>
        </row>
        <row r="6">
          <cell r="A6" t="str">
            <v>Organic Disposals</v>
          </cell>
        </row>
        <row r="7">
          <cell r="A7" t="str">
            <v>Not Available</v>
          </cell>
        </row>
        <row r="10">
          <cell r="A10" t="str">
            <v>PET #1</v>
          </cell>
        </row>
        <row r="11">
          <cell r="A11" t="str">
            <v>HDPE #2</v>
          </cell>
        </row>
        <row r="12">
          <cell r="A12" t="str">
            <v>LDPE #4</v>
          </cell>
        </row>
        <row r="13">
          <cell r="A13" t="str">
            <v>PP #5</v>
          </cell>
        </row>
        <row r="14">
          <cell r="A14" t="str">
            <v>PS #6</v>
          </cell>
        </row>
        <row r="15">
          <cell r="A15" t="str">
            <v>Other #7</v>
          </cell>
        </row>
        <row r="16">
          <cell r="A16" t="str">
            <v>Not Acceptable</v>
          </cell>
        </row>
        <row r="17">
          <cell r="A17" t="str">
            <v>Not Applicable</v>
          </cell>
        </row>
        <row r="22">
          <cell r="A22" t="str">
            <v>Abbotsford-103-2151 McCallum Rd.</v>
          </cell>
        </row>
        <row r="23">
          <cell r="A23" t="str">
            <v>Abbotsford-201-32475 Simon Avenue</v>
          </cell>
        </row>
        <row r="24">
          <cell r="A24" t="str">
            <v>Abbotsford-207-2825 Clearbrook Rd</v>
          </cell>
        </row>
        <row r="25">
          <cell r="A25" t="str">
            <v>Agassiz-1-7069 Cheam Ave.</v>
          </cell>
        </row>
        <row r="26">
          <cell r="A26" t="str">
            <v>Aldergrove-27127 Fraser Hwy</v>
          </cell>
        </row>
        <row r="27">
          <cell r="A27" t="str">
            <v>Alliston-180 Parsons Rd</v>
          </cell>
        </row>
        <row r="28">
          <cell r="A28" t="str">
            <v>Almonte-95 Spring St.</v>
          </cell>
        </row>
        <row r="29">
          <cell r="A29" t="str">
            <v>Ancaster-323 Wilson St E</v>
          </cell>
        </row>
        <row r="30">
          <cell r="A30" t="str">
            <v>Aurora-15017 Yonge St</v>
          </cell>
        </row>
        <row r="31">
          <cell r="A31" t="str">
            <v>Aurora-372 Hollandview</v>
          </cell>
        </row>
        <row r="32">
          <cell r="A32" t="str">
            <v>B01-40 SHELLINGTON PSC (5720.06587)</v>
          </cell>
        </row>
        <row r="33">
          <cell r="A33" t="str">
            <v>B18 Doctors Orders</v>
          </cell>
        </row>
        <row r="34">
          <cell r="A34" t="str">
            <v>B20- 590 NORTH RD PSC (5720.05776)</v>
          </cell>
        </row>
        <row r="35">
          <cell r="A35" t="str">
            <v>Bancroft-68 Hastings Street</v>
          </cell>
        </row>
        <row r="36">
          <cell r="A36" t="str">
            <v>Barrie - 480 Huronia Road</v>
          </cell>
        </row>
        <row r="37">
          <cell r="A37" t="str">
            <v>Barrie-1 Quarry Ridge Rd</v>
          </cell>
        </row>
        <row r="38">
          <cell r="A38" t="str">
            <v>Barrie-11 Lakeside Terrace</v>
          </cell>
        </row>
        <row r="39">
          <cell r="A39" t="str">
            <v>Barrie-121 Wellington St W</v>
          </cell>
        </row>
        <row r="40">
          <cell r="A40" t="str">
            <v>Belleville - 51 Adam Street</v>
          </cell>
        </row>
        <row r="41">
          <cell r="A41" t="str">
            <v>Belleville-210 Dundas St</v>
          </cell>
        </row>
        <row r="42">
          <cell r="A42" t="str">
            <v>Brampton-18 Kensington Blvd</v>
          </cell>
        </row>
        <row r="43">
          <cell r="A43" t="str">
            <v>Brockville-2211 Parkedale</v>
          </cell>
        </row>
        <row r="44">
          <cell r="A44" t="str">
            <v>Burlington-3155 Harvester Rd</v>
          </cell>
        </row>
        <row r="45">
          <cell r="A45" t="str">
            <v>Burnaby-#103 - 4012 E Hastings St</v>
          </cell>
        </row>
        <row r="46">
          <cell r="A46" t="str">
            <v>Burnaby-#104-7885 6th St</v>
          </cell>
        </row>
        <row r="47">
          <cell r="A47" t="str">
            <v>Burnaby-#201-4980 Kingsway</v>
          </cell>
        </row>
        <row r="48">
          <cell r="A48" t="str">
            <v>Burnaby-203-6542 E Hastings St.</v>
          </cell>
        </row>
        <row r="49">
          <cell r="A49" t="str">
            <v>Burnaby-324 S Gilmor Ave</v>
          </cell>
        </row>
        <row r="50">
          <cell r="A50" t="str">
            <v>Burnaby-3680 Gilmore Way</v>
          </cell>
        </row>
        <row r="51">
          <cell r="A51" t="str">
            <v>Burnaby-3965 Kingsway</v>
          </cell>
        </row>
        <row r="52">
          <cell r="A52" t="str">
            <v>Calgary-32 Royal Vista Drive NW</v>
          </cell>
        </row>
        <row r="53">
          <cell r="A53" t="str">
            <v>Cambridge - 350 Conestoga Blvd.</v>
          </cell>
        </row>
        <row r="54">
          <cell r="A54" t="str">
            <v>Cambridge- 697 Coronation Blvd</v>
          </cell>
        </row>
        <row r="55">
          <cell r="A55" t="str">
            <v>Campbell River-465 Merecroft Road</v>
          </cell>
        </row>
        <row r="56">
          <cell r="A56" t="str">
            <v>CFB Borden - El Alamein St</v>
          </cell>
        </row>
        <row r="57">
          <cell r="A57" t="str">
            <v>Chatham-857 Grand Ave W</v>
          </cell>
        </row>
        <row r="58">
          <cell r="A58" t="str">
            <v>Chilliwack-8236 Eagle Landing Parkway</v>
          </cell>
        </row>
        <row r="59">
          <cell r="A59" t="str">
            <v>Cobourg-1060 Burnham Street, Unit 4</v>
          </cell>
        </row>
        <row r="60">
          <cell r="A60" t="str">
            <v>Cobourg-316 King St</v>
          </cell>
        </row>
        <row r="61">
          <cell r="A61" t="str">
            <v>Collingwood-186 Erie St</v>
          </cell>
        </row>
        <row r="62">
          <cell r="A62" t="str">
            <v>Coquitlam-# 106 - 1015 Austin Ave</v>
          </cell>
        </row>
        <row r="63">
          <cell r="A63" t="str">
            <v>Coquitlam-208-3001 Gordon Ave.</v>
          </cell>
        </row>
        <row r="64">
          <cell r="A64" t="str">
            <v>Coquitlam-3030 Lincoln Ave</v>
          </cell>
        </row>
        <row r="65">
          <cell r="A65" t="str">
            <v>Coquitlam-313-1194 Lansdowne Drive</v>
          </cell>
        </row>
        <row r="66">
          <cell r="A66" t="str">
            <v>Coquitlam-Suite R - 435 North Rd</v>
          </cell>
        </row>
        <row r="67">
          <cell r="A67" t="str">
            <v>Cornwall-820 McConnell Ave</v>
          </cell>
        </row>
        <row r="68">
          <cell r="A68" t="str">
            <v>Courtenay-1599 Cliffe Ave</v>
          </cell>
        </row>
        <row r="69">
          <cell r="A69" t="str">
            <v>DawsonCreek-103rd Ave</v>
          </cell>
        </row>
        <row r="70">
          <cell r="A70" t="str">
            <v>Delta-1077 56th St</v>
          </cell>
        </row>
        <row r="71">
          <cell r="A71" t="str">
            <v>Delta-122 – 6345 – 120th Street</v>
          </cell>
        </row>
        <row r="72">
          <cell r="A72" t="str">
            <v>Delta-201 – 8425 120th Street</v>
          </cell>
        </row>
        <row r="73">
          <cell r="A73" t="str">
            <v>Delta-4515 Harvest Dr</v>
          </cell>
        </row>
        <row r="74">
          <cell r="A74" t="str">
            <v>Duncan-149 Ingram St</v>
          </cell>
        </row>
        <row r="75">
          <cell r="A75" t="str">
            <v>Duncan-186 Kenneth St</v>
          </cell>
        </row>
        <row r="76">
          <cell r="A76" t="str">
            <v>Dundas - 60 Hatt St.</v>
          </cell>
        </row>
        <row r="77">
          <cell r="A77" t="str">
            <v>Dundas-16 Cross Street</v>
          </cell>
        </row>
        <row r="78">
          <cell r="A78" t="str">
            <v>Etobicoke-190 Sherway Dr</v>
          </cell>
        </row>
        <row r="79">
          <cell r="A79" t="str">
            <v>Etobicoke-400 East Mall</v>
          </cell>
        </row>
        <row r="80">
          <cell r="A80" t="str">
            <v>Fergus - 245 Union St.</v>
          </cell>
        </row>
        <row r="81">
          <cell r="A81" t="str">
            <v>Fort Erie-214 Jarvis St</v>
          </cell>
        </row>
        <row r="82">
          <cell r="A82" t="str">
            <v>Fort Frances-301 Victoria Ave</v>
          </cell>
        </row>
        <row r="83">
          <cell r="A83" t="str">
            <v>Georgetown-1A Princess Ann Dr</v>
          </cell>
        </row>
        <row r="84">
          <cell r="A84" t="str">
            <v>Gibsons-821 Highway 101</v>
          </cell>
        </row>
        <row r="85">
          <cell r="A85" t="str">
            <v>Guelph-281 Stone Rd</v>
          </cell>
        </row>
        <row r="86">
          <cell r="A86" t="str">
            <v>Guelph-85 Norfolk St</v>
          </cell>
        </row>
        <row r="87">
          <cell r="A87" t="str">
            <v>Haliburton-7217 Gelert Rd</v>
          </cell>
        </row>
        <row r="88">
          <cell r="A88" t="str">
            <v>Hamilton - 216 West St., Simcoe</v>
          </cell>
        </row>
        <row r="89">
          <cell r="A89" t="str">
            <v>Hamilton - 989 Fennell Ave.</v>
          </cell>
        </row>
        <row r="90">
          <cell r="A90" t="str">
            <v>Hamilton-206 James St S</v>
          </cell>
        </row>
        <row r="91">
          <cell r="A91" t="str">
            <v>Hamilton-280 Queenston Rd.</v>
          </cell>
        </row>
        <row r="92">
          <cell r="A92" t="str">
            <v>Kamloops-321 Nicola St</v>
          </cell>
        </row>
        <row r="93">
          <cell r="A93" t="str">
            <v>Kamloops-405A Tranquille Rd</v>
          </cell>
        </row>
        <row r="94">
          <cell r="A94" t="str">
            <v>Kamloops-546 St Paul</v>
          </cell>
        </row>
        <row r="95">
          <cell r="A95" t="str">
            <v>Kenora-45 Wolsey St.</v>
          </cell>
        </row>
        <row r="96">
          <cell r="A96" t="str">
            <v>Kimberley BC - 260 4th Ave</v>
          </cell>
        </row>
        <row r="97">
          <cell r="A97" t="str">
            <v>Kingston - 255 Bagot St.</v>
          </cell>
        </row>
        <row r="98">
          <cell r="A98" t="str">
            <v>Kingston-1473 John Counter Blvd</v>
          </cell>
        </row>
        <row r="99">
          <cell r="A99" t="str">
            <v>Kingston-791 Princess Street</v>
          </cell>
        </row>
        <row r="100">
          <cell r="A100" t="str">
            <v>Kitchener - 751 King St. W.</v>
          </cell>
        </row>
        <row r="101">
          <cell r="A101" t="str">
            <v>Kitchener-200 Lorraine Ave</v>
          </cell>
        </row>
        <row r="102">
          <cell r="A102" t="str">
            <v>Kitchener-564 Belmont Ave W</v>
          </cell>
        </row>
        <row r="103">
          <cell r="A103" t="str">
            <v>Kitchener-751 Victoria St</v>
          </cell>
        </row>
        <row r="104">
          <cell r="A104" t="str">
            <v>Ladysmith-370 Davis Road</v>
          </cell>
        </row>
        <row r="105">
          <cell r="A105" t="str">
            <v>LakeCowichan-78 Cowicha Lake Rd</v>
          </cell>
        </row>
        <row r="106">
          <cell r="A106" t="str">
            <v>Langley-#102B-20999 88th Ave</v>
          </cell>
        </row>
        <row r="107">
          <cell r="A107" t="str">
            <v>Langley-#105-20103 40th Ave</v>
          </cell>
        </row>
        <row r="108">
          <cell r="A108" t="str">
            <v>Langley-#130 - 19653 Willowbrook Drive</v>
          </cell>
        </row>
        <row r="109">
          <cell r="A109" t="str">
            <v>Langley-#209-5503 206th Street</v>
          </cell>
        </row>
        <row r="110">
          <cell r="A110" t="str">
            <v>Lindsay-86 Angeline St S</v>
          </cell>
        </row>
        <row r="111">
          <cell r="A111" t="str">
            <v>Listowel-172 Elizabeth St E</v>
          </cell>
        </row>
        <row r="112">
          <cell r="A112" t="str">
            <v>London-1225 Wonderland Rd N</v>
          </cell>
        </row>
        <row r="113">
          <cell r="A113" t="str">
            <v>London-140 Oxford St E</v>
          </cell>
        </row>
        <row r="114">
          <cell r="A114" t="str">
            <v>London-279 Wharncliffe Rd N</v>
          </cell>
        </row>
        <row r="115">
          <cell r="A115" t="str">
            <v>London-450 Central Ave</v>
          </cell>
        </row>
        <row r="116">
          <cell r="A116" t="str">
            <v>London-460 Springbank Drive</v>
          </cell>
        </row>
        <row r="117">
          <cell r="A117" t="str">
            <v>London-746 Baseline Rd</v>
          </cell>
        </row>
        <row r="118">
          <cell r="A118" t="str">
            <v>Maple Ridge-101-11743 224 St</v>
          </cell>
        </row>
        <row r="119">
          <cell r="A119" t="str">
            <v>Markham-379 Church St</v>
          </cell>
        </row>
        <row r="120">
          <cell r="A120" t="str">
            <v>Markham-5293 Hwy.7</v>
          </cell>
        </row>
        <row r="121">
          <cell r="A121" t="str">
            <v>Mill Bay-2720 Mill Bay Rd</v>
          </cell>
        </row>
        <row r="122">
          <cell r="A122" t="str">
            <v>Millstream - 2355 Millstream Road</v>
          </cell>
        </row>
        <row r="123">
          <cell r="A123" t="str">
            <v>Milton - 470 Bronte St S</v>
          </cell>
        </row>
        <row r="124">
          <cell r="A124" t="str">
            <v>Minden-6 MacPherson St</v>
          </cell>
        </row>
        <row r="125">
          <cell r="A125" t="str">
            <v>Mission-103-7343 Hurd St</v>
          </cell>
        </row>
        <row r="126">
          <cell r="A126" t="str">
            <v>Mississauga - 101 The Queensway</v>
          </cell>
        </row>
        <row r="127">
          <cell r="A127" t="str">
            <v>Mississauga - 60 Courtneypark Drive West</v>
          </cell>
        </row>
        <row r="128">
          <cell r="A128" t="str">
            <v>Mississauga- 6560 Kennedy Road</v>
          </cell>
        </row>
        <row r="129">
          <cell r="A129" t="str">
            <v>Mississauga-2300 Eglinton Ave W</v>
          </cell>
        </row>
        <row r="130">
          <cell r="A130" t="str">
            <v>Mississauga-6855 Meadowvale</v>
          </cell>
        </row>
        <row r="131">
          <cell r="A131" t="str">
            <v>N Vancouver - Marine Drive</v>
          </cell>
        </row>
        <row r="132">
          <cell r="A132" t="str">
            <v>N Vancouver-1200 LynnValley Rd</v>
          </cell>
        </row>
        <row r="133">
          <cell r="A133" t="str">
            <v>N Vancouver-215-1916 Lonsdale</v>
          </cell>
        </row>
        <row r="134">
          <cell r="A134" t="str">
            <v>N Vancouver-3650 Mount Seymour</v>
          </cell>
        </row>
        <row r="135">
          <cell r="A135" t="str">
            <v>N Vancouver-4313 Gallant Ave</v>
          </cell>
        </row>
        <row r="136">
          <cell r="A136" t="str">
            <v>Nanaimo-1151 Lawlor Rd</v>
          </cell>
        </row>
        <row r="137">
          <cell r="A137" t="str">
            <v>Nanaimo-2980 Island Hwy North</v>
          </cell>
        </row>
        <row r="138">
          <cell r="A138" t="str">
            <v>Nanaimo-4047 Norwell Dr</v>
          </cell>
        </row>
        <row r="139">
          <cell r="A139" t="str">
            <v>Nanaimo-6010 Brickyard Rd</v>
          </cell>
        </row>
        <row r="140">
          <cell r="A140" t="str">
            <v>Nanaimo-87 Wallace St</v>
          </cell>
        </row>
        <row r="141">
          <cell r="A141" t="str">
            <v>Nanaimo-Port Place PSC</v>
          </cell>
        </row>
        <row r="142">
          <cell r="A142" t="str">
            <v>Napanee - 310 Bridge St W</v>
          </cell>
        </row>
        <row r="143">
          <cell r="A143" t="str">
            <v>Nelson-806 Vernon St</v>
          </cell>
        </row>
        <row r="144">
          <cell r="A144" t="str">
            <v>New Liskeard-34 Whitewood Ave</v>
          </cell>
        </row>
        <row r="145">
          <cell r="A145" t="str">
            <v>New Westminster-#508-625 5th Avenue</v>
          </cell>
        </row>
        <row r="146">
          <cell r="A146" t="str">
            <v>New Westminster-227 Nelson's Crescent</v>
          </cell>
        </row>
        <row r="147">
          <cell r="A147" t="str">
            <v>NewHamburg-10 Waterloo St</v>
          </cell>
        </row>
        <row r="148">
          <cell r="A148" t="str">
            <v>Newmarket-679 Davis Dr</v>
          </cell>
        </row>
        <row r="149">
          <cell r="A149" t="str">
            <v>Niagara on Lake, 176 Wellington Rd</v>
          </cell>
        </row>
        <row r="150">
          <cell r="A150" t="str">
            <v>North York-1333 Sheppard Ave., E.</v>
          </cell>
        </row>
        <row r="151">
          <cell r="A151" t="str">
            <v>North York-20 Wynford Drive</v>
          </cell>
        </row>
        <row r="152">
          <cell r="A152" t="str">
            <v>North York-4800 Leslie St</v>
          </cell>
        </row>
        <row r="153">
          <cell r="A153" t="str">
            <v>NorthYork-1333 Sheppard Ave E</v>
          </cell>
        </row>
        <row r="154">
          <cell r="A154" t="str">
            <v>NorthYork-1448 Lawrence Ave E</v>
          </cell>
        </row>
        <row r="155">
          <cell r="A155" t="str">
            <v>NorthYork-4949 Bathurst St</v>
          </cell>
        </row>
        <row r="156">
          <cell r="A156" t="str">
            <v>NorthYork-701 Sheppard Ave E</v>
          </cell>
        </row>
        <row r="157">
          <cell r="A157" t="str">
            <v>Oakville-1060 Speers Rd</v>
          </cell>
        </row>
        <row r="158">
          <cell r="A158" t="str">
            <v>Oakville-1236 Trafalgar Rd</v>
          </cell>
        </row>
        <row r="159">
          <cell r="A159" t="str">
            <v>Oakville-2421 Bristol Circle</v>
          </cell>
        </row>
        <row r="160">
          <cell r="A160" t="str">
            <v>Orangeville-95 First Avenue</v>
          </cell>
        </row>
        <row r="161">
          <cell r="A161" t="str">
            <v>Orillia-16 O'Brien St</v>
          </cell>
        </row>
        <row r="162">
          <cell r="A162" t="str">
            <v>Orillia-210 Memorial Ave</v>
          </cell>
        </row>
        <row r="163">
          <cell r="A163" t="str">
            <v>Oshawa-245 King St W</v>
          </cell>
        </row>
        <row r="164">
          <cell r="A164" t="str">
            <v>Ottawa-1919 Riverside Dr</v>
          </cell>
        </row>
        <row r="165">
          <cell r="A165" t="str">
            <v>Ottawa-NepeanCentre</v>
          </cell>
        </row>
        <row r="166">
          <cell r="A166" t="str">
            <v>Ottawa-Orleans-UCC</v>
          </cell>
        </row>
        <row r="167">
          <cell r="A167" t="str">
            <v>Owen Sound-945 3rd Ave E</v>
          </cell>
        </row>
        <row r="168">
          <cell r="A168" t="str">
            <v>Parksville - 489 Alberni Hwy</v>
          </cell>
        </row>
        <row r="169">
          <cell r="A169" t="str">
            <v>Pembroke-425 Cecelia St</v>
          </cell>
        </row>
        <row r="170">
          <cell r="A170" t="str">
            <v>Perth - 70-80 Dufferin St.</v>
          </cell>
        </row>
        <row r="171">
          <cell r="A171" t="str">
            <v>Peterborough-849 Alexander Cres</v>
          </cell>
        </row>
        <row r="172">
          <cell r="A172" t="str">
            <v>Picton-389 Main St</v>
          </cell>
        </row>
        <row r="173">
          <cell r="A173" t="str">
            <v>Pitt Meadows-102-12195 Harris Rd</v>
          </cell>
        </row>
        <row r="174">
          <cell r="A174" t="str">
            <v>Point Edward-704 Mara St.</v>
          </cell>
        </row>
        <row r="175">
          <cell r="A175" t="str">
            <v>Port Alberni-3949 Maple Way</v>
          </cell>
        </row>
        <row r="176">
          <cell r="A176" t="str">
            <v>Port Coquitlam-#7-2185 Wilson Avenue</v>
          </cell>
        </row>
        <row r="177">
          <cell r="A177" t="str">
            <v>Port Coquitlam-115-1465 Salisbury Avenue</v>
          </cell>
        </row>
        <row r="178">
          <cell r="A178" t="str">
            <v>Port Moody-#101- 2624 St Johns Street</v>
          </cell>
        </row>
        <row r="179">
          <cell r="A179" t="str">
            <v>PortColborne-222A Catharine St</v>
          </cell>
        </row>
        <row r="180">
          <cell r="A180" t="str">
            <v>Prince George-1669 Victoria St</v>
          </cell>
        </row>
        <row r="181">
          <cell r="A181" t="str">
            <v>Qualicum Beach-140 First Ave</v>
          </cell>
        </row>
        <row r="182">
          <cell r="A182" t="str">
            <v>Quesnel-665 Front St</v>
          </cell>
        </row>
        <row r="183">
          <cell r="A183" t="str">
            <v>Richmond Hill-22 Richmond St</v>
          </cell>
        </row>
        <row r="184">
          <cell r="A184" t="str">
            <v>Richmond Hill-250 Harding Blvd W</v>
          </cell>
        </row>
        <row r="185">
          <cell r="A185" t="str">
            <v>Richmond-1150 - 4151 Hazelbridge Way</v>
          </cell>
        </row>
        <row r="186">
          <cell r="A186" t="str">
            <v>Richmond-170-6451 Buswell Street</v>
          </cell>
        </row>
        <row r="187">
          <cell r="A187" t="str">
            <v>Richmond-3811 Chatham Rd</v>
          </cell>
        </row>
        <row r="188">
          <cell r="A188" t="str">
            <v>Richmond-5791 No 3 Rd</v>
          </cell>
        </row>
        <row r="189">
          <cell r="A189" t="str">
            <v>Richmond-6051 Gilbert Rd</v>
          </cell>
        </row>
        <row r="190">
          <cell r="A190" t="str">
            <v>Richmond-6180 Blundell Rd</v>
          </cell>
        </row>
        <row r="191">
          <cell r="A191" t="str">
            <v>Richmond-8171 Ackroyd</v>
          </cell>
        </row>
        <row r="192">
          <cell r="A192" t="str">
            <v>Sarnia-429 Exmouth St</v>
          </cell>
        </row>
        <row r="193">
          <cell r="A193" t="str">
            <v>Sault Ste Marie-240 McNabb St</v>
          </cell>
        </row>
        <row r="194">
          <cell r="A194" t="str">
            <v>Sault Ste Marie-44 Great Northern Rd</v>
          </cell>
        </row>
        <row r="195">
          <cell r="A195" t="str">
            <v>Sault Ste Marie-955 Queen St E</v>
          </cell>
        </row>
        <row r="196">
          <cell r="A196" t="str">
            <v>Scarborough-1200 Markham Rd</v>
          </cell>
        </row>
        <row r="197">
          <cell r="A197" t="str">
            <v>Scarborough-1371 Neilson Rd</v>
          </cell>
        </row>
        <row r="198">
          <cell r="A198" t="str">
            <v>Scarborough-2330 Kennedy Rd</v>
          </cell>
        </row>
        <row r="199">
          <cell r="A199" t="str">
            <v>Sechelt-5531 Inlet Ave</v>
          </cell>
        </row>
        <row r="200">
          <cell r="A200" t="str">
            <v>Smith Falls-91 Cornelia St W</v>
          </cell>
        </row>
        <row r="201">
          <cell r="A201" t="str">
            <v>St Catharines-1 Belton Blvd</v>
          </cell>
        </row>
        <row r="202">
          <cell r="A202" t="str">
            <v>St Catharines-145 Queenston St</v>
          </cell>
        </row>
        <row r="203">
          <cell r="A203" t="str">
            <v>St Catharines-245 Pelham Rd</v>
          </cell>
        </row>
        <row r="204">
          <cell r="A204" t="str">
            <v>St Catharines-282 Linwell Rd</v>
          </cell>
        </row>
        <row r="205">
          <cell r="A205" t="str">
            <v>St Catharines-3460 Schmon Pkwy</v>
          </cell>
        </row>
        <row r="206">
          <cell r="A206" t="str">
            <v>St Catharines-589 Lake St</v>
          </cell>
        </row>
        <row r="207">
          <cell r="A207" t="str">
            <v>St Thomas-417 Wellington Street</v>
          </cell>
        </row>
        <row r="208">
          <cell r="A208" t="str">
            <v>Stoney Creek-15 Mountain Ave S</v>
          </cell>
        </row>
        <row r="209">
          <cell r="A209" t="str">
            <v>Stratford-342 Erie St</v>
          </cell>
        </row>
        <row r="210">
          <cell r="A210" t="str">
            <v>Sudbury-1122 La Salle Blvd</v>
          </cell>
        </row>
        <row r="211">
          <cell r="A211" t="str">
            <v>Sudbury-1935 Paris Street</v>
          </cell>
        </row>
        <row r="212">
          <cell r="A212" t="str">
            <v>Sudbury-1942 Regent St</v>
          </cell>
        </row>
        <row r="213">
          <cell r="A213" t="str">
            <v>Sudbury-3140 Hwy 69 N</v>
          </cell>
        </row>
        <row r="214">
          <cell r="A214" t="str">
            <v>Sudbury-65 Larch St</v>
          </cell>
        </row>
        <row r="215">
          <cell r="A215" t="str">
            <v>Surrey-# 19 15300 105 Ave</v>
          </cell>
        </row>
        <row r="216">
          <cell r="A216" t="str">
            <v>Surrey-#101 - 10166 King George Boulevard</v>
          </cell>
        </row>
        <row r="217">
          <cell r="A217" t="str">
            <v>Surrey-#101 – 9656 King George Boulevard</v>
          </cell>
        </row>
        <row r="218">
          <cell r="A218" t="str">
            <v>Surrey-#112-15252 32nd Avenue</v>
          </cell>
        </row>
        <row r="219">
          <cell r="A219" t="str">
            <v>Surrey-#124 – 13745 72nd Avenue</v>
          </cell>
        </row>
        <row r="220">
          <cell r="A220" t="str">
            <v>Surrey-#202 - 16088 84 Ave</v>
          </cell>
        </row>
        <row r="221">
          <cell r="A221" t="str">
            <v>Surrey-#204 - 9014 152nd Street</v>
          </cell>
        </row>
        <row r="222">
          <cell r="A222" t="str">
            <v>Surrey-102-17760-56th Avenue</v>
          </cell>
        </row>
        <row r="223">
          <cell r="A223" t="str">
            <v>Surrey-12080 Nordel Way</v>
          </cell>
        </row>
        <row r="224">
          <cell r="A224" t="str">
            <v>Surrey-5632 177B St</v>
          </cell>
        </row>
        <row r="225">
          <cell r="A225" t="str">
            <v>Surrey-7130 120th St</v>
          </cell>
        </row>
        <row r="226">
          <cell r="A226" t="str">
            <v>Surrey-7455 130th Street</v>
          </cell>
        </row>
        <row r="227">
          <cell r="A227" t="str">
            <v>Surrey-7485 130 Street</v>
          </cell>
        </row>
        <row r="228">
          <cell r="A228" t="str">
            <v>Terrace-4634 Park Ave</v>
          </cell>
        </row>
        <row r="229">
          <cell r="A229" t="str">
            <v>Thornhill-7700 Bathurst St</v>
          </cell>
        </row>
        <row r="230">
          <cell r="A230" t="str">
            <v>Thunder Bay-101-1040 Oliver Road</v>
          </cell>
        </row>
        <row r="231">
          <cell r="A231" t="str">
            <v>Thunder Bay-63 N Algoma St</v>
          </cell>
        </row>
        <row r="232">
          <cell r="A232" t="str">
            <v>Thunder Bay-N Court St</v>
          </cell>
        </row>
        <row r="233">
          <cell r="A233" t="str">
            <v>Tillsonburg-86 Brock St E</v>
          </cell>
        </row>
        <row r="234">
          <cell r="A234" t="str">
            <v>Timmins- 425 Algonquin Blvd</v>
          </cell>
        </row>
        <row r="235">
          <cell r="A235" t="str">
            <v>Toronto - 200 Elizabeth Street</v>
          </cell>
        </row>
        <row r="236">
          <cell r="A236" t="str">
            <v>Toronto-100 Intl Blvd</v>
          </cell>
        </row>
        <row r="237">
          <cell r="A237" t="str">
            <v>Toronto-11 King Street W</v>
          </cell>
        </row>
        <row r="238">
          <cell r="A238" t="str">
            <v>Toronto-1100 Sheppard Ave. E Suite 108</v>
          </cell>
        </row>
        <row r="239">
          <cell r="A239" t="str">
            <v>Toronto-175 Galaxy Blvd</v>
          </cell>
        </row>
        <row r="240">
          <cell r="A240" t="str">
            <v>Toronto-2050 Weston Road</v>
          </cell>
        </row>
        <row r="241">
          <cell r="A241" t="str">
            <v>Toronto-208 Bloor St W</v>
          </cell>
        </row>
        <row r="242">
          <cell r="A242" t="str">
            <v>Toronto-2221 Keele St</v>
          </cell>
        </row>
        <row r="243">
          <cell r="A243" t="str">
            <v>Toronto-2425 Bloor St W</v>
          </cell>
        </row>
        <row r="244">
          <cell r="A244" t="str">
            <v>Toronto-250 Lawrence Ave W</v>
          </cell>
        </row>
        <row r="245">
          <cell r="A245" t="str">
            <v>Toronto-2917 Bloor St W</v>
          </cell>
        </row>
        <row r="246">
          <cell r="A246" t="str">
            <v>Toronto-3101 Bloor St W</v>
          </cell>
        </row>
        <row r="247">
          <cell r="A247" t="str">
            <v>Toronto-365 Bloor St. E -Homecare</v>
          </cell>
        </row>
        <row r="248">
          <cell r="A248" t="str">
            <v>Toronto-37 Voyager Court</v>
          </cell>
        </row>
        <row r="249">
          <cell r="A249" t="str">
            <v>Toronto-398 Royal York Road</v>
          </cell>
        </row>
        <row r="250">
          <cell r="A250" t="str">
            <v>Toronto-474 College St Suite B1</v>
          </cell>
        </row>
        <row r="251">
          <cell r="A251" t="str">
            <v>Toronto-491 Lawrence Ave W</v>
          </cell>
        </row>
        <row r="252">
          <cell r="A252" t="str">
            <v>Toronto-55 Queen St E</v>
          </cell>
        </row>
        <row r="253">
          <cell r="A253" t="str">
            <v>Toronto-5805 Yonge St Unit 5</v>
          </cell>
        </row>
        <row r="254">
          <cell r="A254" t="str">
            <v>Toronto-586 Eglinton Ave E</v>
          </cell>
        </row>
        <row r="255">
          <cell r="A255" t="str">
            <v>Toronto-600 Sherbourne Street</v>
          </cell>
        </row>
        <row r="256">
          <cell r="A256" t="str">
            <v>Trenton-30 King St</v>
          </cell>
        </row>
        <row r="257">
          <cell r="A257" t="str">
            <v xml:space="preserve">Val Caron - 3140 Highway 69N, Unit 19. </v>
          </cell>
        </row>
        <row r="258">
          <cell r="A258" t="str">
            <v>Vancouver - 3039 Kingsway</v>
          </cell>
        </row>
        <row r="259">
          <cell r="A259" t="str">
            <v>Vancouver - 408 E. Hastings</v>
          </cell>
        </row>
        <row r="260">
          <cell r="A260" t="str">
            <v>Vancouver-#206-1160 Burrard St</v>
          </cell>
        </row>
        <row r="261">
          <cell r="A261" t="str">
            <v>Vancouver-#33 - 5740 Cambie Street</v>
          </cell>
        </row>
        <row r="262">
          <cell r="A262" t="str">
            <v>Vancouver-1200 Burrard St</v>
          </cell>
        </row>
        <row r="263">
          <cell r="A263" t="str">
            <v>Vancouver-136 Davie St</v>
          </cell>
        </row>
        <row r="264">
          <cell r="A264" t="str">
            <v>Vancouver-1530 W 7th Ave</v>
          </cell>
        </row>
        <row r="265">
          <cell r="A265" t="str">
            <v>Vancouver-180 Keefer St</v>
          </cell>
        </row>
        <row r="266">
          <cell r="A266" t="str">
            <v>Vancouver-2025 W 42nd Ave</v>
          </cell>
        </row>
        <row r="267">
          <cell r="A267" t="str">
            <v>Vancouver-2184 W Broadway</v>
          </cell>
        </row>
        <row r="268">
          <cell r="A268" t="str">
            <v>Vancouver-2736 E Hastings St</v>
          </cell>
        </row>
        <row r="269">
          <cell r="A269" t="str">
            <v>Vancouver-306-1750 E 10th Ave</v>
          </cell>
        </row>
        <row r="270">
          <cell r="A270" t="str">
            <v>Vancouver-3150 E 54th Ave</v>
          </cell>
        </row>
        <row r="271">
          <cell r="A271" t="str">
            <v>Vancouver-3540 W 41st Ave</v>
          </cell>
        </row>
        <row r="272">
          <cell r="A272" t="str">
            <v>Vancouver-4366 W 10th Ave</v>
          </cell>
        </row>
        <row r="273">
          <cell r="A273" t="str">
            <v>Vancouver-4527 Main St</v>
          </cell>
        </row>
        <row r="274">
          <cell r="A274" t="str">
            <v>Vancouver-5786 Victoria Dr</v>
          </cell>
        </row>
        <row r="275">
          <cell r="A275" t="str">
            <v>Vancouver-650 W 41st Ave</v>
          </cell>
        </row>
        <row r="276">
          <cell r="A276" t="str">
            <v>Vancouver-6540 Fraser St</v>
          </cell>
        </row>
        <row r="277">
          <cell r="A277" t="str">
            <v>Vancouver-750 W Broadway</v>
          </cell>
        </row>
        <row r="278">
          <cell r="A278" t="str">
            <v>Vancouver-777 Hornby St</v>
          </cell>
        </row>
        <row r="279">
          <cell r="A279" t="str">
            <v>Vancouver-8677 Granville St</v>
          </cell>
        </row>
        <row r="280">
          <cell r="A280" t="str">
            <v>Vancouver-888 W 8th Ave</v>
          </cell>
        </row>
        <row r="281">
          <cell r="A281" t="str">
            <v>Vancouver-943 W Broadway</v>
          </cell>
        </row>
        <row r="282">
          <cell r="A282" t="str">
            <v>Vancouver-972 West King Edward Avenue</v>
          </cell>
        </row>
        <row r="283">
          <cell r="A283" t="str">
            <v>Victoria-101 Burnside Rd</v>
          </cell>
        </row>
        <row r="284">
          <cell r="A284" t="str">
            <v>Victoria-1105 Pandora Ave</v>
          </cell>
        </row>
        <row r="285">
          <cell r="A285" t="str">
            <v>Victoria-1120 Yates St</v>
          </cell>
        </row>
        <row r="286">
          <cell r="A286" t="str">
            <v>Victoria-1260-6660 Sooke Rd</v>
          </cell>
        </row>
        <row r="287">
          <cell r="A287" t="str">
            <v>Victoria-1475 Bevan Ave</v>
          </cell>
        </row>
        <row r="288">
          <cell r="A288" t="str">
            <v>Victoria-1590 Cedar Hill Cross Rd</v>
          </cell>
        </row>
        <row r="289">
          <cell r="A289" t="str">
            <v>Victoria-1641 Hillside Ave</v>
          </cell>
        </row>
        <row r="290">
          <cell r="A290" t="str">
            <v>Victoria-172 Wilson St</v>
          </cell>
        </row>
        <row r="291">
          <cell r="A291" t="str">
            <v>Victoria-1900 Richmond Ave</v>
          </cell>
        </row>
        <row r="292">
          <cell r="A292" t="str">
            <v>Victoria-1990 Fort St</v>
          </cell>
        </row>
        <row r="293">
          <cell r="A293" t="str">
            <v>Victoria-4464 Markham St</v>
          </cell>
        </row>
        <row r="294">
          <cell r="A294" t="str">
            <v>Victoria-4480 W Saanich Rd</v>
          </cell>
        </row>
        <row r="295">
          <cell r="A295" t="str">
            <v>Victoria-547 Michigan St</v>
          </cell>
        </row>
        <row r="296">
          <cell r="A296" t="str">
            <v>Victoria-582 Goldstream Ave</v>
          </cell>
        </row>
        <row r="297">
          <cell r="A297" t="str">
            <v>Victoria-645 Fort St</v>
          </cell>
        </row>
        <row r="298">
          <cell r="A298" t="str">
            <v>Victoria-890B Esquimalt Rd</v>
          </cell>
        </row>
        <row r="299">
          <cell r="A299" t="str">
            <v>Wallaceburg- 208 Margaret Ave.</v>
          </cell>
        </row>
        <row r="300">
          <cell r="A300" t="str">
            <v>Wasaga Beach - 14 Ramblewood Dr</v>
          </cell>
        </row>
        <row r="301">
          <cell r="A301" t="str">
            <v>Waterloo-65 University Ave E</v>
          </cell>
        </row>
        <row r="302">
          <cell r="A302" t="str">
            <v>Welland-477 King St</v>
          </cell>
        </row>
        <row r="303">
          <cell r="A303" t="str">
            <v>West Vancouver-2419 Bellevue Ave</v>
          </cell>
        </row>
        <row r="304">
          <cell r="A304" t="str">
            <v>West Vancouver-575 16th St</v>
          </cell>
        </row>
        <row r="305">
          <cell r="A305" t="str">
            <v>Whitby-200 Brock St N</v>
          </cell>
        </row>
        <row r="306">
          <cell r="A306" t="str">
            <v>White Rock-#120-15321-16th Ave</v>
          </cell>
        </row>
        <row r="307">
          <cell r="A307" t="str">
            <v>White Rock-1656 Martin Dr</v>
          </cell>
        </row>
        <row r="308">
          <cell r="A308" t="str">
            <v>Windsor-6720 Hawthorne Dr.</v>
          </cell>
        </row>
        <row r="309">
          <cell r="A309" t="str">
            <v>Woodbridge- 8077 Islington Ave N</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 1"/>
      <sheetName val="Macro1"/>
    </sheetNames>
    <sheetDataSet>
      <sheetData sheetId="0"/>
      <sheetData sheetId="1">
        <row r="106">
          <cell r="A106" t="str">
            <v>Recover</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Hun, Riley" refreshedDate="42439.538273611113" createdVersion="4" refreshedVersion="4" minRefreshableVersion="3" recordCount="12">
  <cacheSource type="worksheet">
    <worksheetSource ref="A24:J36" sheet="Metrics"/>
  </cacheSource>
  <cacheFields count="10">
    <cacheField name="Category" numFmtId="0">
      <sharedItems count="2">
        <s v="PSC"/>
        <s v="Lab"/>
      </sharedItems>
    </cacheField>
    <cacheField name="Site" numFmtId="0">
      <sharedItems count="6">
        <s v="BC"/>
        <s v="ON"/>
        <s v="BC Bio"/>
        <s v="BC LL"/>
        <s v="CML"/>
        <s v="ON LL"/>
      </sharedItems>
    </cacheField>
    <cacheField name="PET #1" numFmtId="0">
      <sharedItems containsSemiMixedTypes="0" containsString="0" containsNumber="1" containsInteger="1" minValue="0" maxValue="35"/>
    </cacheField>
    <cacheField name="HDPE #2" numFmtId="0">
      <sharedItems containsSemiMixedTypes="0" containsString="0" containsNumber="1" containsInteger="1" minValue="0" maxValue="34"/>
    </cacheField>
    <cacheField name="LDPE #4" numFmtId="0">
      <sharedItems containsSemiMixedTypes="0" containsString="0" containsNumber="1" containsInteger="1" minValue="0" maxValue="27"/>
    </cacheField>
    <cacheField name="PP #5" numFmtId="0">
      <sharedItems containsSemiMixedTypes="0" containsString="0" containsNumber="1" containsInteger="1" minValue="0" maxValue="33"/>
    </cacheField>
    <cacheField name="PS #6" numFmtId="0">
      <sharedItems containsSemiMixedTypes="0" containsString="0" containsNumber="1" containsInteger="1" minValue="0" maxValue="27"/>
    </cacheField>
    <cacheField name="Other #7" numFmtId="0">
      <sharedItems containsSemiMixedTypes="0" containsString="0" containsNumber="1" containsInteger="1" minValue="0" maxValue="23"/>
    </cacheField>
    <cacheField name="Not Acceptable" numFmtId="0">
      <sharedItems containsSemiMixedTypes="0" containsString="0" containsNumber="1" containsInteger="1" minValue="0" maxValue="11"/>
    </cacheField>
    <cacheField name="Not Applicable" numFmtId="0">
      <sharedItems containsSemiMixedTypes="0" containsString="0" containsNumber="1" containsInteger="1" minValue="0" maxValue="52"/>
    </cacheField>
  </cacheFields>
  <extLst>
    <ext xmlns:x14="http://schemas.microsoft.com/office/spreadsheetml/2009/9/main" uri="{725AE2AE-9491-48be-B2B4-4EB974FC3084}">
      <x14:pivotCacheDefinition pivotCacheId="6"/>
    </ext>
  </extLst>
</pivotCacheDefinition>
</file>

<file path=xl/pivotCache/pivotCacheDefinition2.xml><?xml version="1.0" encoding="utf-8"?>
<pivotCacheDefinition xmlns="http://schemas.openxmlformats.org/spreadsheetml/2006/main" xmlns:r="http://schemas.openxmlformats.org/officeDocument/2006/relationships" r:id="rId1" refreshedBy="Hun, Riley" refreshedDate="42439.538277314816" createdVersion="4" refreshedVersion="4" minRefreshableVersion="3" recordCount="12">
  <cacheSource type="worksheet">
    <worksheetSource ref="A5:I17" sheet="Metrics"/>
  </cacheSource>
  <cacheFields count="9">
    <cacheField name="Category" numFmtId="0">
      <sharedItems containsBlank="1" count="3">
        <s v="PSC"/>
        <s v="Lab"/>
        <m u="1"/>
      </sharedItems>
    </cacheField>
    <cacheField name="Site" numFmtId="0">
      <sharedItems count="6">
        <s v="BC"/>
        <s v="ON"/>
        <s v="BC Bio"/>
        <s v="BC LL"/>
        <s v="CML"/>
        <s v="ON LL"/>
      </sharedItems>
    </cacheField>
    <cacheField name="Plastic" numFmtId="0">
      <sharedItems containsSemiMixedTypes="0" containsString="0" containsNumber="1" containsInteger="1" minValue="0" maxValue="51"/>
    </cacheField>
    <cacheField name="Glass Bottles" numFmtId="0">
      <sharedItems containsSemiMixedTypes="0" containsString="0" containsNumber="1" containsInteger="1" minValue="0" maxValue="38"/>
    </cacheField>
    <cacheField name="Mixed Paper" numFmtId="0">
      <sharedItems containsSemiMixedTypes="0" containsString="0" containsNumber="1" containsInteger="1" minValue="0" maxValue="64"/>
    </cacheField>
    <cacheField name="Cardboard" numFmtId="0">
      <sharedItems containsSemiMixedTypes="0" containsString="0" containsNumber="1" containsInteger="1" minValue="0" maxValue="87"/>
    </cacheField>
    <cacheField name="Metal Can" numFmtId="0">
      <sharedItems containsSemiMixedTypes="0" containsString="0" containsNumber="1" containsInteger="1" minValue="0" maxValue="41"/>
    </cacheField>
    <cacheField name="Organic Disposals" numFmtId="0">
      <sharedItems containsSemiMixedTypes="0" containsString="0" containsNumber="1" containsInteger="1" minValue="0" maxValue="39"/>
    </cacheField>
    <cacheField name="Not Available" numFmtId="0">
      <sharedItems containsSemiMixedTypes="0" containsString="0" containsNumber="1" containsInteger="1" minValue="0" maxValue="11"/>
    </cacheField>
  </cacheFields>
  <extLst>
    <ext xmlns:x14="http://schemas.microsoft.com/office/spreadsheetml/2009/9/main" uri="{725AE2AE-9491-48be-B2B4-4EB974FC3084}">
      <x14:pivotCacheDefinition pivotCacheId="5"/>
    </ext>
  </extLst>
</pivotCacheDefinition>
</file>

<file path=xl/pivotCache/pivotCacheDefinition3.xml><?xml version="1.0" encoding="utf-8"?>
<pivotCacheDefinition xmlns="http://schemas.openxmlformats.org/spreadsheetml/2006/main" xmlns:r="http://schemas.openxmlformats.org/officeDocument/2006/relationships" r:id="rId1" refreshedBy="Hun, Riley" refreshedDate="42439.538285879629" createdVersion="4" refreshedVersion="4" minRefreshableVersion="3" recordCount="12">
  <cacheSource type="worksheet">
    <worksheetSource ref="A43:I55" sheet="Metrics"/>
  </cacheSource>
  <cacheFields count="9">
    <cacheField name="Category" numFmtId="0">
      <sharedItems count="2">
        <s v="PSC"/>
        <s v="Lab"/>
      </sharedItems>
    </cacheField>
    <cacheField name="Site" numFmtId="0">
      <sharedItems count="6">
        <s v="BC"/>
        <s v="ON"/>
        <s v="BC Bio"/>
        <s v="BC LL"/>
        <s v="CML"/>
        <s v="ON LL"/>
      </sharedItems>
    </cacheField>
    <cacheField name="Complete" numFmtId="0">
      <sharedItems containsSemiMixedTypes="0" containsString="0" containsNumber="1" containsInteger="1" minValue="0" maxValue="21"/>
    </cacheField>
    <cacheField name="Meets Expectation" numFmtId="0">
      <sharedItems containsSemiMixedTypes="0" containsString="0" containsNumber="1" containsInteger="1" minValue="0" maxValue="26"/>
    </cacheField>
    <cacheField name="Partial" numFmtId="0">
      <sharedItems containsSemiMixedTypes="0" containsString="0" containsNumber="1" containsInteger="1" minValue="0" maxValue="43"/>
    </cacheField>
    <cacheField name="No Recycling Program" numFmtId="0">
      <sharedItems containsSemiMixedTypes="0" containsString="0" containsNumber="1" containsInteger="1" minValue="0" maxValue="10"/>
    </cacheField>
    <cacheField name="Meets Needs of Lifelabs and/or Regulatory Requirements" numFmtId="0">
      <sharedItems containsSemiMixedTypes="0" containsString="0" containsNumber="1" containsInteger="1" minValue="0" maxValue="47"/>
    </cacheField>
    <cacheField name="Incomplete Recycling Program" numFmtId="0">
      <sharedItems containsSemiMixedTypes="0" containsString="0" containsNumber="1" containsInteger="1" minValue="0" maxValue="43"/>
    </cacheField>
    <cacheField name="No Recycling" numFmtId="0">
      <sharedItems containsSemiMixedTypes="0" containsString="0" containsNumber="1" containsInteger="1" minValue="0" maxValue="10"/>
    </cacheField>
  </cacheFields>
  <extLst>
    <ext xmlns:x14="http://schemas.microsoft.com/office/spreadsheetml/2009/9/main" uri="{725AE2AE-9491-48be-B2B4-4EB974FC3084}">
      <x14:pivotCacheDefinition pivotCacheId="8"/>
    </ext>
  </extLst>
</pivotCacheDefinition>
</file>

<file path=xl/pivotCache/pivotCacheRecords1.xml><?xml version="1.0" encoding="utf-8"?>
<pivotCacheRecords xmlns="http://schemas.openxmlformats.org/spreadsheetml/2006/main" xmlns:r="http://schemas.openxmlformats.org/officeDocument/2006/relationships" count="12">
  <r>
    <x v="0"/>
    <x v="0"/>
    <n v="35"/>
    <n v="34"/>
    <n v="27"/>
    <n v="33"/>
    <n v="27"/>
    <n v="23"/>
    <n v="11"/>
    <n v="52"/>
  </r>
  <r>
    <x v="0"/>
    <x v="1"/>
    <n v="20"/>
    <n v="20"/>
    <n v="16"/>
    <n v="15"/>
    <n v="14"/>
    <n v="13"/>
    <n v="3"/>
    <n v="25"/>
  </r>
  <r>
    <x v="0"/>
    <x v="2"/>
    <n v="12"/>
    <n v="13"/>
    <n v="6"/>
    <n v="12"/>
    <n v="8"/>
    <n v="4"/>
    <n v="3"/>
    <n v="16"/>
  </r>
  <r>
    <x v="0"/>
    <x v="3"/>
    <n v="23"/>
    <n v="21"/>
    <n v="21"/>
    <n v="21"/>
    <n v="19"/>
    <n v="19"/>
    <n v="8"/>
    <n v="36"/>
  </r>
  <r>
    <x v="0"/>
    <x v="4"/>
    <n v="5"/>
    <n v="6"/>
    <n v="4"/>
    <n v="5"/>
    <n v="4"/>
    <n v="3"/>
    <n v="1"/>
    <n v="7"/>
  </r>
  <r>
    <x v="0"/>
    <x v="5"/>
    <n v="15"/>
    <n v="14"/>
    <n v="12"/>
    <n v="10"/>
    <n v="10"/>
    <n v="10"/>
    <n v="2"/>
    <n v="18"/>
  </r>
  <r>
    <x v="1"/>
    <x v="0"/>
    <n v="0"/>
    <n v="0"/>
    <n v="0"/>
    <n v="0"/>
    <n v="0"/>
    <n v="0"/>
    <n v="0"/>
    <n v="1"/>
  </r>
  <r>
    <x v="1"/>
    <x v="1"/>
    <n v="1"/>
    <n v="1"/>
    <n v="1"/>
    <n v="1"/>
    <n v="1"/>
    <n v="0"/>
    <n v="0"/>
    <n v="1"/>
  </r>
  <r>
    <x v="1"/>
    <x v="2"/>
    <n v="0"/>
    <n v="0"/>
    <n v="0"/>
    <n v="0"/>
    <n v="0"/>
    <n v="0"/>
    <n v="0"/>
    <n v="0"/>
  </r>
  <r>
    <x v="1"/>
    <x v="3"/>
    <n v="0"/>
    <n v="0"/>
    <n v="0"/>
    <n v="0"/>
    <n v="0"/>
    <n v="0"/>
    <n v="0"/>
    <n v="1"/>
  </r>
  <r>
    <x v="1"/>
    <x v="4"/>
    <n v="0"/>
    <n v="0"/>
    <n v="0"/>
    <n v="0"/>
    <n v="0"/>
    <n v="0"/>
    <n v="0"/>
    <n v="1"/>
  </r>
  <r>
    <x v="1"/>
    <x v="5"/>
    <n v="1"/>
    <n v="1"/>
    <n v="1"/>
    <n v="1"/>
    <n v="1"/>
    <n v="0"/>
    <n v="0"/>
    <n v="0"/>
  </r>
</pivotCacheRecords>
</file>

<file path=xl/pivotCache/pivotCacheRecords2.xml><?xml version="1.0" encoding="utf-8"?>
<pivotCacheRecords xmlns="http://schemas.openxmlformats.org/spreadsheetml/2006/main" xmlns:r="http://schemas.openxmlformats.org/officeDocument/2006/relationships" count="12">
  <r>
    <x v="0"/>
    <x v="0"/>
    <n v="51"/>
    <n v="38"/>
    <n v="64"/>
    <n v="87"/>
    <n v="41"/>
    <n v="39"/>
    <n v="11"/>
  </r>
  <r>
    <x v="0"/>
    <x v="1"/>
    <n v="28"/>
    <n v="27"/>
    <n v="34"/>
    <n v="45"/>
    <n v="27"/>
    <n v="6"/>
    <n v="7"/>
  </r>
  <r>
    <x v="0"/>
    <x v="2"/>
    <n v="15"/>
    <n v="13"/>
    <n v="21"/>
    <n v="29"/>
    <n v="12"/>
    <n v="9"/>
    <n v="3"/>
  </r>
  <r>
    <x v="0"/>
    <x v="3"/>
    <n v="36"/>
    <n v="25"/>
    <n v="43"/>
    <n v="58"/>
    <n v="29"/>
    <n v="30"/>
    <n v="8"/>
  </r>
  <r>
    <x v="0"/>
    <x v="4"/>
    <n v="7"/>
    <n v="6"/>
    <n v="9"/>
    <n v="12"/>
    <n v="7"/>
    <n v="2"/>
    <n v="2"/>
  </r>
  <r>
    <x v="0"/>
    <x v="5"/>
    <n v="21"/>
    <n v="21"/>
    <n v="25"/>
    <n v="33"/>
    <n v="20"/>
    <n v="4"/>
    <n v="5"/>
  </r>
  <r>
    <x v="1"/>
    <x v="0"/>
    <n v="3"/>
    <n v="3"/>
    <n v="3"/>
    <n v="3"/>
    <n v="3"/>
    <n v="2"/>
    <n v="1"/>
  </r>
  <r>
    <x v="1"/>
    <x v="1"/>
    <n v="1"/>
    <n v="1"/>
    <n v="1"/>
    <n v="1"/>
    <n v="1"/>
    <n v="1"/>
    <n v="1"/>
  </r>
  <r>
    <x v="1"/>
    <x v="2"/>
    <n v="1"/>
    <n v="1"/>
    <n v="1"/>
    <n v="1"/>
    <n v="1"/>
    <n v="1"/>
    <n v="0"/>
  </r>
  <r>
    <x v="1"/>
    <x v="3"/>
    <n v="2"/>
    <n v="2"/>
    <n v="2"/>
    <n v="2"/>
    <n v="2"/>
    <n v="1"/>
    <n v="1"/>
  </r>
  <r>
    <x v="1"/>
    <x v="4"/>
    <n v="0"/>
    <n v="0"/>
    <n v="0"/>
    <n v="0"/>
    <n v="0"/>
    <n v="0"/>
    <n v="1"/>
  </r>
  <r>
    <x v="1"/>
    <x v="5"/>
    <n v="1"/>
    <n v="1"/>
    <n v="1"/>
    <n v="1"/>
    <n v="1"/>
    <n v="1"/>
    <n v="0"/>
  </r>
</pivotCacheRecords>
</file>

<file path=xl/pivotCache/pivotCacheRecords3.xml><?xml version="1.0" encoding="utf-8"?>
<pivotCacheRecords xmlns="http://schemas.openxmlformats.org/spreadsheetml/2006/main" xmlns:r="http://schemas.openxmlformats.org/officeDocument/2006/relationships" count="12">
  <r>
    <x v="0"/>
    <x v="0"/>
    <n v="21"/>
    <n v="26"/>
    <n v="43"/>
    <n v="10"/>
    <n v="47"/>
    <n v="43"/>
    <n v="10"/>
  </r>
  <r>
    <x v="0"/>
    <x v="1"/>
    <n v="6"/>
    <n v="22"/>
    <n v="18"/>
    <n v="8"/>
    <n v="28"/>
    <n v="22"/>
    <n v="8"/>
  </r>
  <r>
    <x v="0"/>
    <x v="2"/>
    <n v="4"/>
    <n v="11"/>
    <n v="15"/>
    <n v="3"/>
    <n v="15"/>
    <n v="11"/>
    <n v="3"/>
  </r>
  <r>
    <x v="0"/>
    <x v="3"/>
    <n v="17"/>
    <n v="15"/>
    <n v="28"/>
    <n v="7"/>
    <n v="32"/>
    <n v="15"/>
    <n v="7"/>
  </r>
  <r>
    <x v="0"/>
    <x v="4"/>
    <n v="2"/>
    <n v="5"/>
    <n v="5"/>
    <n v="2"/>
    <n v="7"/>
    <n v="5"/>
    <n v="2"/>
  </r>
  <r>
    <x v="0"/>
    <x v="5"/>
    <n v="4"/>
    <n v="17"/>
    <n v="13"/>
    <n v="6"/>
    <n v="21"/>
    <n v="17"/>
    <n v="6"/>
  </r>
  <r>
    <x v="1"/>
    <x v="0"/>
    <n v="2"/>
    <n v="1"/>
    <n v="0"/>
    <n v="1"/>
    <n v="3"/>
    <n v="1"/>
    <n v="1"/>
  </r>
  <r>
    <x v="1"/>
    <x v="1"/>
    <n v="1"/>
    <n v="0"/>
    <n v="0"/>
    <n v="1"/>
    <n v="1"/>
    <n v="0"/>
    <n v="1"/>
  </r>
  <r>
    <x v="1"/>
    <x v="2"/>
    <n v="1"/>
    <n v="0"/>
    <n v="0"/>
    <n v="0"/>
    <n v="1"/>
    <n v="0"/>
    <n v="0"/>
  </r>
  <r>
    <x v="1"/>
    <x v="3"/>
    <n v="1"/>
    <n v="1"/>
    <n v="0"/>
    <n v="1"/>
    <n v="2"/>
    <n v="1"/>
    <n v="1"/>
  </r>
  <r>
    <x v="1"/>
    <x v="4"/>
    <n v="0"/>
    <n v="0"/>
    <n v="0"/>
    <n v="1"/>
    <n v="0"/>
    <n v="0"/>
    <n v="1"/>
  </r>
  <r>
    <x v="1"/>
    <x v="5"/>
    <n v="1"/>
    <n v="0"/>
    <n v="0"/>
    <n v="0"/>
    <n v="1"/>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3" cacheId="9" dataOnRows="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2">
  <location ref="AM21:AT30" firstHeaderRow="1" firstDataRow="2" firstDataCol="1" rowPageCount="1" colPageCount="1"/>
  <pivotFields count="10">
    <pivotField axis="axisPage" showAll="0" defaultSubtotal="0">
      <items count="2">
        <item x="1"/>
        <item x="0"/>
      </items>
    </pivotField>
    <pivotField axis="axisCol" showAll="0">
      <items count="7">
        <item x="0"/>
        <item x="2"/>
        <item x="3"/>
        <item x="1"/>
        <item x="4"/>
        <item x="5"/>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8">
    <i>
      <x/>
    </i>
    <i i="1">
      <x v="1"/>
    </i>
    <i i="2">
      <x v="2"/>
    </i>
    <i i="3">
      <x v="3"/>
    </i>
    <i i="4">
      <x v="4"/>
    </i>
    <i i="5">
      <x v="5"/>
    </i>
    <i i="6">
      <x v="6"/>
    </i>
    <i i="7">
      <x v="7"/>
    </i>
  </rowItems>
  <colFields count="1">
    <field x="1"/>
  </colFields>
  <colItems count="7">
    <i>
      <x/>
    </i>
    <i>
      <x v="1"/>
    </i>
    <i>
      <x v="2"/>
    </i>
    <i>
      <x v="3"/>
    </i>
    <i>
      <x v="4"/>
    </i>
    <i>
      <x v="5"/>
    </i>
    <i t="grand">
      <x/>
    </i>
  </colItems>
  <pageFields count="1">
    <pageField fld="0" hier="-1"/>
  </pageFields>
  <dataFields count="8">
    <dataField name="PET #1 " fld="2" baseField="0" baseItem="2"/>
    <dataField name="HDPE #2 " fld="3" baseField="0" baseItem="2"/>
    <dataField name="LDPE #4 " fld="4" baseField="0" baseItem="2"/>
    <dataField name="PP #5 " fld="5" baseField="0" baseItem="2"/>
    <dataField name="PS #6 " fld="6" baseField="0" baseItem="2"/>
    <dataField name="Other #7 " fld="7" baseField="0" baseItem="2"/>
    <dataField name="Not Acceptable " fld="8" baseField="0" baseItem="2"/>
    <dataField name="Not Applicable " fld="9" baseField="0" baseItem="2"/>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0" format="6" series="1">
      <pivotArea type="data" outline="0" fieldPosition="0">
        <references count="1">
          <reference field="4294967294" count="1" selected="0">
            <x v="6"/>
          </reference>
        </references>
      </pivotArea>
    </chartFormat>
    <chartFormat chart="0" format="7" series="1">
      <pivotArea type="data" outline="0" fieldPosition="0">
        <references count="1">
          <reference field="4294967294" count="1" selected="0">
            <x v="7"/>
          </reference>
        </references>
      </pivotArea>
    </chartFormat>
    <chartFormat chart="0" format="8" series="1">
      <pivotArea type="data" outline="0" fieldPosition="0">
        <references count="2">
          <reference field="4294967294" count="1" selected="0">
            <x v="0"/>
          </reference>
          <reference field="1" count="1" selected="0">
            <x v="0"/>
          </reference>
        </references>
      </pivotArea>
    </chartFormat>
    <chartFormat chart="0" format="9" series="1">
      <pivotArea type="data" outline="0" fieldPosition="0">
        <references count="2">
          <reference field="4294967294" count="1" selected="0">
            <x v="0"/>
          </reference>
          <reference field="1" count="1" selected="0">
            <x v="1"/>
          </reference>
        </references>
      </pivotArea>
    </chartFormat>
    <chartFormat chart="0" format="10" series="1">
      <pivotArea type="data" outline="0" fieldPosition="0">
        <references count="2">
          <reference field="4294967294" count="1" selected="0">
            <x v="0"/>
          </reference>
          <reference field="1" count="1" selected="0">
            <x v="2"/>
          </reference>
        </references>
      </pivotArea>
    </chartFormat>
    <chartFormat chart="0" format="11" series="1">
      <pivotArea type="data" outline="0" fieldPosition="0">
        <references count="2">
          <reference field="4294967294" count="1" selected="0">
            <x v="0"/>
          </reference>
          <reference field="1" count="1" selected="0">
            <x v="4"/>
          </reference>
        </references>
      </pivotArea>
    </chartFormat>
    <chartFormat chart="0" format="12" series="1">
      <pivotArea type="data" outline="0" fieldPosition="0">
        <references count="2">
          <reference field="4294967294" count="1" selected="0">
            <x v="0"/>
          </reference>
          <reference field="1" count="1" selected="0">
            <x v="3"/>
          </reference>
        </references>
      </pivotArea>
    </chartFormat>
    <chartFormat chart="0" format="13" series="1">
      <pivotArea type="data" outline="0" fieldPosition="0">
        <references count="2">
          <reference field="4294967294" count="1" selected="0">
            <x v="0"/>
          </reference>
          <reference field="1" count="1" selected="0">
            <x v="5"/>
          </reference>
        </references>
      </pivotArea>
    </chartFormat>
    <chartFormat chart="1" format="0" series="1">
      <pivotArea type="data" outline="0" fieldPosition="0">
        <references count="2">
          <reference field="4294967294" count="1" selected="0">
            <x v="0"/>
          </reference>
          <reference field="1" count="1" selected="0">
            <x v="0"/>
          </reference>
        </references>
      </pivotArea>
    </chartFormat>
    <chartFormat chart="1" format="1" series="1">
      <pivotArea type="data" outline="0" fieldPosition="0">
        <references count="2">
          <reference field="4294967294" count="1" selected="0">
            <x v="0"/>
          </reference>
          <reference field="1" count="1" selected="0">
            <x v="1"/>
          </reference>
        </references>
      </pivotArea>
    </chartFormat>
    <chartFormat chart="1" format="2" series="1">
      <pivotArea type="data" outline="0" fieldPosition="0">
        <references count="2">
          <reference field="4294967294" count="1" selected="0">
            <x v="0"/>
          </reference>
          <reference field="1" count="1" selected="0">
            <x v="2"/>
          </reference>
        </references>
      </pivotArea>
    </chartFormat>
    <chartFormat chart="1" format="3" series="1">
      <pivotArea type="data" outline="0" fieldPosition="0">
        <references count="2">
          <reference field="4294967294" count="1" selected="0">
            <x v="0"/>
          </reference>
          <reference field="1" count="1" selected="0">
            <x v="3"/>
          </reference>
        </references>
      </pivotArea>
    </chartFormat>
    <chartFormat chart="1" format="4" series="1">
      <pivotArea type="data" outline="0" fieldPosition="0">
        <references count="2">
          <reference field="4294967294" count="1" selected="0">
            <x v="0"/>
          </reference>
          <reference field="1" count="1" selected="0">
            <x v="4"/>
          </reference>
        </references>
      </pivotArea>
    </chartFormat>
    <chartFormat chart="1" format="5" series="1">
      <pivotArea type="data" outline="0" fieldPosition="0">
        <references count="2">
          <reference field="4294967294" count="1" selected="0">
            <x v="0"/>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13" dataOnRows="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4">
  <location ref="AM5:AT13" firstHeaderRow="1" firstDataRow="2" firstDataCol="1" rowPageCount="1" colPageCount="1"/>
  <pivotFields count="9">
    <pivotField axis="axisPage" multipleItemSelectionAllowed="1" showAll="0" defaultSubtotal="0">
      <items count="3">
        <item x="1"/>
        <item x="0"/>
        <item m="1" x="2"/>
      </items>
    </pivotField>
    <pivotField axis="axisCol" showAll="0">
      <items count="7">
        <item x="0"/>
        <item x="2"/>
        <item x="3"/>
        <item x="1"/>
        <item x="4"/>
        <item x="5"/>
        <item t="default"/>
      </items>
    </pivotField>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7">
    <i>
      <x/>
    </i>
    <i i="1">
      <x v="1"/>
    </i>
    <i i="2">
      <x v="2"/>
    </i>
    <i i="3">
      <x v="3"/>
    </i>
    <i i="4">
      <x v="4"/>
    </i>
    <i i="5">
      <x v="5"/>
    </i>
    <i i="6">
      <x v="6"/>
    </i>
  </rowItems>
  <colFields count="1">
    <field x="1"/>
  </colFields>
  <colItems count="7">
    <i>
      <x/>
    </i>
    <i>
      <x v="1"/>
    </i>
    <i>
      <x v="2"/>
    </i>
    <i>
      <x v="3"/>
    </i>
    <i>
      <x v="4"/>
    </i>
    <i>
      <x v="5"/>
    </i>
    <i t="grand">
      <x/>
    </i>
  </colItems>
  <pageFields count="1">
    <pageField fld="0" hier="-1"/>
  </pageFields>
  <dataFields count="7">
    <dataField name="Plastic " fld="2" baseField="0" baseItem="0"/>
    <dataField name="Glass Bottles " fld="3" baseField="0" baseItem="0"/>
    <dataField name="Mixed Paper " fld="4" baseField="0" baseItem="0"/>
    <dataField name="Cardboard " fld="5" baseField="0" baseItem="0"/>
    <dataField name="Metal Can " fld="6" baseField="0" baseItem="0"/>
    <dataField name="Organic Disposals " fld="7" baseField="0" baseItem="0"/>
    <dataField name="Not Available " fld="8" baseField="0" baseItem="0"/>
  </dataFields>
  <chartFormats count="21">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0" format="6" series="1">
      <pivotArea type="data" outline="0" fieldPosition="0">
        <references count="1">
          <reference field="4294967294" count="1" selected="0">
            <x v="6"/>
          </reference>
        </references>
      </pivotArea>
    </chartFormat>
    <chartFormat chart="2" format="0" series="1">
      <pivotArea type="data" outline="0" fieldPosition="0">
        <references count="2">
          <reference field="4294967294" count="1" selected="0">
            <x v="0"/>
          </reference>
          <reference field="1" count="1" selected="0">
            <x v="0"/>
          </reference>
        </references>
      </pivotArea>
    </chartFormat>
    <chartFormat chart="2" format="1" series="1">
      <pivotArea type="data" outline="0" fieldPosition="0">
        <references count="2">
          <reference field="4294967294" count="1" selected="0">
            <x v="0"/>
          </reference>
          <reference field="1" count="1" selected="0">
            <x v="1"/>
          </reference>
        </references>
      </pivotArea>
    </chartFormat>
    <chartFormat chart="2" format="2" series="1">
      <pivotArea type="data" outline="0" fieldPosition="0">
        <references count="2">
          <reference field="4294967294" count="1" selected="0">
            <x v="0"/>
          </reference>
          <reference field="1" count="1" selected="0">
            <x v="2"/>
          </reference>
        </references>
      </pivotArea>
    </chartFormat>
    <chartFormat chart="2" format="3" series="1">
      <pivotArea type="data" outline="0" fieldPosition="0">
        <references count="2">
          <reference field="4294967294" count="1" selected="0">
            <x v="0"/>
          </reference>
          <reference field="1" count="1" selected="0">
            <x v="3"/>
          </reference>
        </references>
      </pivotArea>
    </chartFormat>
    <chartFormat chart="2" format="4">
      <pivotArea type="data" outline="0" fieldPosition="0">
        <references count="2">
          <reference field="4294967294" count="1" selected="0">
            <x v="2"/>
          </reference>
          <reference field="1" count="1" selected="0">
            <x v="0"/>
          </reference>
        </references>
      </pivotArea>
    </chartFormat>
    <chartFormat chart="2" format="5" series="1">
      <pivotArea type="data" outline="0" fieldPosition="0">
        <references count="2">
          <reference field="4294967294" count="1" selected="0">
            <x v="0"/>
          </reference>
          <reference field="1" count="1" selected="0">
            <x v="4"/>
          </reference>
        </references>
      </pivotArea>
    </chartFormat>
    <chartFormat chart="2"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0"/>
          </reference>
        </references>
      </pivotArea>
    </chartFormat>
    <chartFormat chart="0" format="8" series="1">
      <pivotArea type="data" outline="0" fieldPosition="0">
        <references count="2">
          <reference field="4294967294" count="1" selected="0">
            <x v="0"/>
          </reference>
          <reference field="1" count="1" selected="0">
            <x v="1"/>
          </reference>
        </references>
      </pivotArea>
    </chartFormat>
    <chartFormat chart="0" format="9" series="1">
      <pivotArea type="data" outline="0" fieldPosition="0">
        <references count="2">
          <reference field="4294967294" count="1" selected="0">
            <x v="0"/>
          </reference>
          <reference field="1" count="1" selected="0">
            <x v="2"/>
          </reference>
        </references>
      </pivotArea>
    </chartFormat>
    <chartFormat chart="0" format="10" series="1">
      <pivotArea type="data" outline="0" fieldPosition="0">
        <references count="2">
          <reference field="4294967294" count="1" selected="0">
            <x v="0"/>
          </reference>
          <reference field="1" count="1" selected="0">
            <x v="3"/>
          </reference>
        </references>
      </pivotArea>
    </chartFormat>
    <chartFormat chart="0" format="11" series="1">
      <pivotArea type="data" outline="0" fieldPosition="0">
        <references count="2">
          <reference field="4294967294" count="1" selected="0">
            <x v="0"/>
          </reference>
          <reference field="1" count="1" selected="0">
            <x v="4"/>
          </reference>
        </references>
      </pivotArea>
    </chartFormat>
    <chartFormat chart="0" format="12" series="1">
      <pivotArea type="data" outline="0" fieldPosition="0">
        <references count="2">
          <reference field="4294967294" count="1" selected="0">
            <x v="0"/>
          </reference>
          <reference field="1" count="1" selected="0">
            <x v="5"/>
          </reference>
        </references>
      </pivotArea>
    </chartFormat>
    <chartFormat chart="2"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6" cacheId="21" dataOnRows="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AM53:AT57" firstHeaderRow="1" firstDataRow="2" firstDataCol="1"/>
  <pivotFields count="9">
    <pivotField showAll="0">
      <items count="3">
        <item x="1"/>
        <item x="0"/>
        <item t="default"/>
      </items>
    </pivotField>
    <pivotField axis="axisCol" showAll="0">
      <items count="7">
        <item x="0"/>
        <item x="2"/>
        <item x="3"/>
        <item x="1"/>
        <item x="4"/>
        <item x="5"/>
        <item t="default"/>
      </items>
    </pivotField>
    <pivotField showAll="0"/>
    <pivotField showAll="0"/>
    <pivotField showAll="0"/>
    <pivotField showAll="0" defaultSubtotal="0"/>
    <pivotField dataField="1" showAll="0"/>
    <pivotField dataField="1" showAll="0"/>
    <pivotField dataField="1" showAll="0"/>
  </pivotFields>
  <rowFields count="1">
    <field x="-2"/>
  </rowFields>
  <rowItems count="3">
    <i>
      <x/>
    </i>
    <i i="1">
      <x v="1"/>
    </i>
    <i i="2">
      <x v="2"/>
    </i>
  </rowItems>
  <colFields count="1">
    <field x="1"/>
  </colFields>
  <colItems count="7">
    <i>
      <x/>
    </i>
    <i>
      <x v="1"/>
    </i>
    <i>
      <x v="2"/>
    </i>
    <i>
      <x v="3"/>
    </i>
    <i>
      <x v="4"/>
    </i>
    <i>
      <x v="5"/>
    </i>
    <i t="grand">
      <x/>
    </i>
  </colItems>
  <dataFields count="3">
    <dataField name="Meets Needs of Lifelabs and/or Regulatory Requirements " fld="6" baseField="0" baseItem="0"/>
    <dataField name="Incomplete Recycling Program " fld="7" baseField="0" baseItem="0"/>
    <dataField name="No Recycling " fld="8" baseField="0" baseItem="0"/>
  </dataFields>
  <chartFormats count="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2">
          <reference field="4294967294" count="1" selected="0">
            <x v="0"/>
          </reference>
          <reference field="1" count="1" selected="0">
            <x v="0"/>
          </reference>
        </references>
      </pivotArea>
    </chartFormat>
    <chartFormat chart="0" format="4" series="1">
      <pivotArea type="data" outline="0" fieldPosition="0">
        <references count="2">
          <reference field="4294967294" count="1" selected="0">
            <x v="0"/>
          </reference>
          <reference field="1" count="1" selected="0">
            <x v="1"/>
          </reference>
        </references>
      </pivotArea>
    </chartFormat>
    <chartFormat chart="0" format="5" series="1">
      <pivotArea type="data" outline="0" fieldPosition="0">
        <references count="2">
          <reference field="4294967294" count="1" selected="0">
            <x v="0"/>
          </reference>
          <reference field="1" count="1" selected="0">
            <x v="2"/>
          </reference>
        </references>
      </pivotArea>
    </chartFormat>
    <chartFormat chart="0" format="6" series="1">
      <pivotArea type="data" outline="0" fieldPosition="0">
        <references count="2">
          <reference field="4294967294" count="1" selected="0">
            <x v="0"/>
          </reference>
          <reference field="1" count="1" selected="0">
            <x v="3"/>
          </reference>
        </references>
      </pivotArea>
    </chartFormat>
    <chartFormat chart="0" format="7" series="1">
      <pivotArea type="data" outline="0" fieldPosition="0">
        <references count="2">
          <reference field="4294967294" count="1" selected="0">
            <x v="0"/>
          </reference>
          <reference field="1" count="1" selected="0">
            <x v="4"/>
          </reference>
        </references>
      </pivotArea>
    </chartFormat>
    <chartFormat chart="0" format="8" series="1">
      <pivotArea type="data" outline="0" fieldPosition="0">
        <references count="2">
          <reference field="4294967294" count="1" selected="0">
            <x v="0"/>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4" cacheId="21" dataOnRows="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2">
  <location ref="AM43:AT48" firstHeaderRow="1" firstDataRow="2" firstDataCol="1" rowPageCount="1" colPageCount="1"/>
  <pivotFields count="9">
    <pivotField axis="axisPage" showAll="0" defaultSubtotal="0">
      <items count="2">
        <item x="1"/>
        <item x="0"/>
      </items>
    </pivotField>
    <pivotField axis="axisCol" showAll="0">
      <items count="7">
        <item x="0"/>
        <item x="2"/>
        <item x="3"/>
        <item x="1"/>
        <item x="4"/>
        <item x="5"/>
        <item t="default"/>
      </items>
    </pivotField>
    <pivotField dataField="1" showAll="0"/>
    <pivotField dataField="1" showAll="0"/>
    <pivotField dataField="1" showAll="0"/>
    <pivotField dataField="1" showAll="0" defaultSubtotal="0"/>
    <pivotField showAll="0" defaultSubtotal="0"/>
    <pivotField showAll="0" defaultSubtotal="0"/>
    <pivotField showAll="0" defaultSubtotal="0"/>
  </pivotFields>
  <rowFields count="1">
    <field x="-2"/>
  </rowFields>
  <rowItems count="4">
    <i>
      <x/>
    </i>
    <i i="1">
      <x v="1"/>
    </i>
    <i i="2">
      <x v="2"/>
    </i>
    <i i="3">
      <x v="3"/>
    </i>
  </rowItems>
  <colFields count="1">
    <field x="1"/>
  </colFields>
  <colItems count="7">
    <i>
      <x/>
    </i>
    <i>
      <x v="1"/>
    </i>
    <i>
      <x v="2"/>
    </i>
    <i>
      <x v="3"/>
    </i>
    <i>
      <x v="4"/>
    </i>
    <i>
      <x v="5"/>
    </i>
    <i t="grand">
      <x/>
    </i>
  </colItems>
  <pageFields count="1">
    <pageField fld="0" hier="-1"/>
  </pageFields>
  <dataFields count="4">
    <dataField name="Complete " fld="2" baseField="0" baseItem="3"/>
    <dataField name="Meets Expectation " fld="3" baseField="0" baseItem="3"/>
    <dataField name="Partial " fld="4" baseField="0" baseItem="3"/>
    <dataField name="No Recycling Program " fld="5" baseField="1" baseItem="0"/>
  </dataFields>
  <chartFormats count="1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4" series="1">
      <pivotArea type="data" outline="0" fieldPosition="0">
        <references count="2">
          <reference field="4294967294" count="1" selected="0">
            <x v="0"/>
          </reference>
          <reference field="1" count="1" selected="0">
            <x v="0"/>
          </reference>
        </references>
      </pivotArea>
    </chartFormat>
    <chartFormat chart="0" format="5" series="1">
      <pivotArea type="data" outline="0" fieldPosition="0">
        <references count="2">
          <reference field="4294967294" count="1" selected="0">
            <x v="0"/>
          </reference>
          <reference field="1" count="1" selected="0">
            <x v="1"/>
          </reference>
        </references>
      </pivotArea>
    </chartFormat>
    <chartFormat chart="0" format="6" series="1">
      <pivotArea type="data" outline="0" fieldPosition="0">
        <references count="2">
          <reference field="4294967294" count="1" selected="0">
            <x v="0"/>
          </reference>
          <reference field="1" count="1" selected="0">
            <x v="2"/>
          </reference>
        </references>
      </pivotArea>
    </chartFormat>
    <chartFormat chart="0" format="7" series="1">
      <pivotArea type="data" outline="0" fieldPosition="0">
        <references count="2">
          <reference field="4294967294" count="1" selected="0">
            <x v="0"/>
          </reference>
          <reference field="1" count="1" selected="0">
            <x v="3"/>
          </reference>
        </references>
      </pivotArea>
    </chartFormat>
    <chartFormat chart="0" format="8" series="1">
      <pivotArea type="data" outline="0" fieldPosition="0">
        <references count="2">
          <reference field="4294967294" count="1" selected="0">
            <x v="0"/>
          </reference>
          <reference field="1" count="1" selected="0">
            <x v="4"/>
          </reference>
        </references>
      </pivotArea>
    </chartFormat>
    <chartFormat chart="0" format="9" series="1">
      <pivotArea type="data" outline="0" fieldPosition="0">
        <references count="2">
          <reference field="4294967294" count="1" selected="0">
            <x v="0"/>
          </reference>
          <reference field="1" count="1" selected="0">
            <x v="5"/>
          </reference>
        </references>
      </pivotArea>
    </chartFormat>
    <chartFormat chart="1" format="0" series="1">
      <pivotArea type="data" outline="0" fieldPosition="0">
        <references count="2">
          <reference field="4294967294" count="1" selected="0">
            <x v="0"/>
          </reference>
          <reference field="1" count="1" selected="0">
            <x v="0"/>
          </reference>
        </references>
      </pivotArea>
    </chartFormat>
    <chartFormat chart="1" format="1" series="1">
      <pivotArea type="data" outline="0" fieldPosition="0">
        <references count="2">
          <reference field="4294967294" count="1" selected="0">
            <x v="0"/>
          </reference>
          <reference field="1" count="1" selected="0">
            <x v="1"/>
          </reference>
        </references>
      </pivotArea>
    </chartFormat>
    <chartFormat chart="1" format="2" series="1">
      <pivotArea type="data" outline="0" fieldPosition="0">
        <references count="2">
          <reference field="4294967294" count="1" selected="0">
            <x v="0"/>
          </reference>
          <reference field="1" count="1" selected="0">
            <x v="2"/>
          </reference>
        </references>
      </pivotArea>
    </chartFormat>
    <chartFormat chart="1" format="3" series="1">
      <pivotArea type="data" outline="0" fieldPosition="0">
        <references count="2">
          <reference field="4294967294" count="1" selected="0">
            <x v="0"/>
          </reference>
          <reference field="1" count="1" selected="0">
            <x v="3"/>
          </reference>
        </references>
      </pivotArea>
    </chartFormat>
    <chartFormat chart="1" format="4" series="1">
      <pivotArea type="data" outline="0" fieldPosition="0">
        <references count="2">
          <reference field="4294967294" count="1" selected="0">
            <x v="0"/>
          </reference>
          <reference field="1" count="1" selected="0">
            <x v="4"/>
          </reference>
        </references>
      </pivotArea>
    </chartFormat>
    <chartFormat chart="1" format="5" series="1">
      <pivotArea type="data" outline="0" fieldPosition="0">
        <references count="2">
          <reference field="4294967294" count="1" selected="0">
            <x v="0"/>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ite1" sourceName="Site">
  <pivotTables>
    <pivotTable tabId="2" name="PivotTable3"/>
  </pivotTables>
  <data>
    <tabular pivotCacheId="6">
      <items count="6">
        <i x="0" s="1"/>
        <i x="2" s="1"/>
        <i x="3" s="1"/>
        <i x="4" s="1"/>
        <i x="1" s="1"/>
        <i x="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ite2" sourceName="Site">
  <pivotTables>
    <pivotTable tabId="2" name="PivotTable4"/>
    <pivotTable tabId="2" name="PivotTable6"/>
  </pivotTables>
  <data>
    <tabular pivotCacheId="8">
      <items count="6">
        <i x="0" s="1"/>
        <i x="2" s="1"/>
        <i x="3" s="1"/>
        <i x="4" s="1"/>
        <i x="1" s="1"/>
        <i x="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ite" sourceName="Site">
  <pivotTables>
    <pivotTable tabId="2" name="PivotTable2"/>
  </pivotTables>
  <data>
    <tabular pivotCacheId="5">
      <items count="6">
        <i x="0" s="1"/>
        <i x="2" s="1"/>
        <i x="3" s="1"/>
        <i x="4" s="1"/>
        <i x="1" s="1"/>
        <i x="5"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ategory" sourceName="Category">
  <pivotTables>
    <pivotTable tabId="2" name="PivotTable2"/>
  </pivotTables>
  <data>
    <tabular pivotCacheId="5" showMissing="0" crossFilter="showItemsWithNoData">
      <items count="3">
        <i x="1" s="1"/>
        <i x="0" s="1"/>
        <i x="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Category1" sourceName="Category">
  <pivotTables>
    <pivotTable tabId="2" name="PivotTable3"/>
  </pivotTables>
  <data>
    <tabular pivotCacheId="6">
      <items count="2">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Category2" sourceName="Category">
  <pivotTables>
    <pivotTable tabId="2" name="PivotTable4"/>
    <pivotTable tabId="2" name="PivotTable6"/>
  </pivotTables>
  <data>
    <tabular pivotCacheId="8">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ite 1" cache="Slicer_Site1" caption="Site" columnCount="6" showCaption="0" style="Slicer Style 1" rowHeight="241300"/>
  <slicer name="Site 2" cache="Slicer_Site2" caption="Site" columnCount="6" showCaption="0" style="Slicer Style 1" rowHeight="241300"/>
  <slicer name="Site" cache="Slicer_Site" caption="Site" columnCount="6" showCaption="0" style="Slicer Style 1" rowHeight="241300"/>
  <slicer name="Category" cache="Slicer_Category" caption="Category" showCaption="0" style="SlicerStyleLight3 2" rowHeight="241300"/>
  <slicer name="Category 1" cache="Slicer_Category1" caption="Category" showCaption="0" style="SlicerStyleLight3 2" rowHeight="241300"/>
  <slicer name="Category 2" cache="Slicer_Category2" caption="Category" showCaption="0" style="SlicerStyleLight3 2" rowHeight="241300"/>
</slicers>
</file>

<file path=xl/tables/table1.xml><?xml version="1.0" encoding="utf-8"?>
<table xmlns="http://schemas.openxmlformats.org/spreadsheetml/2006/main" id="2" name="RTable" displayName="RTable" ref="A2:P164" totalsRowShown="0" headerRowDxfId="49" tableBorderDxfId="48">
  <autoFilter ref="A2:P164"/>
  <tableColumns count="16">
    <tableColumn id="1" name="Respondent Name"/>
    <tableColumn id="2" name="Site Address"/>
    <tableColumn id="3" name="Site Information"/>
    <tableColumn id="4" name="Year Building was Built" dataDxfId="47"/>
    <tableColumn id="5" name="Recycling Program"/>
    <tableColumn id="6" name="Acceptable Plastics"/>
    <tableColumn id="7" name="Mixed Paper Acceptable?"/>
    <tableColumn id="8" name="Plastics, glass, cans acceptable?"/>
    <tableColumn id="9" name="Plans to Introduce Recycling Program?"/>
    <tableColumn id="10" name="Plan Description"/>
    <tableColumn id="11" name="Recycling Program Timeframe"/>
    <tableColumn id="12" name="Province"/>
    <tableColumn id="14" name="Status" dataDxfId="46">
      <calculatedColumnFormula>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calculatedColumnFormula>
    </tableColumn>
    <tableColumn id="13" name="Location-Category"/>
    <tableColumn id="15" name="Lab/PSC?"/>
    <tableColumn id="16" name="Lease Number"/>
  </tableColumns>
  <tableStyleInfo name="TableStyleMedium2" showFirstColumn="0" showLastColumn="0" showRowStripes="1" showColumnStripes="0"/>
</table>
</file>

<file path=xl/tables/table2.xml><?xml version="1.0" encoding="utf-8"?>
<table xmlns="http://schemas.openxmlformats.org/spreadsheetml/2006/main" id="1" name="ActionTracker" displayName="ActionTracker" ref="A1:Q171" totalsRowShown="0" headerRowDxfId="41" headerRowBorderDxfId="40">
  <autoFilter ref="A1:Q171"/>
  <tableColumns count="17">
    <tableColumn id="1" name="Lease Number" dataDxfId="39"/>
    <tableColumn id="17" name="Name" dataDxfId="38">
      <calculatedColumnFormula>IF(ISERROR(INDEX(RTable[#All],MATCH(ActionTracker[[#All],[Lease Number]],RTable[[#All],[Lease Number]],0),1)),"",INDEX(RTable[#All],MATCH(ActionTracker[[#All],[Lease Number]],RTable[[#All],[Lease Number]],0),1))</calculatedColumnFormula>
    </tableColumn>
    <tableColumn id="2" name="Address" dataDxfId="37">
      <calculatedColumnFormula>IF(ISERROR(INDEX(RTable[#All],MATCH(ActionTracker[[#All],[Lease Number]],RTable[[#All],[Lease Number]],0),1)),"",INDEX(RTable[#All],MATCH(ActionTracker[[#All],[Lease Number]],RTable[[#All],[Lease Number]],0),2)&amp;", "&amp;INDEX(RTable[#All],MATCH(ActionTracker[[#All],[Lease Number]],RTable[[#All],[Lease Number]],0),3))</calculatedColumnFormula>
    </tableColumn>
    <tableColumn id="3" name="Plastic" dataDxfId="36">
      <calculatedColumnFormula>IF(ISNUMBER(SEARCH($D$1,INDEX(RTable[#All],MATCH(ActionTracker[[#All],[Lease Number]],RTable[[#All],[Lease Number]],0),5))),"x","")</calculatedColumnFormula>
    </tableColumn>
    <tableColumn id="4" name="Glass" dataDxfId="35">
      <calculatedColumnFormula>IF(ISNUMBER(SEARCH($E$1,INDEX(RTable[#All],MATCH(ActionTracker[[#All],[Lease Number]],RTable[[#All],[Lease Number]],0),5))),"x","")</calculatedColumnFormula>
    </tableColumn>
    <tableColumn id="5" name="Paper" dataDxfId="34">
      <calculatedColumnFormula>IF(ISNUMBER(SEARCH($F$1,INDEX(RTable[#All],MATCH(ActionTracker[[#All],[Lease Number]],RTable[[#All],[Lease Number]],0),5))),"x","")</calculatedColumnFormula>
    </tableColumn>
    <tableColumn id="6" name="Cardboard" dataDxfId="33">
      <calculatedColumnFormula>IF(ISNUMBER(SEARCH($G$1,INDEX(RTable[#All],MATCH(ActionTracker[[#All],[Lease Number]],RTable[[#All],[Lease Number]],0),5))),"x","")</calculatedColumnFormula>
    </tableColumn>
    <tableColumn id="7" name="Metal Can" dataDxfId="32">
      <calculatedColumnFormula>IF(ISNUMBER(SEARCH($H$1,INDEX(RTable[#All],MATCH(ActionTracker[[#All],[Lease Number]],RTable[[#All],[Lease Number]],0),5))),"x","")</calculatedColumnFormula>
    </tableColumn>
    <tableColumn id="8" name="Organic Disposals" dataDxfId="31">
      <calculatedColumnFormula>IF(ISNUMBER(SEARCH($I$1,INDEX(RTable[#All],MATCH(ActionTracker[[#All],[Lease Number]],RTable[[#All],[Lease Number]],0),5))),"x","")</calculatedColumnFormula>
    </tableColumn>
    <tableColumn id="9" name="Not Available" dataDxfId="30">
      <calculatedColumnFormula>IF(ISNUMBER(SEARCH($J$1,INDEX(RTable[#All],MATCH(ActionTracker[[#All],[Lease Number]],RTable[[#All],[Lease Number]],0),5))),"x","")</calculatedColumnFormula>
    </tableColumn>
    <tableColumn id="10" name="Status" dataDxfId="29">
      <calculatedColumnFormula>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calculatedColumnFormula>
    </tableColumn>
    <tableColumn id="11" name="First Name" dataDxfId="28">
      <calculatedColumnFormula>IF(ISERROR(INDEX(ContactList[#All],MATCH(ActionTracker[[#All],[Lease Number]],ContactList[[#All],[Lease Number]],0),12)),"",INDEX(ContactList[#All],MATCH(ActionTracker[[#All],[Lease Number]],ContactList[[#All],[Lease Number]],0),12))</calculatedColumnFormula>
    </tableColumn>
    <tableColumn id="12" name="Last Name" dataDxfId="27">
      <calculatedColumnFormula>IF(ISERROR(INDEX(ContactList[#All],MATCH(ActionTracker[[#All],[Lease Number]],ContactList[[#All],[Lease Number]],0),12)),"",INDEX(ContactList[#All],MATCH(ActionTracker[[#All],[Lease Number]],ContactList[[#All],[Lease Number]],0),13))</calculatedColumnFormula>
    </tableColumn>
    <tableColumn id="13" name="Email Address" dataDxfId="26">
      <calculatedColumnFormula>IF(ISERROR(INDEX(ContactList[#All],MATCH(ActionTracker[[#All],[Lease Number]],ContactList[[#All],[Lease Number]],0),12)),"",INDEX(ContactList[#All],MATCH(ActionTracker[[#All],[Lease Number]],ContactList[[#All],[Lease Number]],0),14))</calculatedColumnFormula>
    </tableColumn>
    <tableColumn id="14" name="Phone Number " dataDxfId="25">
      <calculatedColumnFormula>IF(ISERROR(INDEX(ContactList[#All],MATCH(ActionTracker[[#All],[Lease Number]],ContactList[[#All],[Lease Number]],0),12)),"",INDEX(ContactList[#All],MATCH(ActionTracker[[#All],[Lease Number]],ContactList[[#All],[Lease Number]],0),15))</calculatedColumnFormula>
    </tableColumn>
    <tableColumn id="15" name="Comments" dataDxfId="24"/>
    <tableColumn id="16" name="Actions" dataDxfId="23"/>
  </tableColumns>
  <tableStyleInfo name="TableStyleMedium2" showFirstColumn="0" showLastColumn="0" showRowStripes="1" showColumnStripes="0"/>
</table>
</file>

<file path=xl/tables/table3.xml><?xml version="1.0" encoding="utf-8"?>
<table xmlns="http://schemas.openxmlformats.org/spreadsheetml/2006/main" id="3" name="ContactList" displayName="ContactList" ref="A3:S363" totalsRowShown="0" headerRowDxfId="21" dataDxfId="19" headerRowBorderDxfId="20" tableBorderDxfId="18" totalsRowBorderDxfId="17" headerRowCellStyle="Normal 2" dataCellStyle="Normal 2">
  <autoFilter ref="A3:S363"/>
  <sortState ref="A4:S363">
    <sortCondition ref="A3:A363"/>
  </sortState>
  <tableColumns count="19">
    <tableColumn id="1" name="Lease Number" dataDxfId="16" dataCellStyle="Normal 2"/>
    <tableColumn id="2" name="Site Address"/>
    <tableColumn id="3" name="Landlord Name" dataDxfId="15" dataCellStyle="Normal 2"/>
    <tableColumn id="4" name="Address Line1"/>
    <tableColumn id="5" name="Address Line2" dataDxfId="14" dataCellStyle="Normal 2"/>
    <tableColumn id="6" name="Address Line3" dataDxfId="13" dataCellStyle="Normal 2"/>
    <tableColumn id="7" name="City" dataDxfId="12" dataCellStyle="Normal 2"/>
    <tableColumn id="8" name="Province" dataDxfId="11" dataCellStyle="Normal 2"/>
    <tableColumn id="9" name="Zip Code" dataDxfId="10" dataCellStyle="Normal 2"/>
    <tableColumn id="10" name="Job Title" dataDxfId="9" dataCellStyle="Normal 2"/>
    <tableColumn id="11" name="Role" dataDxfId="8" dataCellStyle="Normal 2"/>
    <tableColumn id="12" name="First Name" dataDxfId="7" dataCellStyle="Normal 2"/>
    <tableColumn id="13" name="Last Name" dataDxfId="6" dataCellStyle="Normal 2"/>
    <tableColumn id="14" name="Email Address" dataDxfId="5" dataCellStyle="Normal 2"/>
    <tableColumn id="15" name="Phone Number " dataDxfId="4" dataCellStyle="Normal 2"/>
    <tableColumn id="16" name="Extension" dataDxfId="3" dataCellStyle="Normal 2"/>
    <tableColumn id="17" name="Location Type" dataDxfId="2" dataCellStyle="Normal 2"/>
    <tableColumn id="18" name="Column1" dataDxfId="1" dataCellStyle="Normal 2"/>
    <tableColumn id="19" name="Notes:" dataDxfId="0"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edwin@torgan.com" TargetMode="External"/><Relationship Id="rId1" Type="http://schemas.openxmlformats.org/officeDocument/2006/relationships/hyperlink" Target="mailto:edwin@torgan.com" TargetMode="External"/><Relationship Id="rId6" Type="http://schemas.openxmlformats.org/officeDocument/2006/relationships/comments" Target="../comments2.xml"/><Relationship Id="rId5" Type="http://schemas.openxmlformats.org/officeDocument/2006/relationships/table" Target="../tables/table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info@gulfpacific.ca" TargetMode="External"/><Relationship Id="rId1" Type="http://schemas.openxmlformats.org/officeDocument/2006/relationships/hyperlink" Target="mailto:cabomac91@gmail.com" TargetMode="External"/><Relationship Id="rId6" Type="http://schemas.openxmlformats.org/officeDocument/2006/relationships/comments" Target="../comments3.xml"/><Relationship Id="rId5" Type="http://schemas.openxmlformats.org/officeDocument/2006/relationships/table" Target="../tables/table3.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64"/>
  <sheetViews>
    <sheetView tabSelected="1" topLeftCell="A151" zoomScale="90" zoomScaleNormal="90" workbookViewId="0">
      <selection activeCell="P165" sqref="P165"/>
    </sheetView>
  </sheetViews>
  <sheetFormatPr defaultRowHeight="15" x14ac:dyDescent="0.25"/>
  <cols>
    <col min="1" max="1" width="19.5703125" style="1" customWidth="1"/>
    <col min="2" max="2" width="24.85546875" style="1" customWidth="1"/>
    <col min="3" max="3" width="17.5703125" style="1" customWidth="1"/>
    <col min="4" max="4" width="10.42578125" style="9" customWidth="1"/>
    <col min="5" max="5" width="29" style="1" customWidth="1"/>
    <col min="6" max="6" width="30.5703125" style="1" customWidth="1"/>
    <col min="7" max="7" width="12.140625" style="1" customWidth="1"/>
    <col min="8" max="8" width="16.42578125" style="1" customWidth="1"/>
    <col min="9" max="9" width="17.42578125" style="1" customWidth="1"/>
    <col min="10" max="10" width="29.7109375" style="1" customWidth="1"/>
    <col min="11" max="11" width="29.42578125" style="1" customWidth="1"/>
    <col min="12" max="12" width="14.140625" customWidth="1"/>
    <col min="13" max="13" width="14.140625" style="1" customWidth="1"/>
    <col min="14" max="16" width="14.140625" customWidth="1"/>
  </cols>
  <sheetData>
    <row r="1" spans="1:16" ht="34.5" x14ac:dyDescent="0.25">
      <c r="A1" s="20"/>
      <c r="B1" s="21" t="s">
        <v>15</v>
      </c>
      <c r="C1" s="20"/>
      <c r="D1" s="22"/>
      <c r="E1" s="23"/>
      <c r="F1" s="20"/>
      <c r="G1" s="20" t="s">
        <v>16</v>
      </c>
      <c r="H1" s="20"/>
      <c r="I1" s="20"/>
      <c r="J1" s="20"/>
      <c r="K1" s="20"/>
      <c r="L1" s="18"/>
      <c r="M1" s="25"/>
      <c r="N1" s="18"/>
      <c r="O1" s="18"/>
      <c r="P1" s="18"/>
    </row>
    <row r="2" spans="1:16" ht="45" x14ac:dyDescent="0.25">
      <c r="A2" s="19" t="s">
        <v>14</v>
      </c>
      <c r="B2" s="19" t="s">
        <v>13</v>
      </c>
      <c r="C2" s="19" t="s">
        <v>12</v>
      </c>
      <c r="D2" s="24" t="s">
        <v>11</v>
      </c>
      <c r="E2" s="19" t="s">
        <v>10</v>
      </c>
      <c r="F2" s="19" t="s">
        <v>9</v>
      </c>
      <c r="G2" s="19" t="s">
        <v>8</v>
      </c>
      <c r="H2" s="19" t="s">
        <v>7</v>
      </c>
      <c r="I2" s="19" t="s">
        <v>6</v>
      </c>
      <c r="J2" s="19" t="s">
        <v>5</v>
      </c>
      <c r="K2" s="19" t="s">
        <v>4</v>
      </c>
      <c r="L2" s="19" t="s">
        <v>17</v>
      </c>
      <c r="M2" s="19" t="s">
        <v>346</v>
      </c>
      <c r="N2" s="19" t="s">
        <v>430</v>
      </c>
      <c r="O2" s="19" t="s">
        <v>567</v>
      </c>
      <c r="P2" s="74" t="s">
        <v>582</v>
      </c>
    </row>
    <row r="3" spans="1:16" ht="30" customHeight="1" x14ac:dyDescent="0.25">
      <c r="A3" s="4" t="s">
        <v>42</v>
      </c>
      <c r="B3" s="5" t="s">
        <v>43</v>
      </c>
      <c r="C3" s="5" t="s">
        <v>44</v>
      </c>
      <c r="D3" s="5">
        <v>1958</v>
      </c>
      <c r="E3" s="6" t="s">
        <v>45</v>
      </c>
      <c r="F3" s="6" t="s">
        <v>46</v>
      </c>
      <c r="G3" s="6" t="s">
        <v>3</v>
      </c>
      <c r="H3" s="6" t="s">
        <v>1</v>
      </c>
      <c r="I3" s="7" t="s">
        <v>39</v>
      </c>
      <c r="J3" s="7" t="s">
        <v>39</v>
      </c>
      <c r="K3" s="8" t="s">
        <v>39</v>
      </c>
      <c r="L3" t="s">
        <v>18</v>
      </c>
      <c r="M3"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3" t="s">
        <v>342</v>
      </c>
      <c r="O3" t="s">
        <v>568</v>
      </c>
      <c r="P3" t="s">
        <v>620</v>
      </c>
    </row>
    <row r="4" spans="1:16" ht="15" customHeight="1" x14ac:dyDescent="0.25">
      <c r="A4" s="2" t="s">
        <v>47</v>
      </c>
      <c r="B4" s="2" t="s">
        <v>95</v>
      </c>
      <c r="C4" s="2" t="s">
        <v>149</v>
      </c>
      <c r="D4" s="3" t="s">
        <v>106</v>
      </c>
      <c r="E4" s="2" t="s">
        <v>110</v>
      </c>
      <c r="F4" s="2" t="s">
        <v>130</v>
      </c>
      <c r="G4" s="2" t="s">
        <v>3</v>
      </c>
      <c r="H4" s="2" t="s">
        <v>130</v>
      </c>
      <c r="I4" s="1" t="s">
        <v>39</v>
      </c>
      <c r="J4" s="1" t="s">
        <v>39</v>
      </c>
      <c r="K4" s="1" t="s">
        <v>39</v>
      </c>
      <c r="L4" t="s">
        <v>18</v>
      </c>
      <c r="M4"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4" t="s">
        <v>341</v>
      </c>
      <c r="O4" t="s">
        <v>568</v>
      </c>
      <c r="P4" t="s">
        <v>1454</v>
      </c>
    </row>
    <row r="5" spans="1:16" ht="30" customHeight="1" x14ac:dyDescent="0.25">
      <c r="A5" s="3" t="s">
        <v>48</v>
      </c>
      <c r="B5" s="3" t="s">
        <v>150</v>
      </c>
      <c r="C5" s="3" t="s">
        <v>151</v>
      </c>
      <c r="D5" s="3">
        <v>2011</v>
      </c>
      <c r="E5" s="2" t="s">
        <v>118</v>
      </c>
      <c r="F5" s="2" t="s">
        <v>130</v>
      </c>
      <c r="G5" s="2" t="s">
        <v>3</v>
      </c>
      <c r="H5" s="2" t="s">
        <v>1</v>
      </c>
      <c r="I5" s="1" t="s">
        <v>39</v>
      </c>
      <c r="J5" s="1" t="s">
        <v>39</v>
      </c>
      <c r="K5" s="1" t="s">
        <v>39</v>
      </c>
      <c r="L5" t="s">
        <v>18</v>
      </c>
      <c r="M5"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5" t="s">
        <v>342</v>
      </c>
      <c r="O5" t="s">
        <v>568</v>
      </c>
      <c r="P5" t="s">
        <v>626</v>
      </c>
    </row>
    <row r="6" spans="1:16" ht="30" customHeight="1" x14ac:dyDescent="0.25">
      <c r="A6" s="3" t="s">
        <v>49</v>
      </c>
      <c r="B6" s="3" t="s">
        <v>153</v>
      </c>
      <c r="C6" s="3" t="s">
        <v>152</v>
      </c>
      <c r="D6" s="3">
        <v>2013</v>
      </c>
      <c r="E6" s="2" t="s">
        <v>111</v>
      </c>
      <c r="F6" s="2" t="s">
        <v>144</v>
      </c>
      <c r="G6" s="2" t="s">
        <v>1</v>
      </c>
      <c r="H6" s="2" t="s">
        <v>130</v>
      </c>
      <c r="I6" s="1" t="s">
        <v>39</v>
      </c>
      <c r="J6" s="1" t="s">
        <v>39</v>
      </c>
      <c r="K6" s="1" t="s">
        <v>39</v>
      </c>
      <c r="L6" t="s">
        <v>18</v>
      </c>
      <c r="M6"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6" t="s">
        <v>342</v>
      </c>
      <c r="O6" t="s">
        <v>568</v>
      </c>
      <c r="P6" t="s">
        <v>630</v>
      </c>
    </row>
    <row r="7" spans="1:16" ht="45" customHeight="1" x14ac:dyDescent="0.25">
      <c r="A7" s="3" t="s">
        <v>50</v>
      </c>
      <c r="B7" s="3" t="s">
        <v>590</v>
      </c>
      <c r="C7" s="3" t="s">
        <v>154</v>
      </c>
      <c r="D7" s="3">
        <v>1995</v>
      </c>
      <c r="E7" s="2" t="s">
        <v>122</v>
      </c>
      <c r="F7" s="2" t="s">
        <v>144</v>
      </c>
      <c r="G7" s="2" t="s">
        <v>3</v>
      </c>
      <c r="H7" s="2" t="s">
        <v>3</v>
      </c>
      <c r="I7" s="1" t="s">
        <v>39</v>
      </c>
      <c r="J7" s="1" t="s">
        <v>39</v>
      </c>
      <c r="K7" s="1" t="s">
        <v>39</v>
      </c>
      <c r="L7" t="s">
        <v>18</v>
      </c>
      <c r="M7"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Complete</v>
      </c>
      <c r="N7" t="s">
        <v>342</v>
      </c>
      <c r="O7" t="s">
        <v>568</v>
      </c>
      <c r="P7" t="s">
        <v>591</v>
      </c>
    </row>
    <row r="8" spans="1:16" ht="45" customHeight="1" x14ac:dyDescent="0.25">
      <c r="A8" s="1" t="s">
        <v>51</v>
      </c>
      <c r="B8" s="1" t="s">
        <v>155</v>
      </c>
      <c r="C8" s="1" t="s">
        <v>156</v>
      </c>
      <c r="D8" s="9">
        <v>1972</v>
      </c>
      <c r="E8" s="1" t="s">
        <v>122</v>
      </c>
      <c r="F8" s="1" t="s">
        <v>29</v>
      </c>
      <c r="G8" s="1" t="s">
        <v>1</v>
      </c>
      <c r="H8" s="1" t="s">
        <v>3</v>
      </c>
      <c r="I8" s="1" t="s">
        <v>39</v>
      </c>
      <c r="J8" s="1" t="s">
        <v>39</v>
      </c>
      <c r="K8" s="1" t="s">
        <v>39</v>
      </c>
      <c r="L8" t="s">
        <v>18</v>
      </c>
      <c r="M8"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Complete</v>
      </c>
      <c r="N8" t="s">
        <v>342</v>
      </c>
      <c r="O8" t="s">
        <v>568</v>
      </c>
      <c r="P8" t="s">
        <v>633</v>
      </c>
    </row>
    <row r="9" spans="1:16" ht="60" customHeight="1" x14ac:dyDescent="0.25">
      <c r="A9" s="1" t="s">
        <v>52</v>
      </c>
      <c r="B9" s="1" t="s">
        <v>594</v>
      </c>
      <c r="C9" s="1" t="s">
        <v>157</v>
      </c>
      <c r="D9" s="9">
        <v>1964</v>
      </c>
      <c r="E9" s="1" t="s">
        <v>123</v>
      </c>
      <c r="F9" s="1" t="s">
        <v>145</v>
      </c>
      <c r="G9" s="1" t="s">
        <v>1</v>
      </c>
      <c r="H9" s="1" t="s">
        <v>3</v>
      </c>
      <c r="I9" s="1" t="s">
        <v>39</v>
      </c>
      <c r="J9" s="1" t="s">
        <v>39</v>
      </c>
      <c r="K9" s="1" t="s">
        <v>39</v>
      </c>
      <c r="L9" t="s">
        <v>18</v>
      </c>
      <c r="M9"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Complete</v>
      </c>
      <c r="N9" t="s">
        <v>342</v>
      </c>
      <c r="O9" t="s">
        <v>568</v>
      </c>
      <c r="P9" t="s">
        <v>593</v>
      </c>
    </row>
    <row r="10" spans="1:16" ht="30.75" customHeight="1" x14ac:dyDescent="0.25">
      <c r="A10" s="1" t="s">
        <v>53</v>
      </c>
      <c r="B10" s="1" t="s">
        <v>158</v>
      </c>
      <c r="C10" s="1" t="s">
        <v>159</v>
      </c>
      <c r="D10" s="9">
        <v>1983</v>
      </c>
      <c r="E10" s="1" t="s">
        <v>112</v>
      </c>
      <c r="F10" s="1" t="s">
        <v>131</v>
      </c>
      <c r="G10" s="1" t="s">
        <v>1</v>
      </c>
      <c r="H10" s="1" t="s">
        <v>1</v>
      </c>
      <c r="I10" s="1" t="s">
        <v>39</v>
      </c>
      <c r="J10" s="1" t="s">
        <v>134</v>
      </c>
      <c r="K10" s="1" t="s">
        <v>39</v>
      </c>
      <c r="L10" t="s">
        <v>18</v>
      </c>
      <c r="M10"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10" t="s">
        <v>342</v>
      </c>
      <c r="O10" t="s">
        <v>568</v>
      </c>
    </row>
    <row r="11" spans="1:16" ht="45" customHeight="1" x14ac:dyDescent="0.25">
      <c r="A11" s="1" t="s">
        <v>54</v>
      </c>
      <c r="B11" s="1" t="s">
        <v>604</v>
      </c>
      <c r="C11" s="1" t="s">
        <v>160</v>
      </c>
      <c r="D11" s="9">
        <v>1953</v>
      </c>
      <c r="E11" s="1" t="s">
        <v>124</v>
      </c>
      <c r="F11" s="1" t="s">
        <v>131</v>
      </c>
      <c r="G11" s="1" t="s">
        <v>3</v>
      </c>
      <c r="H11" s="1" t="s">
        <v>130</v>
      </c>
      <c r="I11" s="1" t="s">
        <v>39</v>
      </c>
      <c r="J11" s="1" t="s">
        <v>135</v>
      </c>
      <c r="K11" s="1" t="s">
        <v>39</v>
      </c>
      <c r="L11" t="s">
        <v>18</v>
      </c>
      <c r="M11"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11" t="s">
        <v>342</v>
      </c>
      <c r="O11" t="s">
        <v>568</v>
      </c>
      <c r="P11" t="s">
        <v>605</v>
      </c>
    </row>
    <row r="12" spans="1:16" ht="30" customHeight="1" x14ac:dyDescent="0.25">
      <c r="A12" s="1" t="s">
        <v>55</v>
      </c>
      <c r="B12" s="1" t="s">
        <v>161</v>
      </c>
      <c r="C12" s="1" t="s">
        <v>162</v>
      </c>
      <c r="D12" s="9">
        <v>1968</v>
      </c>
      <c r="E12" s="1" t="s">
        <v>22</v>
      </c>
      <c r="F12" s="1" t="s">
        <v>131</v>
      </c>
      <c r="G12" s="1" t="s">
        <v>1</v>
      </c>
      <c r="H12" s="1" t="s">
        <v>130</v>
      </c>
      <c r="I12" s="1" t="s">
        <v>1</v>
      </c>
      <c r="J12" s="1" t="s">
        <v>39</v>
      </c>
      <c r="K12" s="1" t="s">
        <v>39</v>
      </c>
      <c r="L12" t="s">
        <v>18</v>
      </c>
      <c r="M12"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12" t="s">
        <v>342</v>
      </c>
      <c r="O12" t="s">
        <v>568</v>
      </c>
      <c r="P12" t="s">
        <v>1725</v>
      </c>
    </row>
    <row r="13" spans="1:16" ht="30" customHeight="1" x14ac:dyDescent="0.25">
      <c r="A13" s="1" t="s">
        <v>56</v>
      </c>
      <c r="B13" s="1" t="s">
        <v>164</v>
      </c>
      <c r="C13" s="1" t="s">
        <v>163</v>
      </c>
      <c r="D13" s="9">
        <v>2004</v>
      </c>
      <c r="E13" s="1" t="s">
        <v>113</v>
      </c>
      <c r="F13" s="1" t="s">
        <v>130</v>
      </c>
      <c r="G13" s="1" t="s">
        <v>1</v>
      </c>
      <c r="H13" s="1" t="s">
        <v>1</v>
      </c>
      <c r="I13" s="1" t="s">
        <v>1</v>
      </c>
      <c r="J13" s="1" t="s">
        <v>39</v>
      </c>
      <c r="K13" s="1" t="s">
        <v>39</v>
      </c>
      <c r="L13" t="s">
        <v>18</v>
      </c>
      <c r="M13"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No Recycling Program</v>
      </c>
      <c r="N13" t="s">
        <v>342</v>
      </c>
      <c r="O13" t="s">
        <v>568</v>
      </c>
      <c r="P13" t="s">
        <v>629</v>
      </c>
    </row>
    <row r="14" spans="1:16" ht="45" customHeight="1" x14ac:dyDescent="0.25">
      <c r="A14" s="1" t="s">
        <v>57</v>
      </c>
      <c r="B14" s="1" t="s">
        <v>166</v>
      </c>
      <c r="C14" s="1" t="s">
        <v>167</v>
      </c>
      <c r="D14" s="9">
        <v>1968</v>
      </c>
      <c r="E14" s="1" t="s">
        <v>114</v>
      </c>
      <c r="F14" s="1" t="s">
        <v>144</v>
      </c>
      <c r="G14" s="1" t="s">
        <v>3</v>
      </c>
      <c r="H14" s="1" t="s">
        <v>1</v>
      </c>
      <c r="I14" s="1" t="s">
        <v>3</v>
      </c>
      <c r="J14" s="1" t="s">
        <v>136</v>
      </c>
      <c r="K14" s="1" t="s">
        <v>0</v>
      </c>
      <c r="L14" t="s">
        <v>18</v>
      </c>
      <c r="M14"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14" t="s">
        <v>342</v>
      </c>
      <c r="O14" t="s">
        <v>568</v>
      </c>
      <c r="P14" t="s">
        <v>595</v>
      </c>
    </row>
    <row r="15" spans="1:16" ht="30" customHeight="1" x14ac:dyDescent="0.25">
      <c r="A15" s="1" t="s">
        <v>3873</v>
      </c>
      <c r="B15" s="1" t="s">
        <v>168</v>
      </c>
      <c r="C15" s="1" t="s">
        <v>169</v>
      </c>
      <c r="D15" s="9">
        <v>2013</v>
      </c>
      <c r="E15" s="1" t="s">
        <v>115</v>
      </c>
      <c r="F15" s="1" t="s">
        <v>144</v>
      </c>
      <c r="G15" s="1" t="s">
        <v>3</v>
      </c>
      <c r="H15" s="1" t="s">
        <v>3</v>
      </c>
      <c r="I15" s="1" t="s">
        <v>39</v>
      </c>
      <c r="J15" s="1" t="s">
        <v>39</v>
      </c>
      <c r="K15" s="1" t="s">
        <v>39</v>
      </c>
      <c r="L15" t="s">
        <v>18</v>
      </c>
      <c r="M15"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15" t="s">
        <v>342</v>
      </c>
      <c r="O15" t="s">
        <v>568</v>
      </c>
      <c r="P15" s="75" t="s">
        <v>1720</v>
      </c>
    </row>
    <row r="16" spans="1:16" ht="56.25" customHeight="1" x14ac:dyDescent="0.25">
      <c r="A16" s="1" t="s">
        <v>59</v>
      </c>
      <c r="B16" s="1" t="s">
        <v>170</v>
      </c>
      <c r="C16" s="1" t="s">
        <v>171</v>
      </c>
      <c r="D16" s="9">
        <v>1978</v>
      </c>
      <c r="E16" s="1" t="s">
        <v>116</v>
      </c>
      <c r="F16" s="1" t="s">
        <v>131</v>
      </c>
      <c r="G16" s="1" t="s">
        <v>3</v>
      </c>
      <c r="H16" s="1" t="s">
        <v>130</v>
      </c>
      <c r="I16" s="1" t="s">
        <v>39</v>
      </c>
      <c r="J16" s="1" t="s">
        <v>39</v>
      </c>
      <c r="K16" s="1" t="s">
        <v>39</v>
      </c>
      <c r="L16" t="s">
        <v>18</v>
      </c>
      <c r="M16"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16" t="s">
        <v>341</v>
      </c>
      <c r="O16" t="s">
        <v>568</v>
      </c>
      <c r="P16" t="s">
        <v>1609</v>
      </c>
    </row>
    <row r="17" spans="1:16" ht="30" customHeight="1" x14ac:dyDescent="0.25">
      <c r="A17" s="1" t="s">
        <v>60</v>
      </c>
      <c r="B17" s="1" t="s">
        <v>172</v>
      </c>
      <c r="C17" s="1" t="s">
        <v>173</v>
      </c>
      <c r="D17" s="9">
        <v>1990</v>
      </c>
      <c r="E17" s="1" t="s">
        <v>110</v>
      </c>
      <c r="F17" s="1" t="s">
        <v>130</v>
      </c>
      <c r="G17" s="1" t="s">
        <v>3</v>
      </c>
      <c r="H17" s="1" t="s">
        <v>130</v>
      </c>
      <c r="I17" s="1" t="s">
        <v>39</v>
      </c>
      <c r="J17" s="1" t="s">
        <v>39</v>
      </c>
      <c r="K17" s="1" t="s">
        <v>39</v>
      </c>
      <c r="L17" t="s">
        <v>18</v>
      </c>
      <c r="M17"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17" t="s">
        <v>342</v>
      </c>
      <c r="O17" t="s">
        <v>568</v>
      </c>
      <c r="P17" t="s">
        <v>625</v>
      </c>
    </row>
    <row r="18" spans="1:16" ht="45" customHeight="1" x14ac:dyDescent="0.25">
      <c r="A18" s="1" t="s">
        <v>61</v>
      </c>
      <c r="B18" s="1" t="s">
        <v>174</v>
      </c>
      <c r="C18" s="1" t="s">
        <v>175</v>
      </c>
      <c r="D18" s="9" t="s">
        <v>108</v>
      </c>
      <c r="E18" s="1" t="s">
        <v>124</v>
      </c>
      <c r="F18" s="1" t="s">
        <v>131</v>
      </c>
      <c r="G18" s="1" t="s">
        <v>3</v>
      </c>
      <c r="H18" s="1" t="s">
        <v>130</v>
      </c>
      <c r="I18" s="1" t="s">
        <v>3</v>
      </c>
      <c r="J18" s="1" t="s">
        <v>137</v>
      </c>
      <c r="K18" s="1" t="s">
        <v>0</v>
      </c>
      <c r="L18" t="s">
        <v>18</v>
      </c>
      <c r="M18"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18" t="s">
        <v>342</v>
      </c>
      <c r="O18" t="s">
        <v>568</v>
      </c>
      <c r="P18" t="s">
        <v>615</v>
      </c>
    </row>
    <row r="19" spans="1:16" ht="45" customHeight="1" x14ac:dyDescent="0.25">
      <c r="A19" s="1" t="s">
        <v>62</v>
      </c>
      <c r="B19" s="1" t="s">
        <v>96</v>
      </c>
      <c r="C19" s="1" t="s">
        <v>176</v>
      </c>
      <c r="D19" s="9">
        <v>2009</v>
      </c>
      <c r="E19" s="1" t="s">
        <v>122</v>
      </c>
      <c r="F19" s="1" t="s">
        <v>146</v>
      </c>
      <c r="G19" s="1" t="s">
        <v>1</v>
      </c>
      <c r="H19" s="1" t="s">
        <v>1</v>
      </c>
      <c r="I19" s="1" t="s">
        <v>39</v>
      </c>
      <c r="J19" s="1" t="s">
        <v>39</v>
      </c>
      <c r="K19" s="1" t="s">
        <v>39</v>
      </c>
      <c r="L19" t="s">
        <v>18</v>
      </c>
      <c r="M19"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Complete</v>
      </c>
      <c r="N19" t="s">
        <v>342</v>
      </c>
      <c r="O19" t="s">
        <v>568</v>
      </c>
      <c r="P19" t="s">
        <v>621</v>
      </c>
    </row>
    <row r="20" spans="1:16" ht="67.5" customHeight="1" x14ac:dyDescent="0.25">
      <c r="A20" s="1" t="s">
        <v>63</v>
      </c>
      <c r="B20" s="1" t="s">
        <v>97</v>
      </c>
      <c r="C20" s="1" t="s">
        <v>177</v>
      </c>
      <c r="D20" s="9" t="s">
        <v>109</v>
      </c>
      <c r="E20" s="1" t="s">
        <v>115</v>
      </c>
      <c r="F20" s="1" t="s">
        <v>132</v>
      </c>
      <c r="G20" s="1" t="s">
        <v>3</v>
      </c>
      <c r="H20" s="1" t="s">
        <v>3</v>
      </c>
      <c r="I20" s="1" t="s">
        <v>39</v>
      </c>
      <c r="J20" s="1" t="s">
        <v>39</v>
      </c>
      <c r="K20" s="1" t="s">
        <v>39</v>
      </c>
      <c r="L20" t="s">
        <v>18</v>
      </c>
      <c r="M20"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20" t="s">
        <v>341</v>
      </c>
      <c r="O20" t="s">
        <v>568</v>
      </c>
      <c r="P20" t="s">
        <v>1584</v>
      </c>
    </row>
    <row r="21" spans="1:16" ht="30" customHeight="1" x14ac:dyDescent="0.25">
      <c r="A21" s="1" t="s">
        <v>64</v>
      </c>
      <c r="B21" s="1" t="s">
        <v>178</v>
      </c>
      <c r="C21" s="1" t="s">
        <v>179</v>
      </c>
      <c r="D21" s="9">
        <v>1989</v>
      </c>
      <c r="E21" s="1" t="s">
        <v>110</v>
      </c>
      <c r="F21" s="1" t="s">
        <v>130</v>
      </c>
      <c r="G21" s="1" t="s">
        <v>3</v>
      </c>
      <c r="H21" s="1" t="s">
        <v>130</v>
      </c>
      <c r="I21" s="1" t="s">
        <v>39</v>
      </c>
      <c r="J21" s="1" t="s">
        <v>39</v>
      </c>
      <c r="K21" s="1" t="s">
        <v>39</v>
      </c>
      <c r="L21" t="s">
        <v>18</v>
      </c>
      <c r="M21"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21" t="s">
        <v>342</v>
      </c>
      <c r="O21" t="s">
        <v>568</v>
      </c>
      <c r="P21" t="s">
        <v>597</v>
      </c>
    </row>
    <row r="22" spans="1:16" ht="30" customHeight="1" x14ac:dyDescent="0.25">
      <c r="A22" s="1" t="s">
        <v>65</v>
      </c>
      <c r="B22" s="1" t="s">
        <v>180</v>
      </c>
      <c r="C22" s="1" t="s">
        <v>181</v>
      </c>
      <c r="D22" s="9">
        <v>1964</v>
      </c>
      <c r="E22" s="1" t="s">
        <v>26</v>
      </c>
      <c r="F22" s="1" t="s">
        <v>130</v>
      </c>
      <c r="G22" s="1" t="s">
        <v>39</v>
      </c>
      <c r="H22" s="1" t="s">
        <v>130</v>
      </c>
      <c r="I22" s="1" t="s">
        <v>39</v>
      </c>
      <c r="J22" s="1" t="s">
        <v>39</v>
      </c>
      <c r="K22" s="1" t="s">
        <v>39</v>
      </c>
      <c r="L22" t="s">
        <v>18</v>
      </c>
      <c r="M22"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22" t="s">
        <v>342</v>
      </c>
      <c r="O22" t="s">
        <v>568</v>
      </c>
      <c r="P22" t="s">
        <v>585</v>
      </c>
    </row>
    <row r="23" spans="1:16" ht="30" customHeight="1" x14ac:dyDescent="0.25">
      <c r="A23" s="1" t="s">
        <v>66</v>
      </c>
      <c r="B23" s="1" t="s">
        <v>182</v>
      </c>
      <c r="C23" s="1" t="s">
        <v>183</v>
      </c>
      <c r="D23" s="9">
        <v>1990</v>
      </c>
      <c r="E23" s="1" t="s">
        <v>110</v>
      </c>
      <c r="F23" s="1" t="s">
        <v>131</v>
      </c>
      <c r="G23" s="1" t="s">
        <v>1</v>
      </c>
      <c r="H23" s="1" t="s">
        <v>3</v>
      </c>
      <c r="I23" s="1" t="s">
        <v>1</v>
      </c>
      <c r="J23" s="1" t="s">
        <v>138</v>
      </c>
      <c r="K23" s="1" t="s">
        <v>39</v>
      </c>
      <c r="L23" t="s">
        <v>18</v>
      </c>
      <c r="M23"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23" t="s">
        <v>341</v>
      </c>
      <c r="O23" t="s">
        <v>568</v>
      </c>
      <c r="P23" t="s">
        <v>1541</v>
      </c>
    </row>
    <row r="24" spans="1:16" ht="45" customHeight="1" x14ac:dyDescent="0.25">
      <c r="A24" s="1" t="s">
        <v>67</v>
      </c>
      <c r="B24" s="1" t="s">
        <v>184</v>
      </c>
      <c r="C24" s="1" t="s">
        <v>185</v>
      </c>
      <c r="D24" s="9">
        <v>2004</v>
      </c>
      <c r="E24" s="1" t="s">
        <v>122</v>
      </c>
      <c r="F24" s="1" t="s">
        <v>29</v>
      </c>
      <c r="G24" s="1" t="s">
        <v>1</v>
      </c>
      <c r="H24" s="1" t="s">
        <v>3</v>
      </c>
      <c r="I24" s="1" t="s">
        <v>3</v>
      </c>
      <c r="J24" s="1" t="s">
        <v>39</v>
      </c>
      <c r="K24" s="1" t="s">
        <v>39</v>
      </c>
      <c r="L24" t="s">
        <v>18</v>
      </c>
      <c r="M24"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Complete</v>
      </c>
      <c r="N24" t="s">
        <v>341</v>
      </c>
      <c r="O24" t="s">
        <v>568</v>
      </c>
      <c r="P24" t="s">
        <v>1496</v>
      </c>
    </row>
    <row r="25" spans="1:16" ht="30" customHeight="1" x14ac:dyDescent="0.25">
      <c r="A25" s="1" t="s">
        <v>68</v>
      </c>
      <c r="B25" s="1" t="s">
        <v>186</v>
      </c>
      <c r="C25" s="1" t="s">
        <v>187</v>
      </c>
      <c r="D25" s="9" t="s">
        <v>106</v>
      </c>
      <c r="E25" s="1" t="s">
        <v>22</v>
      </c>
      <c r="F25" s="1" t="s">
        <v>130</v>
      </c>
      <c r="G25" s="1" t="s">
        <v>3</v>
      </c>
      <c r="H25" s="1" t="s">
        <v>130</v>
      </c>
      <c r="I25" s="1" t="s">
        <v>39</v>
      </c>
      <c r="J25" s="1" t="s">
        <v>39</v>
      </c>
      <c r="K25" s="1" t="s">
        <v>39</v>
      </c>
      <c r="L25" t="s">
        <v>18</v>
      </c>
      <c r="M25"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25" t="s">
        <v>342</v>
      </c>
      <c r="O25" t="s">
        <v>568</v>
      </c>
      <c r="P25" t="s">
        <v>612</v>
      </c>
    </row>
    <row r="26" spans="1:16" ht="30" customHeight="1" x14ac:dyDescent="0.25">
      <c r="A26" s="1" t="s">
        <v>69</v>
      </c>
      <c r="B26" s="1" t="s">
        <v>188</v>
      </c>
      <c r="C26" s="1" t="s">
        <v>189</v>
      </c>
      <c r="D26" s="9">
        <v>1988</v>
      </c>
      <c r="E26" s="1" t="s">
        <v>119</v>
      </c>
      <c r="F26" s="1" t="s">
        <v>130</v>
      </c>
      <c r="G26" s="1" t="s">
        <v>3</v>
      </c>
      <c r="H26" s="1" t="s">
        <v>3</v>
      </c>
      <c r="I26" s="1" t="s">
        <v>39</v>
      </c>
      <c r="J26" s="1" t="s">
        <v>39</v>
      </c>
      <c r="K26" s="1" t="s">
        <v>39</v>
      </c>
      <c r="L26" t="s">
        <v>18</v>
      </c>
      <c r="M26"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26" t="s">
        <v>341</v>
      </c>
      <c r="O26" t="s">
        <v>568</v>
      </c>
      <c r="P26" t="s">
        <v>1564</v>
      </c>
    </row>
    <row r="27" spans="1:16" ht="45" customHeight="1" x14ac:dyDescent="0.25">
      <c r="A27" s="1" t="s">
        <v>344</v>
      </c>
      <c r="B27" s="1" t="s">
        <v>190</v>
      </c>
      <c r="C27" s="1" t="s">
        <v>193</v>
      </c>
      <c r="D27" s="9">
        <v>1984</v>
      </c>
      <c r="E27" s="1" t="s">
        <v>122</v>
      </c>
      <c r="F27" s="1" t="s">
        <v>130</v>
      </c>
      <c r="G27" s="1" t="s">
        <v>1</v>
      </c>
      <c r="H27" s="1" t="s">
        <v>3</v>
      </c>
      <c r="I27" s="1" t="s">
        <v>39</v>
      </c>
      <c r="J27" s="1" t="s">
        <v>39</v>
      </c>
      <c r="K27" s="1" t="s">
        <v>39</v>
      </c>
      <c r="L27" t="s">
        <v>18</v>
      </c>
      <c r="M27"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Complete</v>
      </c>
      <c r="N27" t="s">
        <v>342</v>
      </c>
      <c r="O27" t="s">
        <v>568</v>
      </c>
      <c r="P27" t="s">
        <v>588</v>
      </c>
    </row>
    <row r="28" spans="1:16" ht="30" customHeight="1" x14ac:dyDescent="0.25">
      <c r="A28" s="1" t="s">
        <v>70</v>
      </c>
      <c r="B28" s="1" t="s">
        <v>191</v>
      </c>
      <c r="C28" s="1" t="s">
        <v>192</v>
      </c>
      <c r="D28" s="9" t="s">
        <v>107</v>
      </c>
      <c r="E28" s="1" t="s">
        <v>119</v>
      </c>
      <c r="F28" s="1" t="s">
        <v>132</v>
      </c>
      <c r="G28" s="1" t="s">
        <v>3</v>
      </c>
      <c r="H28" s="1" t="s">
        <v>3</v>
      </c>
      <c r="I28" s="1" t="s">
        <v>39</v>
      </c>
      <c r="J28" s="1" t="s">
        <v>39</v>
      </c>
      <c r="K28" s="1" t="s">
        <v>39</v>
      </c>
      <c r="L28" t="s">
        <v>18</v>
      </c>
      <c r="M28"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28" t="s">
        <v>341</v>
      </c>
      <c r="O28" t="s">
        <v>568</v>
      </c>
      <c r="P28" t="s">
        <v>1643</v>
      </c>
    </row>
    <row r="29" spans="1:16" ht="45" customHeight="1" x14ac:dyDescent="0.25">
      <c r="A29" s="1" t="s">
        <v>71</v>
      </c>
      <c r="B29" s="1" t="s">
        <v>98</v>
      </c>
      <c r="C29" s="1" t="s">
        <v>194</v>
      </c>
      <c r="D29" s="9">
        <v>1998</v>
      </c>
      <c r="E29" s="1" t="s">
        <v>122</v>
      </c>
      <c r="F29" s="1" t="s">
        <v>145</v>
      </c>
      <c r="G29" s="1" t="s">
        <v>3</v>
      </c>
      <c r="H29" s="1" t="s">
        <v>3</v>
      </c>
      <c r="I29" s="1" t="s">
        <v>39</v>
      </c>
      <c r="J29" s="1" t="s">
        <v>39</v>
      </c>
      <c r="K29" s="1" t="s">
        <v>39</v>
      </c>
      <c r="L29" t="s">
        <v>18</v>
      </c>
      <c r="M29"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Complete</v>
      </c>
      <c r="N29" t="s">
        <v>342</v>
      </c>
      <c r="O29" t="s">
        <v>568</v>
      </c>
      <c r="P29" t="s">
        <v>611</v>
      </c>
    </row>
    <row r="30" spans="1:16" ht="30" customHeight="1" x14ac:dyDescent="0.25">
      <c r="A30" s="1" t="s">
        <v>72</v>
      </c>
      <c r="B30" s="1" t="s">
        <v>197</v>
      </c>
      <c r="C30" s="1" t="s">
        <v>198</v>
      </c>
      <c r="D30" s="9">
        <v>2000</v>
      </c>
      <c r="E30" s="1" t="s">
        <v>113</v>
      </c>
      <c r="F30" s="1" t="s">
        <v>130</v>
      </c>
      <c r="G30" s="1" t="s">
        <v>39</v>
      </c>
      <c r="H30" s="1" t="s">
        <v>130</v>
      </c>
      <c r="I30" s="1" t="s">
        <v>1</v>
      </c>
      <c r="J30" s="1" t="s">
        <v>39</v>
      </c>
      <c r="K30" s="1" t="s">
        <v>39</v>
      </c>
      <c r="L30" t="s">
        <v>18</v>
      </c>
      <c r="M30"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No Recycling Program</v>
      </c>
      <c r="N30" t="s">
        <v>342</v>
      </c>
      <c r="O30" t="s">
        <v>568</v>
      </c>
      <c r="P30" t="s">
        <v>616</v>
      </c>
    </row>
    <row r="31" spans="1:16" ht="45" customHeight="1" x14ac:dyDescent="0.25">
      <c r="A31" s="1" t="s">
        <v>73</v>
      </c>
      <c r="B31" s="1" t="s">
        <v>631</v>
      </c>
      <c r="C31" s="1" t="s">
        <v>199</v>
      </c>
      <c r="D31" s="9">
        <v>1968</v>
      </c>
      <c r="E31" s="1" t="s">
        <v>122</v>
      </c>
      <c r="F31" s="1" t="s">
        <v>146</v>
      </c>
      <c r="G31" s="1" t="s">
        <v>1</v>
      </c>
      <c r="H31" s="1" t="s">
        <v>1</v>
      </c>
      <c r="I31" s="1" t="s">
        <v>39</v>
      </c>
      <c r="J31" s="1" t="s">
        <v>39</v>
      </c>
      <c r="K31" s="1" t="s">
        <v>39</v>
      </c>
      <c r="L31" t="s">
        <v>18</v>
      </c>
      <c r="M31"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Complete</v>
      </c>
      <c r="N31" t="s">
        <v>342</v>
      </c>
      <c r="O31" t="s">
        <v>568</v>
      </c>
      <c r="P31" t="s">
        <v>632</v>
      </c>
    </row>
    <row r="32" spans="1:16" ht="30" customHeight="1" x14ac:dyDescent="0.25">
      <c r="A32" s="1" t="s">
        <v>74</v>
      </c>
      <c r="B32" s="1" t="s">
        <v>201</v>
      </c>
      <c r="C32" s="1" t="s">
        <v>200</v>
      </c>
      <c r="D32" s="9">
        <v>1989</v>
      </c>
      <c r="E32" s="1" t="s">
        <v>22</v>
      </c>
      <c r="F32" s="1" t="s">
        <v>130</v>
      </c>
      <c r="G32" s="1" t="s">
        <v>1</v>
      </c>
      <c r="H32" s="1" t="s">
        <v>130</v>
      </c>
      <c r="I32" s="1" t="s">
        <v>1</v>
      </c>
      <c r="J32" s="1" t="s">
        <v>39</v>
      </c>
      <c r="K32" s="1" t="s">
        <v>39</v>
      </c>
      <c r="L32" t="s">
        <v>18</v>
      </c>
      <c r="M32"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32" t="s">
        <v>341</v>
      </c>
      <c r="O32" t="s">
        <v>568</v>
      </c>
      <c r="P32" t="s">
        <v>1599</v>
      </c>
    </row>
    <row r="33" spans="1:16" ht="30" customHeight="1" x14ac:dyDescent="0.25">
      <c r="A33" s="1" t="s">
        <v>75</v>
      </c>
      <c r="B33" s="1" t="s">
        <v>202</v>
      </c>
      <c r="C33" s="1" t="s">
        <v>203</v>
      </c>
      <c r="D33" s="9">
        <v>2005</v>
      </c>
      <c r="E33" s="1" t="s">
        <v>119</v>
      </c>
      <c r="F33" s="1" t="s">
        <v>147</v>
      </c>
      <c r="G33" s="1" t="s">
        <v>1</v>
      </c>
      <c r="H33" s="1" t="s">
        <v>3</v>
      </c>
      <c r="I33" s="1" t="s">
        <v>39</v>
      </c>
      <c r="J33" s="1" t="s">
        <v>39</v>
      </c>
      <c r="K33" s="1" t="s">
        <v>39</v>
      </c>
      <c r="L33" t="s">
        <v>18</v>
      </c>
      <c r="M33"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33" t="s">
        <v>342</v>
      </c>
      <c r="O33" t="s">
        <v>568</v>
      </c>
      <c r="P33" t="s">
        <v>617</v>
      </c>
    </row>
    <row r="34" spans="1:16" ht="45" customHeight="1" x14ac:dyDescent="0.25">
      <c r="A34" s="1" t="s">
        <v>76</v>
      </c>
      <c r="B34" s="1" t="s">
        <v>99</v>
      </c>
      <c r="C34" s="1" t="s">
        <v>204</v>
      </c>
      <c r="D34" s="9">
        <v>2003</v>
      </c>
      <c r="E34" s="1" t="s">
        <v>125</v>
      </c>
      <c r="F34" s="1" t="s">
        <v>133</v>
      </c>
      <c r="G34" s="1" t="s">
        <v>3</v>
      </c>
      <c r="H34" s="1" t="s">
        <v>3</v>
      </c>
      <c r="I34" s="1" t="s">
        <v>39</v>
      </c>
      <c r="J34" s="1" t="s">
        <v>39</v>
      </c>
      <c r="K34" s="1" t="s">
        <v>39</v>
      </c>
      <c r="L34" t="s">
        <v>18</v>
      </c>
      <c r="M34"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34" t="s">
        <v>341</v>
      </c>
      <c r="O34" t="s">
        <v>568</v>
      </c>
      <c r="P34" t="s">
        <v>1501</v>
      </c>
    </row>
    <row r="35" spans="1:16" ht="45" customHeight="1" x14ac:dyDescent="0.25">
      <c r="A35" s="16" t="s">
        <v>77</v>
      </c>
      <c r="B35" s="1" t="s">
        <v>100</v>
      </c>
      <c r="C35" s="1" t="s">
        <v>205</v>
      </c>
      <c r="D35" s="9">
        <v>1987</v>
      </c>
      <c r="E35" s="1" t="s">
        <v>126</v>
      </c>
      <c r="F35" s="1" t="s">
        <v>145</v>
      </c>
      <c r="G35" s="1" t="s">
        <v>3</v>
      </c>
      <c r="H35" s="1" t="s">
        <v>3</v>
      </c>
      <c r="I35" s="1" t="s">
        <v>39</v>
      </c>
      <c r="J35" s="1" t="s">
        <v>139</v>
      </c>
      <c r="K35" s="16" t="s">
        <v>39</v>
      </c>
      <c r="L35" t="s">
        <v>18</v>
      </c>
      <c r="M35"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Complete</v>
      </c>
      <c r="N35" t="s">
        <v>341</v>
      </c>
      <c r="O35" t="s">
        <v>568</v>
      </c>
      <c r="P35" t="s">
        <v>1540</v>
      </c>
    </row>
    <row r="36" spans="1:16" ht="30" customHeight="1" x14ac:dyDescent="0.25">
      <c r="A36" s="1" t="s">
        <v>78</v>
      </c>
      <c r="B36" s="1" t="s">
        <v>570</v>
      </c>
      <c r="C36" s="1" t="s">
        <v>569</v>
      </c>
      <c r="D36" s="9">
        <v>1967</v>
      </c>
      <c r="E36" s="1" t="s">
        <v>124</v>
      </c>
      <c r="F36" s="1" t="s">
        <v>130</v>
      </c>
      <c r="G36" s="1" t="s">
        <v>1</v>
      </c>
      <c r="H36" s="1" t="s">
        <v>130</v>
      </c>
      <c r="I36" s="1" t="s">
        <v>3</v>
      </c>
      <c r="J36" s="1" t="s">
        <v>140</v>
      </c>
      <c r="K36" s="1" t="s">
        <v>0</v>
      </c>
      <c r="L36" t="s">
        <v>18</v>
      </c>
      <c r="M36"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36" t="s">
        <v>342</v>
      </c>
      <c r="O36" t="s">
        <v>568</v>
      </c>
      <c r="P36" t="s">
        <v>592</v>
      </c>
    </row>
    <row r="37" spans="1:16" ht="45" customHeight="1" x14ac:dyDescent="0.25">
      <c r="A37" s="1" t="s">
        <v>79</v>
      </c>
      <c r="B37" s="1" t="s">
        <v>206</v>
      </c>
      <c r="C37" s="1" t="s">
        <v>207</v>
      </c>
      <c r="D37" s="9">
        <v>2003</v>
      </c>
      <c r="E37" s="1" t="s">
        <v>110</v>
      </c>
      <c r="F37" s="1" t="s">
        <v>131</v>
      </c>
      <c r="G37" s="1" t="s">
        <v>3</v>
      </c>
      <c r="H37" s="1" t="s">
        <v>130</v>
      </c>
      <c r="I37" s="1" t="s">
        <v>3</v>
      </c>
      <c r="J37" s="1" t="s">
        <v>141</v>
      </c>
      <c r="K37" s="1" t="s">
        <v>2</v>
      </c>
      <c r="L37" t="s">
        <v>18</v>
      </c>
      <c r="M37"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37" t="s">
        <v>341</v>
      </c>
      <c r="O37" t="s">
        <v>568</v>
      </c>
      <c r="P37" t="s">
        <v>1677</v>
      </c>
    </row>
    <row r="38" spans="1:16" ht="56.25" customHeight="1" x14ac:dyDescent="0.25">
      <c r="A38" s="1" t="s">
        <v>80</v>
      </c>
      <c r="B38" s="1" t="s">
        <v>208</v>
      </c>
      <c r="C38" s="1" t="s">
        <v>209</v>
      </c>
      <c r="D38" s="9">
        <v>1976</v>
      </c>
      <c r="E38" s="1" t="s">
        <v>115</v>
      </c>
      <c r="F38" s="1" t="s">
        <v>144</v>
      </c>
      <c r="G38" s="1" t="s">
        <v>1</v>
      </c>
      <c r="H38" s="1" t="s">
        <v>3</v>
      </c>
      <c r="I38" s="1" t="s">
        <v>39</v>
      </c>
      <c r="J38" s="1" t="s">
        <v>39</v>
      </c>
      <c r="K38" s="1" t="s">
        <v>39</v>
      </c>
      <c r="L38" t="s">
        <v>18</v>
      </c>
      <c r="M38"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38" t="s">
        <v>341</v>
      </c>
      <c r="O38" t="s">
        <v>568</v>
      </c>
      <c r="P38" t="s">
        <v>1635</v>
      </c>
    </row>
    <row r="39" spans="1:16" ht="45" customHeight="1" x14ac:dyDescent="0.25">
      <c r="A39" s="1" t="s">
        <v>343</v>
      </c>
      <c r="B39" s="1" t="s">
        <v>101</v>
      </c>
      <c r="C39" s="1" t="s">
        <v>210</v>
      </c>
      <c r="D39" s="9">
        <v>2001</v>
      </c>
      <c r="E39" s="1" t="s">
        <v>122</v>
      </c>
      <c r="F39" s="1" t="s">
        <v>144</v>
      </c>
      <c r="G39" s="1" t="s">
        <v>1</v>
      </c>
      <c r="H39" s="1" t="s">
        <v>3</v>
      </c>
      <c r="I39" s="1" t="s">
        <v>39</v>
      </c>
      <c r="J39" s="1" t="s">
        <v>142</v>
      </c>
      <c r="K39" s="1" t="s">
        <v>39</v>
      </c>
      <c r="L39" t="s">
        <v>18</v>
      </c>
      <c r="M39"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Complete</v>
      </c>
      <c r="N39" t="s">
        <v>342</v>
      </c>
      <c r="O39" t="s">
        <v>568</v>
      </c>
      <c r="P39" t="s">
        <v>619</v>
      </c>
    </row>
    <row r="40" spans="1:16" ht="30" customHeight="1" x14ac:dyDescent="0.25">
      <c r="A40" s="1" t="s">
        <v>81</v>
      </c>
      <c r="B40" s="1" t="s">
        <v>211</v>
      </c>
      <c r="C40" s="1" t="s">
        <v>212</v>
      </c>
      <c r="D40" s="9">
        <v>2001</v>
      </c>
      <c r="E40" s="1" t="s">
        <v>119</v>
      </c>
      <c r="F40" s="1" t="s">
        <v>130</v>
      </c>
      <c r="G40" s="1" t="s">
        <v>3</v>
      </c>
      <c r="H40" s="1" t="s">
        <v>3</v>
      </c>
      <c r="I40" s="1" t="s">
        <v>39</v>
      </c>
      <c r="J40" s="1" t="s">
        <v>39</v>
      </c>
      <c r="K40" s="1" t="s">
        <v>39</v>
      </c>
      <c r="L40" t="s">
        <v>18</v>
      </c>
      <c r="M40"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40" t="s">
        <v>342</v>
      </c>
      <c r="O40" t="s">
        <v>568</v>
      </c>
      <c r="P40" t="s">
        <v>609</v>
      </c>
    </row>
    <row r="41" spans="1:16" ht="45" customHeight="1" x14ac:dyDescent="0.25">
      <c r="A41" s="1" t="s">
        <v>82</v>
      </c>
      <c r="B41" s="1" t="s">
        <v>213</v>
      </c>
      <c r="C41" s="1" t="s">
        <v>214</v>
      </c>
      <c r="D41" s="9">
        <v>2007</v>
      </c>
      <c r="E41" s="1" t="s">
        <v>117</v>
      </c>
      <c r="F41" s="1" t="s">
        <v>130</v>
      </c>
      <c r="G41" s="1" t="s">
        <v>1</v>
      </c>
      <c r="H41" s="1" t="s">
        <v>3</v>
      </c>
      <c r="I41" s="1" t="s">
        <v>39</v>
      </c>
      <c r="J41" s="1" t="s">
        <v>39</v>
      </c>
      <c r="K41" s="1" t="s">
        <v>39</v>
      </c>
      <c r="L41" t="s">
        <v>18</v>
      </c>
      <c r="M41"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41" t="s">
        <v>342</v>
      </c>
      <c r="O41" t="s">
        <v>568</v>
      </c>
      <c r="P41" t="s">
        <v>618</v>
      </c>
    </row>
    <row r="42" spans="1:16" ht="56.25" customHeight="1" x14ac:dyDescent="0.25">
      <c r="A42" s="1" t="s">
        <v>83</v>
      </c>
      <c r="B42" s="1" t="s">
        <v>102</v>
      </c>
      <c r="C42" s="1" t="s">
        <v>215</v>
      </c>
      <c r="D42" s="9">
        <v>1970</v>
      </c>
      <c r="E42" s="1" t="s">
        <v>120</v>
      </c>
      <c r="F42" s="1" t="s">
        <v>145</v>
      </c>
      <c r="G42" s="1" t="s">
        <v>3</v>
      </c>
      <c r="H42" s="1" t="s">
        <v>3</v>
      </c>
      <c r="I42" s="1" t="s">
        <v>39</v>
      </c>
      <c r="J42" s="1" t="s">
        <v>39</v>
      </c>
      <c r="K42" s="1" t="s">
        <v>39</v>
      </c>
      <c r="L42" t="s">
        <v>18</v>
      </c>
      <c r="M42"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42" t="s">
        <v>341</v>
      </c>
      <c r="O42" t="s">
        <v>568</v>
      </c>
      <c r="P42" t="s">
        <v>1594</v>
      </c>
    </row>
    <row r="43" spans="1:16" ht="30" customHeight="1" x14ac:dyDescent="0.25">
      <c r="A43" s="1" t="s">
        <v>84</v>
      </c>
      <c r="B43" s="1" t="s">
        <v>571</v>
      </c>
      <c r="C43" s="1" t="s">
        <v>216</v>
      </c>
      <c r="D43" s="9">
        <v>2012</v>
      </c>
      <c r="E43" s="1" t="s">
        <v>121</v>
      </c>
      <c r="F43" s="1" t="s">
        <v>144</v>
      </c>
      <c r="G43" s="1" t="s">
        <v>3</v>
      </c>
      <c r="H43" s="1" t="s">
        <v>1</v>
      </c>
      <c r="I43" s="1" t="s">
        <v>39</v>
      </c>
      <c r="J43" s="1" t="s">
        <v>39</v>
      </c>
      <c r="K43" s="1" t="s">
        <v>39</v>
      </c>
      <c r="L43" t="s">
        <v>18</v>
      </c>
      <c r="M43"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43" t="s">
        <v>342</v>
      </c>
      <c r="O43" t="s">
        <v>568</v>
      </c>
      <c r="P43" t="s">
        <v>628</v>
      </c>
    </row>
    <row r="44" spans="1:16" ht="135" x14ac:dyDescent="0.25">
      <c r="A44" s="1" t="s">
        <v>85</v>
      </c>
      <c r="B44" s="1" t="s">
        <v>196</v>
      </c>
      <c r="C44" s="1" t="s">
        <v>195</v>
      </c>
      <c r="D44" s="9">
        <v>1976</v>
      </c>
      <c r="E44" s="1" t="s">
        <v>127</v>
      </c>
      <c r="F44" s="1" t="s">
        <v>132</v>
      </c>
      <c r="G44" s="1" t="s">
        <v>1</v>
      </c>
      <c r="H44" s="1" t="s">
        <v>1</v>
      </c>
      <c r="I44" s="1" t="s">
        <v>3</v>
      </c>
      <c r="J44" s="1" t="s">
        <v>143</v>
      </c>
      <c r="K44" s="1" t="s">
        <v>2</v>
      </c>
      <c r="L44" t="s">
        <v>18</v>
      </c>
      <c r="M44"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44" t="s">
        <v>341</v>
      </c>
      <c r="O44" t="s">
        <v>568</v>
      </c>
      <c r="P44" t="s">
        <v>1517</v>
      </c>
    </row>
    <row r="45" spans="1:16" ht="45" customHeight="1" x14ac:dyDescent="0.25">
      <c r="A45" s="1" t="s">
        <v>87</v>
      </c>
      <c r="B45" s="1" t="s">
        <v>217</v>
      </c>
      <c r="C45" s="1" t="s">
        <v>218</v>
      </c>
      <c r="D45" s="9">
        <v>1995</v>
      </c>
      <c r="E45" s="1" t="s">
        <v>128</v>
      </c>
      <c r="F45" s="1" t="s">
        <v>130</v>
      </c>
      <c r="G45" s="1" t="s">
        <v>3</v>
      </c>
      <c r="H45" s="1" t="s">
        <v>1</v>
      </c>
      <c r="I45" s="1" t="s">
        <v>39</v>
      </c>
      <c r="J45" s="1" t="s">
        <v>39</v>
      </c>
      <c r="K45" s="1" t="s">
        <v>39</v>
      </c>
      <c r="L45" t="s">
        <v>18</v>
      </c>
      <c r="M45"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45" t="s">
        <v>342</v>
      </c>
      <c r="O45" t="s">
        <v>568</v>
      </c>
      <c r="P45" t="s">
        <v>610</v>
      </c>
    </row>
    <row r="46" spans="1:16" ht="56.25" customHeight="1" x14ac:dyDescent="0.25">
      <c r="A46" s="1" t="s">
        <v>88</v>
      </c>
      <c r="B46" s="1" t="s">
        <v>103</v>
      </c>
      <c r="C46" s="1" t="s">
        <v>219</v>
      </c>
      <c r="D46" s="9">
        <v>1989</v>
      </c>
      <c r="E46" s="1" t="s">
        <v>129</v>
      </c>
      <c r="F46" s="1" t="s">
        <v>130</v>
      </c>
      <c r="G46" s="1" t="s">
        <v>3</v>
      </c>
      <c r="H46" s="1" t="s">
        <v>130</v>
      </c>
      <c r="I46" s="1" t="s">
        <v>39</v>
      </c>
      <c r="J46" s="1" t="s">
        <v>39</v>
      </c>
      <c r="K46" s="1" t="s">
        <v>39</v>
      </c>
      <c r="L46" t="s">
        <v>18</v>
      </c>
      <c r="M46"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46" t="s">
        <v>341</v>
      </c>
      <c r="O46" t="s">
        <v>568</v>
      </c>
      <c r="P46" t="s">
        <v>1489</v>
      </c>
    </row>
    <row r="47" spans="1:16" ht="56.25" customHeight="1" x14ac:dyDescent="0.25">
      <c r="A47" s="1" t="s">
        <v>89</v>
      </c>
      <c r="B47" s="1" t="s">
        <v>221</v>
      </c>
      <c r="C47" s="1" t="s">
        <v>220</v>
      </c>
      <c r="D47" s="9">
        <v>1980</v>
      </c>
      <c r="E47" s="1" t="s">
        <v>22</v>
      </c>
      <c r="F47" s="1" t="s">
        <v>130</v>
      </c>
      <c r="G47" s="1" t="s">
        <v>1</v>
      </c>
      <c r="H47" s="1" t="s">
        <v>130</v>
      </c>
      <c r="I47" s="1" t="s">
        <v>39</v>
      </c>
      <c r="J47" s="1" t="s">
        <v>39</v>
      </c>
      <c r="K47" s="1" t="s">
        <v>39</v>
      </c>
      <c r="L47" t="s">
        <v>18</v>
      </c>
      <c r="M47"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47" t="s">
        <v>341</v>
      </c>
      <c r="O47" t="s">
        <v>568</v>
      </c>
      <c r="P47" t="s">
        <v>1458</v>
      </c>
    </row>
    <row r="48" spans="1:16" ht="45" customHeight="1" x14ac:dyDescent="0.25">
      <c r="A48" s="1" t="s">
        <v>90</v>
      </c>
      <c r="B48" s="1" t="s">
        <v>222</v>
      </c>
      <c r="C48" s="1" t="s">
        <v>223</v>
      </c>
      <c r="D48" s="3" t="s">
        <v>106</v>
      </c>
      <c r="E48" s="1" t="s">
        <v>22</v>
      </c>
      <c r="F48" s="1" t="s">
        <v>130</v>
      </c>
      <c r="G48" s="1" t="s">
        <v>1</v>
      </c>
      <c r="H48" s="1" t="s">
        <v>130</v>
      </c>
      <c r="I48" s="1" t="s">
        <v>1</v>
      </c>
      <c r="J48" s="1" t="s">
        <v>39</v>
      </c>
      <c r="K48" s="1" t="s">
        <v>39</v>
      </c>
      <c r="L48" t="s">
        <v>18</v>
      </c>
      <c r="M48"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48" t="s">
        <v>342</v>
      </c>
      <c r="O48" t="s">
        <v>568</v>
      </c>
      <c r="P48" t="s">
        <v>599</v>
      </c>
    </row>
    <row r="49" spans="1:16" ht="45" customHeight="1" x14ac:dyDescent="0.25">
      <c r="A49" s="1" t="s">
        <v>91</v>
      </c>
      <c r="B49" s="1" t="s">
        <v>224</v>
      </c>
      <c r="C49" s="1" t="s">
        <v>225</v>
      </c>
      <c r="D49" s="9" t="s">
        <v>106</v>
      </c>
      <c r="E49" s="1" t="s">
        <v>22</v>
      </c>
      <c r="F49" s="1" t="s">
        <v>130</v>
      </c>
      <c r="G49" s="1" t="s">
        <v>1</v>
      </c>
      <c r="H49" s="1" t="s">
        <v>1</v>
      </c>
      <c r="I49" s="1" t="s">
        <v>1</v>
      </c>
      <c r="J49" s="1" t="s">
        <v>39</v>
      </c>
      <c r="K49" s="1" t="s">
        <v>39</v>
      </c>
      <c r="L49" t="s">
        <v>18</v>
      </c>
      <c r="M49"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49" t="s">
        <v>342</v>
      </c>
      <c r="O49" t="s">
        <v>568</v>
      </c>
      <c r="P49" t="s">
        <v>622</v>
      </c>
    </row>
    <row r="50" spans="1:16" ht="30" customHeight="1" x14ac:dyDescent="0.25">
      <c r="A50" s="1" t="s">
        <v>92</v>
      </c>
      <c r="B50" s="1" t="s">
        <v>104</v>
      </c>
      <c r="C50" s="1" t="s">
        <v>226</v>
      </c>
      <c r="D50" s="3" t="s">
        <v>106</v>
      </c>
      <c r="E50" s="1" t="s">
        <v>121</v>
      </c>
      <c r="F50" s="1" t="s">
        <v>148</v>
      </c>
      <c r="G50" s="1" t="s">
        <v>3</v>
      </c>
      <c r="H50" s="1" t="s">
        <v>3</v>
      </c>
      <c r="I50" s="1" t="s">
        <v>39</v>
      </c>
      <c r="J50" s="1" t="s">
        <v>39</v>
      </c>
      <c r="K50" s="1" t="s">
        <v>39</v>
      </c>
      <c r="L50" t="s">
        <v>18</v>
      </c>
      <c r="M50"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50" t="s">
        <v>342</v>
      </c>
      <c r="O50" t="s">
        <v>568</v>
      </c>
      <c r="P50" t="s">
        <v>600</v>
      </c>
    </row>
    <row r="51" spans="1:16" ht="60" customHeight="1" x14ac:dyDescent="0.25">
      <c r="A51" s="1" t="s">
        <v>93</v>
      </c>
      <c r="B51" s="1" t="s">
        <v>602</v>
      </c>
      <c r="C51" s="1" t="s">
        <v>601</v>
      </c>
      <c r="D51" s="9">
        <v>1988</v>
      </c>
      <c r="E51" s="1" t="s">
        <v>121</v>
      </c>
      <c r="F51" s="1" t="s">
        <v>144</v>
      </c>
      <c r="G51" s="1" t="s">
        <v>3</v>
      </c>
      <c r="H51" s="1" t="s">
        <v>3</v>
      </c>
      <c r="I51" s="1" t="s">
        <v>39</v>
      </c>
      <c r="J51" s="1" t="s">
        <v>39</v>
      </c>
      <c r="K51" s="1" t="s">
        <v>39</v>
      </c>
      <c r="L51" t="s">
        <v>18</v>
      </c>
      <c r="M51"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51" t="s">
        <v>342</v>
      </c>
      <c r="O51" t="s">
        <v>568</v>
      </c>
      <c r="P51" t="s">
        <v>603</v>
      </c>
    </row>
    <row r="52" spans="1:16" ht="45" customHeight="1" x14ac:dyDescent="0.25">
      <c r="A52" s="1" t="s">
        <v>94</v>
      </c>
      <c r="B52" s="1" t="s">
        <v>105</v>
      </c>
      <c r="C52" s="1" t="s">
        <v>227</v>
      </c>
      <c r="D52" s="9">
        <v>1996</v>
      </c>
      <c r="E52" s="1" t="s">
        <v>122</v>
      </c>
      <c r="F52" s="1" t="s">
        <v>130</v>
      </c>
      <c r="G52" s="1" t="s">
        <v>1</v>
      </c>
      <c r="H52" s="1" t="s">
        <v>3</v>
      </c>
      <c r="I52" s="1" t="s">
        <v>39</v>
      </c>
      <c r="J52" s="1" t="s">
        <v>39</v>
      </c>
      <c r="K52" s="1" t="s">
        <v>39</v>
      </c>
      <c r="L52" t="s">
        <v>18</v>
      </c>
      <c r="M52"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Complete</v>
      </c>
      <c r="N52" t="s">
        <v>342</v>
      </c>
      <c r="O52" t="s">
        <v>568</v>
      </c>
      <c r="P52" t="s">
        <v>598</v>
      </c>
    </row>
    <row r="53" spans="1:16" ht="30" customHeight="1" x14ac:dyDescent="0.25">
      <c r="B53" s="1" t="s">
        <v>228</v>
      </c>
      <c r="C53" s="1" t="s">
        <v>229</v>
      </c>
      <c r="D53" s="3" t="s">
        <v>106</v>
      </c>
      <c r="E53" s="1" t="s">
        <v>26</v>
      </c>
      <c r="F53" s="1" t="s">
        <v>130</v>
      </c>
      <c r="G53" s="1" t="s">
        <v>1</v>
      </c>
      <c r="H53" s="1" t="s">
        <v>1</v>
      </c>
      <c r="I53" s="1" t="s">
        <v>1</v>
      </c>
      <c r="J53" s="1" t="s">
        <v>39</v>
      </c>
      <c r="K53" s="1" t="s">
        <v>39</v>
      </c>
      <c r="L53" t="s">
        <v>18</v>
      </c>
      <c r="M53"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53" t="s">
        <v>342</v>
      </c>
      <c r="O53" t="s">
        <v>568</v>
      </c>
      <c r="P53" t="s">
        <v>596</v>
      </c>
    </row>
    <row r="54" spans="1:16" ht="30" customHeight="1" x14ac:dyDescent="0.25">
      <c r="A54" s="1" t="s">
        <v>230</v>
      </c>
      <c r="B54" s="1" t="s">
        <v>231</v>
      </c>
      <c r="C54" s="1" t="s">
        <v>232</v>
      </c>
      <c r="D54" s="9">
        <v>1984</v>
      </c>
      <c r="E54" s="1" t="s">
        <v>113</v>
      </c>
      <c r="F54" s="1" t="s">
        <v>130</v>
      </c>
      <c r="G54" s="1" t="s">
        <v>1</v>
      </c>
      <c r="H54" s="1" t="s">
        <v>1</v>
      </c>
      <c r="I54" s="1" t="s">
        <v>1</v>
      </c>
      <c r="J54" s="1" t="s">
        <v>39</v>
      </c>
      <c r="K54" s="1" t="s">
        <v>39</v>
      </c>
      <c r="L54" t="s">
        <v>18</v>
      </c>
      <c r="M54"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No Recycling Program</v>
      </c>
      <c r="N54" t="s">
        <v>342</v>
      </c>
      <c r="O54" t="s">
        <v>568</v>
      </c>
      <c r="P54" t="s">
        <v>587</v>
      </c>
    </row>
    <row r="55" spans="1:16" ht="45" customHeight="1" x14ac:dyDescent="0.25">
      <c r="A55" s="1" t="s">
        <v>233</v>
      </c>
      <c r="B55" s="54" t="s">
        <v>234</v>
      </c>
      <c r="C55" s="16" t="s">
        <v>235</v>
      </c>
      <c r="D55" s="9">
        <v>1995</v>
      </c>
      <c r="E55" s="1" t="s">
        <v>236</v>
      </c>
      <c r="F55" s="1" t="s">
        <v>237</v>
      </c>
      <c r="G55" s="1" t="s">
        <v>3</v>
      </c>
      <c r="H55" s="1" t="s">
        <v>3</v>
      </c>
      <c r="I55" s="1" t="s">
        <v>3</v>
      </c>
      <c r="J55" s="1" t="s">
        <v>238</v>
      </c>
      <c r="K55" s="1" t="s">
        <v>0</v>
      </c>
      <c r="L55" t="s">
        <v>18</v>
      </c>
      <c r="M55"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55" t="s">
        <v>341</v>
      </c>
      <c r="O55" t="s">
        <v>568</v>
      </c>
      <c r="P55" t="s">
        <v>1465</v>
      </c>
    </row>
    <row r="56" spans="1:16" ht="45" customHeight="1" x14ac:dyDescent="0.25">
      <c r="A56" s="1" t="s">
        <v>239</v>
      </c>
      <c r="B56" s="1" t="s">
        <v>240</v>
      </c>
      <c r="C56" s="1" t="s">
        <v>241</v>
      </c>
      <c r="D56" s="9">
        <v>1985</v>
      </c>
      <c r="E56" s="1" t="s">
        <v>242</v>
      </c>
      <c r="F56" s="1" t="s">
        <v>243</v>
      </c>
      <c r="G56" s="1" t="s">
        <v>3</v>
      </c>
      <c r="H56" s="1" t="s">
        <v>3</v>
      </c>
      <c r="I56" s="1" t="s">
        <v>1</v>
      </c>
      <c r="J56" s="1" t="s">
        <v>39</v>
      </c>
      <c r="K56" s="1" t="s">
        <v>39</v>
      </c>
      <c r="L56" t="s">
        <v>18</v>
      </c>
      <c r="M56"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Complete</v>
      </c>
      <c r="N56" t="s">
        <v>342</v>
      </c>
      <c r="O56" t="s">
        <v>568</v>
      </c>
      <c r="P56" t="s">
        <v>627</v>
      </c>
    </row>
    <row r="57" spans="1:16" ht="30" customHeight="1" x14ac:dyDescent="0.25">
      <c r="A57" s="1" t="s">
        <v>244</v>
      </c>
      <c r="B57" s="1" t="s">
        <v>245</v>
      </c>
      <c r="C57" s="1" t="s">
        <v>246</v>
      </c>
      <c r="D57" s="3" t="s">
        <v>106</v>
      </c>
      <c r="E57" s="1" t="s">
        <v>129</v>
      </c>
      <c r="F57" s="1" t="s">
        <v>131</v>
      </c>
      <c r="G57" s="1" t="s">
        <v>1</v>
      </c>
      <c r="H57" s="1" t="s">
        <v>1</v>
      </c>
      <c r="I57" s="1" t="s">
        <v>1</v>
      </c>
      <c r="J57" s="1" t="s">
        <v>39</v>
      </c>
      <c r="K57" s="1" t="s">
        <v>39</v>
      </c>
      <c r="L57" t="s">
        <v>18</v>
      </c>
      <c r="M57"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57" t="s">
        <v>342</v>
      </c>
      <c r="O57" t="s">
        <v>568</v>
      </c>
      <c r="P57" t="s">
        <v>586</v>
      </c>
    </row>
    <row r="58" spans="1:16" ht="45" customHeight="1" x14ac:dyDescent="0.25">
      <c r="A58" s="1" t="s">
        <v>247</v>
      </c>
      <c r="B58" s="1" t="s">
        <v>248</v>
      </c>
      <c r="C58" s="1" t="s">
        <v>249</v>
      </c>
      <c r="D58" s="9">
        <v>1978</v>
      </c>
      <c r="E58" s="1" t="s">
        <v>242</v>
      </c>
      <c r="F58" s="1" t="s">
        <v>243</v>
      </c>
      <c r="G58" s="1" t="s">
        <v>3</v>
      </c>
      <c r="H58" s="1" t="s">
        <v>3</v>
      </c>
      <c r="I58" s="1" t="s">
        <v>3</v>
      </c>
      <c r="J58" s="1" t="s">
        <v>250</v>
      </c>
      <c r="K58" s="1" t="s">
        <v>0</v>
      </c>
      <c r="L58" t="s">
        <v>18</v>
      </c>
      <c r="M58"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Complete</v>
      </c>
      <c r="N58" t="s">
        <v>342</v>
      </c>
      <c r="O58" t="s">
        <v>568</v>
      </c>
      <c r="P58" t="s">
        <v>589</v>
      </c>
    </row>
    <row r="59" spans="1:16" ht="30" customHeight="1" x14ac:dyDescent="0.25">
      <c r="A59" s="1" t="s">
        <v>251</v>
      </c>
      <c r="B59" s="1" t="s">
        <v>252</v>
      </c>
      <c r="C59" s="1" t="s">
        <v>253</v>
      </c>
      <c r="D59" s="9">
        <v>1979</v>
      </c>
      <c r="E59" s="1" t="s">
        <v>27</v>
      </c>
      <c r="F59" s="1" t="s">
        <v>36</v>
      </c>
      <c r="G59" s="1" t="s">
        <v>39</v>
      </c>
      <c r="H59" s="1" t="s">
        <v>39</v>
      </c>
      <c r="I59" s="1" t="s">
        <v>1</v>
      </c>
      <c r="J59" s="1" t="s">
        <v>39</v>
      </c>
      <c r="K59" s="1" t="s">
        <v>39</v>
      </c>
      <c r="L59" t="s">
        <v>18</v>
      </c>
      <c r="M59"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No Recycling Program</v>
      </c>
      <c r="N59" t="s">
        <v>342</v>
      </c>
      <c r="O59" t="s">
        <v>574</v>
      </c>
      <c r="P59" t="s">
        <v>1295</v>
      </c>
    </row>
    <row r="60" spans="1:16" ht="30" customHeight="1" x14ac:dyDescent="0.25">
      <c r="A60" s="1" t="s">
        <v>254</v>
      </c>
      <c r="B60" s="1" t="s">
        <v>255</v>
      </c>
      <c r="C60" s="1" t="s">
        <v>256</v>
      </c>
      <c r="D60" s="9">
        <v>1994</v>
      </c>
      <c r="E60" s="1" t="s">
        <v>22</v>
      </c>
      <c r="F60" s="1" t="s">
        <v>36</v>
      </c>
      <c r="G60" s="1" t="s">
        <v>39</v>
      </c>
      <c r="H60" s="1" t="s">
        <v>39</v>
      </c>
      <c r="I60" s="1" t="s">
        <v>1</v>
      </c>
      <c r="J60" s="1" t="s">
        <v>39</v>
      </c>
      <c r="K60" s="1" t="s">
        <v>39</v>
      </c>
      <c r="L60" t="s">
        <v>18</v>
      </c>
      <c r="M60"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60" t="s">
        <v>342</v>
      </c>
      <c r="O60" t="s">
        <v>568</v>
      </c>
      <c r="P60" t="s">
        <v>634</v>
      </c>
    </row>
    <row r="61" spans="1:16" ht="45" customHeight="1" x14ac:dyDescent="0.25">
      <c r="A61" s="1" t="s">
        <v>57</v>
      </c>
      <c r="B61" s="1" t="s">
        <v>572</v>
      </c>
      <c r="C61" s="1" t="s">
        <v>257</v>
      </c>
      <c r="D61" s="3" t="s">
        <v>106</v>
      </c>
      <c r="E61" s="1" t="s">
        <v>258</v>
      </c>
      <c r="F61" s="1" t="s">
        <v>36</v>
      </c>
      <c r="G61" s="1" t="s">
        <v>3</v>
      </c>
      <c r="H61" s="1" t="s">
        <v>39</v>
      </c>
      <c r="I61" s="1" t="s">
        <v>3</v>
      </c>
      <c r="J61" s="1" t="s">
        <v>136</v>
      </c>
      <c r="K61" s="1" t="s">
        <v>0</v>
      </c>
      <c r="L61" t="s">
        <v>18</v>
      </c>
      <c r="M61"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61" t="s">
        <v>342</v>
      </c>
      <c r="O61" t="s">
        <v>568</v>
      </c>
      <c r="P61" t="s">
        <v>624</v>
      </c>
    </row>
    <row r="62" spans="1:16" ht="60" customHeight="1" x14ac:dyDescent="0.25">
      <c r="A62" s="1" t="s">
        <v>259</v>
      </c>
      <c r="B62" s="17" t="s">
        <v>260</v>
      </c>
      <c r="C62" s="1" t="s">
        <v>261</v>
      </c>
      <c r="D62" s="3" t="s">
        <v>106</v>
      </c>
      <c r="E62" s="1" t="s">
        <v>264</v>
      </c>
      <c r="F62" s="1" t="s">
        <v>243</v>
      </c>
      <c r="G62" s="1" t="s">
        <v>1</v>
      </c>
      <c r="H62" s="1" t="s">
        <v>3</v>
      </c>
      <c r="I62" s="1" t="s">
        <v>39</v>
      </c>
      <c r="J62" s="1" t="s">
        <v>39</v>
      </c>
      <c r="K62" s="1" t="s">
        <v>39</v>
      </c>
      <c r="L62" t="s">
        <v>18</v>
      </c>
      <c r="M62"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Complete</v>
      </c>
      <c r="N62" t="s">
        <v>342</v>
      </c>
      <c r="O62" t="s">
        <v>568</v>
      </c>
      <c r="P62" t="s">
        <v>613</v>
      </c>
    </row>
    <row r="63" spans="1:16" ht="60" customHeight="1" x14ac:dyDescent="0.25">
      <c r="A63" s="1" t="s">
        <v>259</v>
      </c>
      <c r="B63" s="1" t="s">
        <v>262</v>
      </c>
      <c r="C63" s="1" t="s">
        <v>263</v>
      </c>
      <c r="D63" s="3" t="s">
        <v>106</v>
      </c>
      <c r="E63" s="1" t="s">
        <v>265</v>
      </c>
      <c r="F63" s="1" t="s">
        <v>243</v>
      </c>
      <c r="G63" s="1" t="s">
        <v>1</v>
      </c>
      <c r="H63" s="1" t="s">
        <v>3</v>
      </c>
      <c r="I63" s="1" t="s">
        <v>39</v>
      </c>
      <c r="J63" s="1" t="s">
        <v>39</v>
      </c>
      <c r="K63" s="1" t="s">
        <v>39</v>
      </c>
      <c r="L63" t="s">
        <v>18</v>
      </c>
      <c r="M63"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Complete</v>
      </c>
      <c r="N63" t="s">
        <v>342</v>
      </c>
      <c r="O63" t="s">
        <v>568</v>
      </c>
      <c r="P63" t="s">
        <v>614</v>
      </c>
    </row>
    <row r="64" spans="1:16" ht="60" customHeight="1" x14ac:dyDescent="0.25">
      <c r="A64" s="1" t="s">
        <v>266</v>
      </c>
      <c r="B64" s="1" t="s">
        <v>583</v>
      </c>
      <c r="C64" s="1" t="s">
        <v>267</v>
      </c>
      <c r="D64" s="9" t="s">
        <v>268</v>
      </c>
      <c r="E64" s="1" t="s">
        <v>269</v>
      </c>
      <c r="F64" s="1" t="s">
        <v>243</v>
      </c>
      <c r="G64" s="1" t="s">
        <v>3</v>
      </c>
      <c r="H64" s="1" t="s">
        <v>3</v>
      </c>
      <c r="I64" s="1" t="s">
        <v>39</v>
      </c>
      <c r="J64" s="1" t="s">
        <v>270</v>
      </c>
      <c r="K64" s="1" t="s">
        <v>39</v>
      </c>
      <c r="L64" t="s">
        <v>18</v>
      </c>
      <c r="M64"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64" t="s">
        <v>342</v>
      </c>
      <c r="O64" t="s">
        <v>568</v>
      </c>
      <c r="P64" t="s">
        <v>584</v>
      </c>
    </row>
    <row r="65" spans="1:16" ht="45" customHeight="1" x14ac:dyDescent="0.25">
      <c r="A65" s="1" t="s">
        <v>271</v>
      </c>
      <c r="B65" s="1" t="s">
        <v>272</v>
      </c>
      <c r="C65" s="1" t="s">
        <v>273</v>
      </c>
      <c r="D65" s="9">
        <v>1970</v>
      </c>
      <c r="E65" s="1" t="s">
        <v>274</v>
      </c>
      <c r="F65" s="1" t="s">
        <v>237</v>
      </c>
      <c r="G65" s="1" t="s">
        <v>3</v>
      </c>
      <c r="H65" s="1" t="s">
        <v>3</v>
      </c>
      <c r="I65" s="1" t="s">
        <v>39</v>
      </c>
      <c r="J65" s="1" t="s">
        <v>39</v>
      </c>
      <c r="K65" s="1" t="s">
        <v>2</v>
      </c>
      <c r="L65" t="s">
        <v>18</v>
      </c>
      <c r="M65"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65" t="s">
        <v>341</v>
      </c>
      <c r="O65" t="s">
        <v>568</v>
      </c>
    </row>
    <row r="66" spans="1:16" ht="30" customHeight="1" x14ac:dyDescent="0.25">
      <c r="A66" s="1" t="s">
        <v>275</v>
      </c>
      <c r="B66" s="1" t="s">
        <v>276</v>
      </c>
      <c r="C66" s="1" t="s">
        <v>277</v>
      </c>
      <c r="D66" s="9">
        <v>1975</v>
      </c>
      <c r="E66" s="1" t="s">
        <v>278</v>
      </c>
      <c r="F66" s="1" t="s">
        <v>243</v>
      </c>
      <c r="G66" s="1" t="s">
        <v>1</v>
      </c>
      <c r="H66" s="1" t="s">
        <v>1</v>
      </c>
      <c r="I66" s="1" t="s">
        <v>39</v>
      </c>
      <c r="J66" s="1" t="s">
        <v>39</v>
      </c>
      <c r="K66" s="1" t="s">
        <v>39</v>
      </c>
      <c r="L66" t="s">
        <v>18</v>
      </c>
      <c r="M66"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66" t="s">
        <v>342</v>
      </c>
      <c r="O66" t="s">
        <v>568</v>
      </c>
      <c r="P66" t="s">
        <v>608</v>
      </c>
    </row>
    <row r="67" spans="1:16" ht="45" customHeight="1" x14ac:dyDescent="0.25">
      <c r="A67" s="1" t="s">
        <v>279</v>
      </c>
      <c r="B67" s="1" t="s">
        <v>280</v>
      </c>
      <c r="C67" s="1" t="s">
        <v>281</v>
      </c>
      <c r="D67" s="9">
        <v>1971</v>
      </c>
      <c r="E67" s="1" t="s">
        <v>282</v>
      </c>
      <c r="F67" s="1" t="s">
        <v>39</v>
      </c>
      <c r="G67" s="1" t="s">
        <v>3</v>
      </c>
      <c r="H67" s="1" t="s">
        <v>3</v>
      </c>
      <c r="I67" s="1" t="s">
        <v>39</v>
      </c>
      <c r="J67" s="1" t="s">
        <v>39</v>
      </c>
      <c r="K67" s="1" t="s">
        <v>39</v>
      </c>
      <c r="L67" t="s">
        <v>18</v>
      </c>
      <c r="M67"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67" t="s">
        <v>342</v>
      </c>
      <c r="O67" t="s">
        <v>574</v>
      </c>
      <c r="P67" t="s">
        <v>1340</v>
      </c>
    </row>
    <row r="68" spans="1:16" ht="56.25" customHeight="1" x14ac:dyDescent="0.25">
      <c r="A68" s="1" t="s">
        <v>283</v>
      </c>
      <c r="B68" s="16" t="s">
        <v>284</v>
      </c>
      <c r="C68" s="1" t="s">
        <v>285</v>
      </c>
      <c r="D68" s="9">
        <v>1964</v>
      </c>
      <c r="E68" s="1" t="s">
        <v>282</v>
      </c>
      <c r="F68" s="1" t="s">
        <v>243</v>
      </c>
      <c r="G68" s="1" t="s">
        <v>1</v>
      </c>
      <c r="H68" s="1" t="s">
        <v>3</v>
      </c>
      <c r="I68" s="1" t="s">
        <v>3</v>
      </c>
      <c r="J68" s="1" t="s">
        <v>286</v>
      </c>
      <c r="K68" s="1" t="s">
        <v>39</v>
      </c>
      <c r="L68" t="s">
        <v>18</v>
      </c>
      <c r="M68"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68" t="s">
        <v>341</v>
      </c>
      <c r="O68" t="s">
        <v>568</v>
      </c>
      <c r="P68" t="s">
        <v>1427</v>
      </c>
    </row>
    <row r="69" spans="1:16" ht="30" customHeight="1" x14ac:dyDescent="0.25">
      <c r="A69" s="1" t="s">
        <v>287</v>
      </c>
      <c r="B69" s="55" t="s">
        <v>289</v>
      </c>
      <c r="C69" s="1" t="s">
        <v>290</v>
      </c>
      <c r="D69" s="3" t="s">
        <v>106</v>
      </c>
      <c r="E69" s="1" t="s">
        <v>113</v>
      </c>
      <c r="F69" s="1" t="s">
        <v>130</v>
      </c>
      <c r="G69" s="1" t="s">
        <v>39</v>
      </c>
      <c r="H69" s="1" t="s">
        <v>39</v>
      </c>
      <c r="I69" s="1" t="s">
        <v>39</v>
      </c>
      <c r="J69" s="1" t="s">
        <v>39</v>
      </c>
      <c r="K69" s="1" t="s">
        <v>39</v>
      </c>
      <c r="L69" t="s">
        <v>18</v>
      </c>
      <c r="M69"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No Recycling Program</v>
      </c>
      <c r="N69" t="s">
        <v>342</v>
      </c>
      <c r="O69" t="s">
        <v>568</v>
      </c>
      <c r="P69" t="s">
        <v>623</v>
      </c>
    </row>
    <row r="70" spans="1:16" ht="30" customHeight="1" x14ac:dyDescent="0.25">
      <c r="A70" s="1" t="s">
        <v>287</v>
      </c>
      <c r="B70" s="1" t="s">
        <v>606</v>
      </c>
      <c r="C70" s="1" t="s">
        <v>288</v>
      </c>
      <c r="D70" s="3" t="s">
        <v>106</v>
      </c>
      <c r="E70" s="1" t="s">
        <v>113</v>
      </c>
      <c r="F70" s="1" t="s">
        <v>130</v>
      </c>
      <c r="G70" s="1" t="s">
        <v>39</v>
      </c>
      <c r="H70" s="1" t="s">
        <v>39</v>
      </c>
      <c r="I70" s="1" t="s">
        <v>39</v>
      </c>
      <c r="J70" s="1" t="s">
        <v>39</v>
      </c>
      <c r="K70" s="1" t="s">
        <v>39</v>
      </c>
      <c r="L70" t="s">
        <v>18</v>
      </c>
      <c r="M70"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No Recycling Program</v>
      </c>
      <c r="N70" t="s">
        <v>342</v>
      </c>
      <c r="O70" t="s">
        <v>568</v>
      </c>
      <c r="P70" t="s">
        <v>607</v>
      </c>
    </row>
    <row r="71" spans="1:16" ht="30" customHeight="1" x14ac:dyDescent="0.25">
      <c r="A71" s="1" t="s">
        <v>291</v>
      </c>
      <c r="B71" s="1" t="s">
        <v>292</v>
      </c>
      <c r="C71" s="1" t="s">
        <v>293</v>
      </c>
      <c r="D71" s="9">
        <v>1977</v>
      </c>
      <c r="E71" s="1" t="s">
        <v>113</v>
      </c>
      <c r="F71" s="1" t="s">
        <v>130</v>
      </c>
      <c r="G71" s="1" t="s">
        <v>39</v>
      </c>
      <c r="H71" s="1" t="s">
        <v>39</v>
      </c>
      <c r="I71" s="1" t="s">
        <v>1</v>
      </c>
      <c r="J71" s="1" t="s">
        <v>39</v>
      </c>
      <c r="K71" s="1" t="s">
        <v>39</v>
      </c>
      <c r="L71" t="s">
        <v>18</v>
      </c>
      <c r="M71"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No Recycling Program</v>
      </c>
      <c r="N71" t="s">
        <v>341</v>
      </c>
      <c r="O71" t="s">
        <v>568</v>
      </c>
      <c r="P71" t="s">
        <v>1558</v>
      </c>
    </row>
    <row r="72" spans="1:16" ht="45" customHeight="1" x14ac:dyDescent="0.25">
      <c r="A72" s="1" t="s">
        <v>294</v>
      </c>
      <c r="B72" s="1" t="s">
        <v>295</v>
      </c>
      <c r="C72" s="1" t="s">
        <v>165</v>
      </c>
      <c r="D72" s="9">
        <v>1999</v>
      </c>
      <c r="E72" s="1" t="s">
        <v>22</v>
      </c>
      <c r="F72" s="1" t="s">
        <v>130</v>
      </c>
      <c r="G72" s="1" t="s">
        <v>1</v>
      </c>
      <c r="H72" s="1" t="s">
        <v>1</v>
      </c>
      <c r="I72" s="1" t="s">
        <v>39</v>
      </c>
      <c r="J72" s="1" t="s">
        <v>296</v>
      </c>
      <c r="K72" s="1" t="s">
        <v>2</v>
      </c>
      <c r="L72" t="s">
        <v>18</v>
      </c>
      <c r="M72"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72" t="s">
        <v>342</v>
      </c>
      <c r="O72" t="s">
        <v>568</v>
      </c>
      <c r="P72" t="s">
        <v>635</v>
      </c>
    </row>
    <row r="73" spans="1:16" ht="34.5" customHeight="1" x14ac:dyDescent="0.25">
      <c r="A73" s="1" t="s">
        <v>297</v>
      </c>
      <c r="B73" s="1" t="s">
        <v>298</v>
      </c>
      <c r="C73" s="1" t="s">
        <v>299</v>
      </c>
      <c r="D73" s="9">
        <v>1975</v>
      </c>
      <c r="E73" s="1" t="s">
        <v>22</v>
      </c>
      <c r="F73" s="1" t="s">
        <v>130</v>
      </c>
      <c r="G73" s="1" t="s">
        <v>1</v>
      </c>
      <c r="H73" s="1" t="s">
        <v>1</v>
      </c>
      <c r="I73" s="1" t="s">
        <v>39</v>
      </c>
      <c r="J73" s="1" t="s">
        <v>39</v>
      </c>
      <c r="K73" s="1" t="s">
        <v>39</v>
      </c>
      <c r="L73" t="s">
        <v>18</v>
      </c>
      <c r="M73"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73" t="s">
        <v>341</v>
      </c>
      <c r="O73" t="s">
        <v>568</v>
      </c>
      <c r="P73" t="s">
        <v>1627</v>
      </c>
    </row>
    <row r="74" spans="1:16" ht="33.75" customHeight="1" x14ac:dyDescent="0.25">
      <c r="A74" s="1" t="s">
        <v>300</v>
      </c>
      <c r="B74" s="1" t="s">
        <v>301</v>
      </c>
      <c r="C74" s="1" t="s">
        <v>302</v>
      </c>
      <c r="D74" s="3" t="s">
        <v>106</v>
      </c>
      <c r="E74" s="1" t="s">
        <v>303</v>
      </c>
      <c r="F74" s="1" t="s">
        <v>130</v>
      </c>
      <c r="G74" s="1" t="s">
        <v>3</v>
      </c>
      <c r="H74" s="1" t="s">
        <v>39</v>
      </c>
      <c r="I74" s="1" t="s">
        <v>39</v>
      </c>
      <c r="J74" s="1" t="s">
        <v>39</v>
      </c>
      <c r="K74" s="1" t="s">
        <v>39</v>
      </c>
      <c r="L74" t="s">
        <v>18</v>
      </c>
      <c r="M74"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74" t="s">
        <v>341</v>
      </c>
      <c r="O74" t="s">
        <v>568</v>
      </c>
      <c r="P74" t="s">
        <v>1603</v>
      </c>
    </row>
    <row r="75" spans="1:16" ht="56.25" customHeight="1" x14ac:dyDescent="0.25">
      <c r="A75" s="1" t="s">
        <v>304</v>
      </c>
      <c r="B75" s="1" t="s">
        <v>305</v>
      </c>
      <c r="C75" s="1" t="s">
        <v>306</v>
      </c>
      <c r="D75" s="9">
        <v>1986</v>
      </c>
      <c r="E75" s="1" t="s">
        <v>113</v>
      </c>
      <c r="F75" s="1" t="s">
        <v>130</v>
      </c>
      <c r="G75" s="1" t="s">
        <v>39</v>
      </c>
      <c r="H75" s="1" t="s">
        <v>39</v>
      </c>
      <c r="I75" s="1" t="s">
        <v>39</v>
      </c>
      <c r="J75" s="1" t="s">
        <v>39</v>
      </c>
      <c r="K75" s="1" t="s">
        <v>39</v>
      </c>
      <c r="L75" t="s">
        <v>18</v>
      </c>
      <c r="M75"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No Recycling Program</v>
      </c>
      <c r="N75" t="s">
        <v>341</v>
      </c>
      <c r="O75" t="s">
        <v>568</v>
      </c>
      <c r="P75" t="s">
        <v>1574</v>
      </c>
    </row>
    <row r="76" spans="1:16" ht="45" customHeight="1" x14ac:dyDescent="0.25">
      <c r="A76" s="1" t="s">
        <v>307</v>
      </c>
      <c r="B76" s="1" t="s">
        <v>308</v>
      </c>
      <c r="C76" s="1" t="s">
        <v>309</v>
      </c>
      <c r="D76" s="9">
        <v>1980</v>
      </c>
      <c r="E76" s="1" t="s">
        <v>22</v>
      </c>
      <c r="F76" s="1" t="s">
        <v>130</v>
      </c>
      <c r="G76" s="1" t="s">
        <v>1</v>
      </c>
      <c r="H76" s="1" t="s">
        <v>39</v>
      </c>
      <c r="I76" s="1" t="s">
        <v>39</v>
      </c>
      <c r="J76" s="1" t="s">
        <v>39</v>
      </c>
      <c r="K76" s="1" t="s">
        <v>39</v>
      </c>
      <c r="L76" t="s">
        <v>18</v>
      </c>
      <c r="M76"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76" t="s">
        <v>341</v>
      </c>
      <c r="O76" t="s">
        <v>568</v>
      </c>
      <c r="P76" t="s">
        <v>1569</v>
      </c>
    </row>
    <row r="77" spans="1:16" ht="45" customHeight="1" x14ac:dyDescent="0.25">
      <c r="A77" s="1" t="s">
        <v>310</v>
      </c>
      <c r="B77" s="35" t="s">
        <v>460</v>
      </c>
      <c r="D77" s="3" t="s">
        <v>106</v>
      </c>
      <c r="E77" s="1" t="s">
        <v>311</v>
      </c>
      <c r="F77" s="1" t="s">
        <v>130</v>
      </c>
      <c r="G77" s="1" t="s">
        <v>3</v>
      </c>
      <c r="H77" s="1" t="s">
        <v>3</v>
      </c>
      <c r="I77" s="1" t="s">
        <v>39</v>
      </c>
      <c r="J77" s="1" t="s">
        <v>39</v>
      </c>
      <c r="K77" s="1" t="s">
        <v>39</v>
      </c>
      <c r="L77" t="s">
        <v>18</v>
      </c>
      <c r="M77"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row>
    <row r="78" spans="1:16" ht="30" customHeight="1" x14ac:dyDescent="0.25">
      <c r="A78" s="1" t="s">
        <v>312</v>
      </c>
      <c r="B78" s="1" t="s">
        <v>313</v>
      </c>
      <c r="C78" s="1" t="s">
        <v>314</v>
      </c>
      <c r="D78" s="9">
        <v>1960</v>
      </c>
      <c r="E78" s="1" t="s">
        <v>129</v>
      </c>
      <c r="F78" s="1" t="s">
        <v>130</v>
      </c>
      <c r="G78" s="1" t="s">
        <v>1</v>
      </c>
      <c r="H78" s="1" t="s">
        <v>39</v>
      </c>
      <c r="I78" s="1" t="s">
        <v>39</v>
      </c>
      <c r="J78" s="1" t="s">
        <v>39</v>
      </c>
      <c r="K78" s="1" t="s">
        <v>39</v>
      </c>
      <c r="L78" t="s">
        <v>18</v>
      </c>
      <c r="M78"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78" t="s">
        <v>341</v>
      </c>
      <c r="O78" t="s">
        <v>568</v>
      </c>
      <c r="P78" t="s">
        <v>1527</v>
      </c>
    </row>
    <row r="79" spans="1:16" ht="45" customHeight="1" x14ac:dyDescent="0.25">
      <c r="A79" s="1" t="s">
        <v>315</v>
      </c>
      <c r="B79" s="1" t="s">
        <v>316</v>
      </c>
      <c r="C79" s="1" t="s">
        <v>317</v>
      </c>
      <c r="D79" s="9">
        <v>2013</v>
      </c>
      <c r="E79" s="1" t="s">
        <v>113</v>
      </c>
      <c r="F79" s="1" t="s">
        <v>130</v>
      </c>
      <c r="G79" s="1" t="s">
        <v>3</v>
      </c>
      <c r="H79" s="1" t="s">
        <v>1</v>
      </c>
      <c r="I79" s="1" t="s">
        <v>39</v>
      </c>
      <c r="J79" s="1" t="s">
        <v>39</v>
      </c>
      <c r="K79" s="1" t="s">
        <v>39</v>
      </c>
      <c r="L79" t="s">
        <v>18</v>
      </c>
      <c r="M79"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No Recycling Program</v>
      </c>
      <c r="N79" t="s">
        <v>341</v>
      </c>
      <c r="O79" t="s">
        <v>568</v>
      </c>
      <c r="P79" t="s">
        <v>1653</v>
      </c>
    </row>
    <row r="80" spans="1:16" ht="45" customHeight="1" x14ac:dyDescent="0.25">
      <c r="A80" s="1" t="s">
        <v>318</v>
      </c>
      <c r="B80" s="1" t="s">
        <v>319</v>
      </c>
      <c r="C80" s="1" t="s">
        <v>320</v>
      </c>
      <c r="D80" s="9">
        <v>2010</v>
      </c>
      <c r="E80" s="1" t="s">
        <v>242</v>
      </c>
      <c r="F80" s="1" t="s">
        <v>321</v>
      </c>
      <c r="G80" s="1" t="s">
        <v>1</v>
      </c>
      <c r="H80" s="1" t="s">
        <v>3</v>
      </c>
      <c r="I80" s="1" t="s">
        <v>39</v>
      </c>
      <c r="J80" s="1" t="s">
        <v>39</v>
      </c>
      <c r="K80" s="1" t="s">
        <v>39</v>
      </c>
      <c r="L80" t="s">
        <v>18</v>
      </c>
      <c r="M80"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Complete</v>
      </c>
      <c r="N80" t="s">
        <v>341</v>
      </c>
      <c r="O80" t="s">
        <v>568</v>
      </c>
      <c r="P80" t="s">
        <v>1443</v>
      </c>
    </row>
    <row r="81" spans="1:16" ht="30" customHeight="1" x14ac:dyDescent="0.25">
      <c r="A81" s="1" t="s">
        <v>322</v>
      </c>
      <c r="B81" s="1" t="s">
        <v>323</v>
      </c>
      <c r="C81" s="1" t="s">
        <v>325</v>
      </c>
      <c r="D81" s="9" t="s">
        <v>324</v>
      </c>
      <c r="E81" s="1" t="s">
        <v>45</v>
      </c>
      <c r="F81" s="1" t="s">
        <v>30</v>
      </c>
      <c r="G81" s="1" t="s">
        <v>1</v>
      </c>
      <c r="H81" s="1" t="s">
        <v>1</v>
      </c>
      <c r="I81" s="1" t="s">
        <v>39</v>
      </c>
      <c r="J81" s="1" t="s">
        <v>39</v>
      </c>
      <c r="K81" s="1" t="s">
        <v>39</v>
      </c>
      <c r="L81" t="s">
        <v>18</v>
      </c>
      <c r="M81"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81" t="s">
        <v>341</v>
      </c>
      <c r="O81" t="s">
        <v>568</v>
      </c>
      <c r="P81" t="s">
        <v>1663</v>
      </c>
    </row>
    <row r="82" spans="1:16" ht="30" customHeight="1" x14ac:dyDescent="0.25">
      <c r="A82" s="1" t="s">
        <v>326</v>
      </c>
      <c r="B82" s="1" t="s">
        <v>345</v>
      </c>
      <c r="C82" s="1" t="s">
        <v>327</v>
      </c>
      <c r="D82" s="9">
        <v>1983</v>
      </c>
      <c r="E82" s="1" t="s">
        <v>328</v>
      </c>
      <c r="F82" s="1" t="s">
        <v>130</v>
      </c>
      <c r="G82" s="1" t="s">
        <v>3</v>
      </c>
      <c r="H82" s="1" t="s">
        <v>1</v>
      </c>
      <c r="I82" s="1" t="s">
        <v>39</v>
      </c>
      <c r="J82" s="1" t="s">
        <v>39</v>
      </c>
      <c r="K82" s="1" t="s">
        <v>39</v>
      </c>
      <c r="L82" t="s">
        <v>18</v>
      </c>
      <c r="M82"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82" t="s">
        <v>341</v>
      </c>
      <c r="O82" t="s">
        <v>568</v>
      </c>
      <c r="P82" t="s">
        <v>1669</v>
      </c>
    </row>
    <row r="83" spans="1:16" ht="33.75" customHeight="1" x14ac:dyDescent="0.25">
      <c r="A83" s="1" t="s">
        <v>329</v>
      </c>
      <c r="B83" s="1" t="s">
        <v>1724</v>
      </c>
      <c r="C83" s="1" t="s">
        <v>330</v>
      </c>
      <c r="D83" s="9">
        <v>1985</v>
      </c>
      <c r="E83" s="1" t="s">
        <v>22</v>
      </c>
      <c r="F83" s="1" t="s">
        <v>130</v>
      </c>
      <c r="G83" s="1" t="s">
        <v>1</v>
      </c>
      <c r="H83" s="1" t="s">
        <v>39</v>
      </c>
      <c r="I83" s="1" t="s">
        <v>39</v>
      </c>
      <c r="J83" s="1" t="s">
        <v>39</v>
      </c>
      <c r="K83" s="1" t="s">
        <v>39</v>
      </c>
      <c r="L83" t="s">
        <v>18</v>
      </c>
      <c r="M83"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83" t="s">
        <v>341</v>
      </c>
      <c r="O83" t="s">
        <v>568</v>
      </c>
      <c r="P83" t="s">
        <v>1474</v>
      </c>
    </row>
    <row r="84" spans="1:16" ht="33.75" customHeight="1" x14ac:dyDescent="0.25">
      <c r="A84" s="1" t="s">
        <v>331</v>
      </c>
      <c r="B84" s="1" t="s">
        <v>332</v>
      </c>
      <c r="C84" s="1" t="s">
        <v>333</v>
      </c>
      <c r="D84" s="3" t="s">
        <v>106</v>
      </c>
      <c r="E84" s="1" t="s">
        <v>129</v>
      </c>
      <c r="F84" s="1" t="s">
        <v>130</v>
      </c>
      <c r="G84" s="1" t="s">
        <v>39</v>
      </c>
      <c r="H84" s="1" t="s">
        <v>39</v>
      </c>
      <c r="I84" s="1" t="s">
        <v>39</v>
      </c>
      <c r="J84" s="1" t="s">
        <v>39</v>
      </c>
      <c r="K84" s="1" t="s">
        <v>39</v>
      </c>
      <c r="L84" t="s">
        <v>18</v>
      </c>
      <c r="M84"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84" t="s">
        <v>341</v>
      </c>
      <c r="O84" t="s">
        <v>568</v>
      </c>
      <c r="P84" t="s">
        <v>1472</v>
      </c>
    </row>
    <row r="85" spans="1:16" ht="30" customHeight="1" x14ac:dyDescent="0.25">
      <c r="A85" s="1" t="s">
        <v>334</v>
      </c>
      <c r="B85" s="1" t="s">
        <v>335</v>
      </c>
      <c r="C85" s="1" t="s">
        <v>336</v>
      </c>
      <c r="D85" s="9">
        <v>1928</v>
      </c>
      <c r="E85" s="1" t="s">
        <v>22</v>
      </c>
      <c r="F85" s="1" t="s">
        <v>130</v>
      </c>
      <c r="G85" s="1" t="s">
        <v>39</v>
      </c>
      <c r="H85" s="1" t="s">
        <v>39</v>
      </c>
      <c r="I85" s="1" t="s">
        <v>39</v>
      </c>
      <c r="J85" s="1" t="s">
        <v>39</v>
      </c>
      <c r="K85" s="1" t="s">
        <v>39</v>
      </c>
      <c r="L85" t="s">
        <v>18</v>
      </c>
      <c r="M85"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85" t="s">
        <v>341</v>
      </c>
      <c r="O85" t="s">
        <v>568</v>
      </c>
      <c r="P85" t="s">
        <v>1478</v>
      </c>
    </row>
    <row r="86" spans="1:16" ht="45" customHeight="1" x14ac:dyDescent="0.25">
      <c r="A86" s="1" t="s">
        <v>337</v>
      </c>
      <c r="B86" s="1" t="s">
        <v>338</v>
      </c>
      <c r="C86" s="1" t="s">
        <v>339</v>
      </c>
      <c r="D86" s="9">
        <v>1990</v>
      </c>
      <c r="E86" s="1" t="s">
        <v>340</v>
      </c>
      <c r="F86" s="1" t="s">
        <v>321</v>
      </c>
      <c r="G86" s="1" t="s">
        <v>1</v>
      </c>
      <c r="H86" s="1" t="s">
        <v>1</v>
      </c>
      <c r="I86" s="1" t="s">
        <v>39</v>
      </c>
      <c r="J86" s="1" t="s">
        <v>39</v>
      </c>
      <c r="K86" s="1" t="s">
        <v>39</v>
      </c>
      <c r="L86" t="s">
        <v>18</v>
      </c>
      <c r="M86" s="1"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Complete</v>
      </c>
      <c r="N86" t="s">
        <v>341</v>
      </c>
      <c r="O86" t="s">
        <v>568</v>
      </c>
      <c r="P86" t="s">
        <v>1484</v>
      </c>
    </row>
    <row r="87" spans="1:16" ht="45" x14ac:dyDescent="0.25">
      <c r="A87" s="1" t="s">
        <v>1738</v>
      </c>
      <c r="B87" s="1" t="s">
        <v>1742</v>
      </c>
      <c r="C87" s="1" t="s">
        <v>1743</v>
      </c>
      <c r="D87" s="9">
        <v>1960</v>
      </c>
      <c r="E87" s="1" t="s">
        <v>340</v>
      </c>
      <c r="F87" s="1" t="s">
        <v>130</v>
      </c>
      <c r="G87" s="1" t="s">
        <v>3</v>
      </c>
      <c r="H87" s="1" t="s">
        <v>3</v>
      </c>
      <c r="I87" s="1" t="s">
        <v>39</v>
      </c>
      <c r="J87" s="1" t="s">
        <v>39</v>
      </c>
      <c r="K87" s="1" t="s">
        <v>39</v>
      </c>
      <c r="L87" t="s">
        <v>18</v>
      </c>
      <c r="M87"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Complete</v>
      </c>
      <c r="N87" t="s">
        <v>342</v>
      </c>
      <c r="O87" t="s">
        <v>568</v>
      </c>
      <c r="P87" t="s">
        <v>682</v>
      </c>
    </row>
    <row r="88" spans="1:16" ht="30" x14ac:dyDescent="0.25">
      <c r="A88" s="1" t="s">
        <v>1739</v>
      </c>
      <c r="B88" s="1" t="s">
        <v>1744</v>
      </c>
      <c r="C88" s="1" t="s">
        <v>1745</v>
      </c>
      <c r="D88" s="9">
        <v>2011</v>
      </c>
      <c r="E88" s="1" t="s">
        <v>1751</v>
      </c>
      <c r="F88" s="1" t="s">
        <v>130</v>
      </c>
      <c r="G88" s="1" t="s">
        <v>1</v>
      </c>
      <c r="H88" s="1" t="s">
        <v>3</v>
      </c>
      <c r="I88" s="1" t="s">
        <v>39</v>
      </c>
      <c r="J88" s="1" t="s">
        <v>39</v>
      </c>
      <c r="K88" s="1" t="s">
        <v>39</v>
      </c>
      <c r="L88" t="s">
        <v>18</v>
      </c>
      <c r="M88"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88" t="s">
        <v>342</v>
      </c>
      <c r="O88" t="s">
        <v>568</v>
      </c>
      <c r="P88" t="s">
        <v>1109</v>
      </c>
    </row>
    <row r="89" spans="1:16" ht="30" x14ac:dyDescent="0.25">
      <c r="A89" s="1" t="s">
        <v>1740</v>
      </c>
      <c r="B89" s="1" t="s">
        <v>1746</v>
      </c>
      <c r="C89" s="1" t="s">
        <v>1748</v>
      </c>
      <c r="D89" s="9" t="s">
        <v>1750</v>
      </c>
      <c r="E89" s="1" t="s">
        <v>129</v>
      </c>
      <c r="F89" s="1" t="s">
        <v>130</v>
      </c>
      <c r="G89" s="1" t="s">
        <v>39</v>
      </c>
      <c r="H89" s="1" t="s">
        <v>39</v>
      </c>
      <c r="I89" s="1" t="s">
        <v>39</v>
      </c>
      <c r="J89" s="1" t="s">
        <v>39</v>
      </c>
      <c r="K89" s="1" t="s">
        <v>39</v>
      </c>
      <c r="L89" t="s">
        <v>18</v>
      </c>
      <c r="M89"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89" t="s">
        <v>342</v>
      </c>
      <c r="O89" t="s">
        <v>568</v>
      </c>
      <c r="P89" t="s">
        <v>1028</v>
      </c>
    </row>
    <row r="90" spans="1:16" ht="30" x14ac:dyDescent="0.25">
      <c r="A90" s="1" t="s">
        <v>1741</v>
      </c>
      <c r="B90" s="1" t="s">
        <v>1747</v>
      </c>
      <c r="C90" s="1" t="s">
        <v>1749</v>
      </c>
      <c r="D90" s="9">
        <v>1992</v>
      </c>
      <c r="E90" s="1" t="s">
        <v>22</v>
      </c>
      <c r="F90" s="1" t="s">
        <v>130</v>
      </c>
      <c r="G90" s="1" t="s">
        <v>1</v>
      </c>
      <c r="H90" s="1" t="s">
        <v>39</v>
      </c>
      <c r="I90" s="1" t="s">
        <v>1</v>
      </c>
      <c r="J90" s="1" t="s">
        <v>39</v>
      </c>
      <c r="K90" s="1" t="s">
        <v>39</v>
      </c>
      <c r="L90" t="s">
        <v>18</v>
      </c>
      <c r="M90"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90" t="s">
        <v>342</v>
      </c>
      <c r="O90" t="s">
        <v>568</v>
      </c>
      <c r="P90" t="s">
        <v>1083</v>
      </c>
    </row>
    <row r="91" spans="1:16" ht="45" customHeight="1" x14ac:dyDescent="0.25">
      <c r="A91" s="128" t="s">
        <v>1752</v>
      </c>
      <c r="B91" s="129" t="s">
        <v>1753</v>
      </c>
      <c r="C91" s="1" t="s">
        <v>1754</v>
      </c>
      <c r="D91" s="9">
        <v>2011</v>
      </c>
      <c r="E91" s="1" t="s">
        <v>1755</v>
      </c>
      <c r="F91" s="1" t="s">
        <v>130</v>
      </c>
      <c r="G91" s="1" t="s">
        <v>3</v>
      </c>
      <c r="H91" s="1" t="s">
        <v>3</v>
      </c>
      <c r="I91" s="1" t="s">
        <v>3</v>
      </c>
      <c r="J91" s="1" t="s">
        <v>1756</v>
      </c>
      <c r="K91" s="1" t="s">
        <v>39</v>
      </c>
      <c r="L91" t="s">
        <v>18</v>
      </c>
      <c r="M91"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91" t="s">
        <v>1757</v>
      </c>
      <c r="O91" t="s">
        <v>568</v>
      </c>
      <c r="P91" t="s">
        <v>1130</v>
      </c>
    </row>
    <row r="92" spans="1:16" ht="45" x14ac:dyDescent="0.25">
      <c r="A92" s="1" t="s">
        <v>1759</v>
      </c>
      <c r="B92" s="1" t="s">
        <v>1760</v>
      </c>
      <c r="C92" s="1" t="s">
        <v>1762</v>
      </c>
      <c r="D92" s="9">
        <v>1980</v>
      </c>
      <c r="E92" s="1" t="s">
        <v>1761</v>
      </c>
      <c r="F92" s="1" t="s">
        <v>130</v>
      </c>
      <c r="G92" s="1" t="s">
        <v>3</v>
      </c>
      <c r="H92" s="1" t="s">
        <v>3</v>
      </c>
      <c r="I92" s="1" t="s">
        <v>39</v>
      </c>
      <c r="J92" s="1" t="s">
        <v>39</v>
      </c>
      <c r="K92" s="1" t="s">
        <v>39</v>
      </c>
      <c r="L92" t="s">
        <v>18</v>
      </c>
      <c r="M92"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Complete</v>
      </c>
      <c r="N92" t="s">
        <v>1757</v>
      </c>
      <c r="O92" t="s">
        <v>568</v>
      </c>
      <c r="P92" t="s">
        <v>752</v>
      </c>
    </row>
    <row r="93" spans="1:16" ht="30" x14ac:dyDescent="0.25">
      <c r="A93" s="1" t="s">
        <v>1764</v>
      </c>
      <c r="B93" s="1" t="s">
        <v>1765</v>
      </c>
      <c r="C93" s="1" t="s">
        <v>1766</v>
      </c>
      <c r="D93" s="9">
        <v>1975</v>
      </c>
      <c r="E93" s="1" t="s">
        <v>22</v>
      </c>
      <c r="F93" s="1" t="s">
        <v>36</v>
      </c>
      <c r="G93" s="1" t="s">
        <v>1</v>
      </c>
      <c r="H93" s="1" t="s">
        <v>39</v>
      </c>
      <c r="I93" s="1" t="s">
        <v>39</v>
      </c>
      <c r="J93" s="1" t="s">
        <v>39</v>
      </c>
      <c r="K93" s="1" t="s">
        <v>39</v>
      </c>
      <c r="L93" t="s">
        <v>18</v>
      </c>
      <c r="M93"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93" t="s">
        <v>342</v>
      </c>
      <c r="O93" t="s">
        <v>568</v>
      </c>
      <c r="P93" t="s">
        <v>1213</v>
      </c>
    </row>
    <row r="94" spans="1:16" ht="45" x14ac:dyDescent="0.25">
      <c r="A94" s="1" t="s">
        <v>1767</v>
      </c>
      <c r="B94" s="1" t="s">
        <v>1768</v>
      </c>
      <c r="C94" s="1" t="s">
        <v>1770</v>
      </c>
      <c r="D94" s="9" t="s">
        <v>106</v>
      </c>
      <c r="E94" s="1" t="s">
        <v>340</v>
      </c>
      <c r="F94" s="1" t="s">
        <v>147</v>
      </c>
      <c r="G94" s="1" t="s">
        <v>3</v>
      </c>
      <c r="H94" s="1" t="s">
        <v>3</v>
      </c>
      <c r="I94" s="1" t="s">
        <v>39</v>
      </c>
      <c r="J94" s="1" t="s">
        <v>39</v>
      </c>
      <c r="K94" s="1" t="s">
        <v>39</v>
      </c>
      <c r="L94" t="s">
        <v>18</v>
      </c>
      <c r="M94"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Complete</v>
      </c>
      <c r="N94" t="s">
        <v>342</v>
      </c>
      <c r="O94" t="s">
        <v>568</v>
      </c>
      <c r="P94" t="s">
        <v>791</v>
      </c>
    </row>
    <row r="95" spans="1:16" x14ac:dyDescent="0.25">
      <c r="A95" s="1" t="s">
        <v>3624</v>
      </c>
      <c r="B95" s="1" t="s">
        <v>3625</v>
      </c>
      <c r="C95" s="1" t="s">
        <v>3626</v>
      </c>
      <c r="D95" s="9">
        <v>1984</v>
      </c>
      <c r="E95" s="1" t="s">
        <v>22</v>
      </c>
      <c r="F95" s="1" t="s">
        <v>36</v>
      </c>
      <c r="G95" s="1" t="s">
        <v>3</v>
      </c>
      <c r="H95" s="1" t="s">
        <v>1</v>
      </c>
      <c r="I95" s="1" t="s">
        <v>39</v>
      </c>
      <c r="J95" s="1" t="s">
        <v>39</v>
      </c>
      <c r="K95" s="1" t="s">
        <v>39</v>
      </c>
      <c r="L95" t="s">
        <v>20</v>
      </c>
      <c r="M95"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95" t="s">
        <v>342</v>
      </c>
      <c r="O95" t="s">
        <v>568</v>
      </c>
      <c r="P95" t="s">
        <v>2247</v>
      </c>
    </row>
    <row r="96" spans="1:16" ht="45" x14ac:dyDescent="0.25">
      <c r="A96" s="1" t="s">
        <v>2783</v>
      </c>
      <c r="B96" s="1" t="s">
        <v>3629</v>
      </c>
      <c r="C96" s="1" t="s">
        <v>3630</v>
      </c>
      <c r="D96" s="9">
        <v>2008</v>
      </c>
      <c r="E96" s="1" t="s">
        <v>1761</v>
      </c>
      <c r="F96" s="1" t="s">
        <v>34</v>
      </c>
      <c r="G96" s="1" t="s">
        <v>1</v>
      </c>
      <c r="H96" s="1" t="s">
        <v>3</v>
      </c>
      <c r="I96" s="1" t="s">
        <v>39</v>
      </c>
      <c r="J96" s="1" t="s">
        <v>39</v>
      </c>
      <c r="K96" s="1" t="s">
        <v>39</v>
      </c>
      <c r="L96" t="s">
        <v>20</v>
      </c>
      <c r="M96"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Complete</v>
      </c>
      <c r="N96" t="s">
        <v>342</v>
      </c>
      <c r="O96" t="s">
        <v>568</v>
      </c>
      <c r="P96" t="s">
        <v>2781</v>
      </c>
    </row>
    <row r="97" spans="1:16" ht="30" x14ac:dyDescent="0.25">
      <c r="A97" s="1" t="s">
        <v>3631</v>
      </c>
      <c r="B97" s="1" t="s">
        <v>3632</v>
      </c>
      <c r="C97" s="1" t="s">
        <v>3634</v>
      </c>
      <c r="D97" s="9">
        <v>1976</v>
      </c>
      <c r="E97" s="1" t="s">
        <v>3633</v>
      </c>
      <c r="F97" s="1" t="s">
        <v>36</v>
      </c>
      <c r="G97" s="1" t="s">
        <v>3</v>
      </c>
      <c r="H97" s="1" t="s">
        <v>3</v>
      </c>
      <c r="I97" s="1" t="s">
        <v>39</v>
      </c>
      <c r="J97" s="1" t="s">
        <v>39</v>
      </c>
      <c r="K97" s="1" t="s">
        <v>39</v>
      </c>
      <c r="L97" t="s">
        <v>20</v>
      </c>
      <c r="M97"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97" t="s">
        <v>342</v>
      </c>
      <c r="O97" t="s">
        <v>568</v>
      </c>
      <c r="P97" t="s">
        <v>3451</v>
      </c>
    </row>
    <row r="98" spans="1:16" ht="30" x14ac:dyDescent="0.25">
      <c r="A98" s="1" t="s">
        <v>3726</v>
      </c>
      <c r="B98" s="1" t="s">
        <v>3727</v>
      </c>
      <c r="C98" s="1" t="s">
        <v>3728</v>
      </c>
      <c r="D98" s="9">
        <v>2010</v>
      </c>
      <c r="E98" s="1" t="s">
        <v>3633</v>
      </c>
      <c r="F98" s="1" t="s">
        <v>145</v>
      </c>
      <c r="G98" s="1" t="s">
        <v>3</v>
      </c>
      <c r="H98" s="1" t="s">
        <v>3</v>
      </c>
      <c r="I98" s="1" t="s">
        <v>39</v>
      </c>
      <c r="J98" s="1" t="s">
        <v>39</v>
      </c>
      <c r="K98" s="1" t="s">
        <v>39</v>
      </c>
      <c r="L98" t="s">
        <v>20</v>
      </c>
      <c r="M98"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98" t="s">
        <v>342</v>
      </c>
      <c r="O98" t="s">
        <v>568</v>
      </c>
      <c r="P98" t="s">
        <v>2533</v>
      </c>
    </row>
    <row r="99" spans="1:16" ht="45" x14ac:dyDescent="0.25">
      <c r="A99" s="1" t="s">
        <v>3729</v>
      </c>
      <c r="B99" s="1" t="s">
        <v>3731</v>
      </c>
      <c r="C99" s="1" t="s">
        <v>3730</v>
      </c>
      <c r="D99" s="9">
        <v>1993</v>
      </c>
      <c r="E99" s="1" t="s">
        <v>340</v>
      </c>
      <c r="F99" s="1" t="s">
        <v>144</v>
      </c>
      <c r="G99" s="1" t="s">
        <v>1</v>
      </c>
      <c r="H99" s="1" t="s">
        <v>3</v>
      </c>
      <c r="I99" s="1" t="s">
        <v>39</v>
      </c>
      <c r="J99" s="1" t="s">
        <v>39</v>
      </c>
      <c r="K99" s="1" t="s">
        <v>39</v>
      </c>
      <c r="L99" t="s">
        <v>20</v>
      </c>
      <c r="M99"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Complete</v>
      </c>
      <c r="N99" t="s">
        <v>443</v>
      </c>
      <c r="O99" t="s">
        <v>568</v>
      </c>
      <c r="P99" t="s">
        <v>3190</v>
      </c>
    </row>
    <row r="100" spans="1:16" ht="30" x14ac:dyDescent="0.25">
      <c r="A100" s="1" t="s">
        <v>3732</v>
      </c>
      <c r="B100" s="1" t="s">
        <v>3747</v>
      </c>
      <c r="C100" s="1" t="s">
        <v>3634</v>
      </c>
      <c r="D100" s="9" t="s">
        <v>3733</v>
      </c>
      <c r="E100" s="1" t="s">
        <v>22</v>
      </c>
      <c r="F100" s="1" t="s">
        <v>36</v>
      </c>
      <c r="G100" s="1" t="s">
        <v>3</v>
      </c>
      <c r="H100" s="1" t="s">
        <v>1</v>
      </c>
      <c r="I100" s="1" t="s">
        <v>39</v>
      </c>
      <c r="J100" s="1" t="s">
        <v>39</v>
      </c>
      <c r="K100" s="1" t="s">
        <v>39</v>
      </c>
      <c r="L100" t="s">
        <v>20</v>
      </c>
      <c r="M100"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100" t="s">
        <v>443</v>
      </c>
      <c r="O100" t="s">
        <v>568</v>
      </c>
      <c r="P100" t="s">
        <v>3160</v>
      </c>
    </row>
    <row r="101" spans="1:16" ht="45" x14ac:dyDescent="0.25">
      <c r="A101" s="1" t="s">
        <v>3734</v>
      </c>
      <c r="B101" s="1" t="s">
        <v>3735</v>
      </c>
      <c r="C101" s="1" t="s">
        <v>3736</v>
      </c>
      <c r="D101" s="9">
        <v>1986</v>
      </c>
      <c r="E101" s="1" t="s">
        <v>27</v>
      </c>
      <c r="F101" s="1" t="s">
        <v>36</v>
      </c>
      <c r="G101" s="1" t="s">
        <v>39</v>
      </c>
      <c r="H101" s="1" t="s">
        <v>39</v>
      </c>
      <c r="I101" s="1" t="s">
        <v>1</v>
      </c>
      <c r="J101" s="1" t="s">
        <v>39</v>
      </c>
      <c r="K101" s="1" t="s">
        <v>41</v>
      </c>
      <c r="L101" t="s">
        <v>20</v>
      </c>
      <c r="M101"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No Recycling Program</v>
      </c>
      <c r="N101" t="s">
        <v>443</v>
      </c>
      <c r="O101" t="s">
        <v>568</v>
      </c>
      <c r="P101" t="s">
        <v>2715</v>
      </c>
    </row>
    <row r="102" spans="1:16" ht="45" x14ac:dyDescent="0.25">
      <c r="A102" s="1" t="s">
        <v>3737</v>
      </c>
      <c r="B102" s="1" t="s">
        <v>3739</v>
      </c>
      <c r="C102" s="1" t="s">
        <v>3738</v>
      </c>
      <c r="D102" s="9">
        <v>2005</v>
      </c>
      <c r="E102" s="1" t="s">
        <v>3740</v>
      </c>
      <c r="F102" s="1" t="s">
        <v>144</v>
      </c>
      <c r="G102" s="1" t="s">
        <v>1</v>
      </c>
      <c r="H102" s="1" t="s">
        <v>3</v>
      </c>
      <c r="I102" s="1" t="s">
        <v>3</v>
      </c>
      <c r="J102" s="1" t="s">
        <v>3741</v>
      </c>
      <c r="K102" s="1" t="s">
        <v>39</v>
      </c>
      <c r="L102" t="s">
        <v>20</v>
      </c>
      <c r="M102"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102" t="s">
        <v>342</v>
      </c>
      <c r="O102" t="s">
        <v>568</v>
      </c>
      <c r="P102" t="s">
        <v>2350</v>
      </c>
    </row>
    <row r="103" spans="1:16" ht="30" x14ac:dyDescent="0.25">
      <c r="A103" s="1" t="s">
        <v>3742</v>
      </c>
      <c r="B103" s="1" t="s">
        <v>3744</v>
      </c>
      <c r="C103" s="1" t="s">
        <v>3745</v>
      </c>
      <c r="D103" s="9" t="s">
        <v>3743</v>
      </c>
      <c r="E103" s="1" t="s">
        <v>3740</v>
      </c>
      <c r="F103" s="1" t="s">
        <v>3746</v>
      </c>
      <c r="G103" s="1" t="s">
        <v>3</v>
      </c>
      <c r="H103" s="1" t="s">
        <v>3</v>
      </c>
      <c r="I103" s="1" t="s">
        <v>39</v>
      </c>
      <c r="J103" s="1" t="s">
        <v>39</v>
      </c>
      <c r="K103" s="1" t="s">
        <v>39</v>
      </c>
      <c r="L103" t="s">
        <v>20</v>
      </c>
      <c r="M103"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103" t="s">
        <v>342</v>
      </c>
      <c r="O103" t="s">
        <v>568</v>
      </c>
      <c r="P103" t="s">
        <v>1964</v>
      </c>
    </row>
    <row r="104" spans="1:16" ht="30" x14ac:dyDescent="0.25">
      <c r="A104" s="1" t="s">
        <v>3732</v>
      </c>
      <c r="B104" s="1" t="s">
        <v>3748</v>
      </c>
      <c r="C104" s="1" t="s">
        <v>3766</v>
      </c>
      <c r="D104" s="9">
        <v>1982</v>
      </c>
      <c r="E104" s="1" t="s">
        <v>27</v>
      </c>
      <c r="F104" s="1" t="s">
        <v>36</v>
      </c>
      <c r="G104" s="1" t="s">
        <v>1</v>
      </c>
      <c r="H104" s="1" t="s">
        <v>1</v>
      </c>
      <c r="I104" s="1" t="s">
        <v>1</v>
      </c>
      <c r="J104" s="1" t="s">
        <v>39</v>
      </c>
      <c r="K104" s="1" t="s">
        <v>39</v>
      </c>
      <c r="L104" t="s">
        <v>20</v>
      </c>
      <c r="M104"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No Recycling Program</v>
      </c>
      <c r="N104" t="s">
        <v>342</v>
      </c>
      <c r="O104" t="s">
        <v>568</v>
      </c>
      <c r="P104" t="s">
        <v>1872</v>
      </c>
    </row>
    <row r="105" spans="1:16" ht="30" x14ac:dyDescent="0.25">
      <c r="A105" s="1" t="s">
        <v>3732</v>
      </c>
      <c r="B105" s="1" t="s">
        <v>3749</v>
      </c>
      <c r="C105" s="1" t="s">
        <v>3634</v>
      </c>
      <c r="D105" s="9">
        <v>1966</v>
      </c>
      <c r="E105" s="1" t="s">
        <v>27</v>
      </c>
      <c r="F105" s="1" t="s">
        <v>36</v>
      </c>
      <c r="G105" s="1" t="s">
        <v>3</v>
      </c>
      <c r="H105" s="1" t="s">
        <v>3</v>
      </c>
      <c r="I105" s="1" t="s">
        <v>1</v>
      </c>
      <c r="J105" s="1" t="s">
        <v>39</v>
      </c>
      <c r="K105" s="1" t="s">
        <v>39</v>
      </c>
      <c r="L105" t="s">
        <v>20</v>
      </c>
      <c r="M105"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No Recycling Program</v>
      </c>
      <c r="N105" t="s">
        <v>443</v>
      </c>
      <c r="O105" t="s">
        <v>568</v>
      </c>
    </row>
    <row r="106" spans="1:16" ht="30" x14ac:dyDescent="0.25">
      <c r="A106" s="1" t="s">
        <v>3754</v>
      </c>
      <c r="B106" s="1" t="s">
        <v>3755</v>
      </c>
      <c r="C106" s="1" t="s">
        <v>3767</v>
      </c>
      <c r="D106" s="9">
        <v>2005</v>
      </c>
      <c r="E106" s="1" t="s">
        <v>3633</v>
      </c>
      <c r="F106" s="1" t="s">
        <v>3756</v>
      </c>
      <c r="G106" s="1" t="s">
        <v>1</v>
      </c>
      <c r="H106" s="1" t="s">
        <v>1</v>
      </c>
      <c r="I106" s="1" t="s">
        <v>1</v>
      </c>
      <c r="J106" s="1" t="s">
        <v>39</v>
      </c>
      <c r="K106" s="1" t="s">
        <v>39</v>
      </c>
      <c r="L106" t="s">
        <v>20</v>
      </c>
      <c r="M106"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106" t="s">
        <v>342</v>
      </c>
      <c r="O106" t="s">
        <v>568</v>
      </c>
      <c r="P106" t="s">
        <v>2414</v>
      </c>
    </row>
    <row r="107" spans="1:16" ht="30" x14ac:dyDescent="0.25">
      <c r="B107" s="1" t="s">
        <v>3757</v>
      </c>
      <c r="C107" s="1" t="s">
        <v>3768</v>
      </c>
      <c r="D107" s="9">
        <v>1964</v>
      </c>
      <c r="E107" s="1" t="s">
        <v>22</v>
      </c>
      <c r="F107" s="1" t="s">
        <v>3758</v>
      </c>
      <c r="G107" s="1" t="s">
        <v>39</v>
      </c>
      <c r="H107" s="1" t="s">
        <v>39</v>
      </c>
      <c r="I107" s="1" t="s">
        <v>39</v>
      </c>
      <c r="J107" s="1" t="s">
        <v>39</v>
      </c>
      <c r="K107" s="1" t="s">
        <v>39</v>
      </c>
      <c r="L107" t="s">
        <v>20</v>
      </c>
      <c r="M107"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107" t="s">
        <v>342</v>
      </c>
      <c r="O107" t="s">
        <v>568</v>
      </c>
      <c r="P107" t="s">
        <v>1981</v>
      </c>
    </row>
    <row r="108" spans="1:16" ht="30" x14ac:dyDescent="0.25">
      <c r="A108" s="1" t="s">
        <v>3759</v>
      </c>
      <c r="B108" s="1" t="s">
        <v>3760</v>
      </c>
      <c r="C108" s="1" t="s">
        <v>3769</v>
      </c>
      <c r="D108" s="3" t="s">
        <v>106</v>
      </c>
      <c r="E108" s="1" t="s">
        <v>3761</v>
      </c>
      <c r="F108" s="1" t="s">
        <v>144</v>
      </c>
      <c r="G108" s="1" t="s">
        <v>3</v>
      </c>
      <c r="H108" s="1" t="s">
        <v>39</v>
      </c>
      <c r="I108" s="1" t="s">
        <v>3</v>
      </c>
      <c r="J108" s="1" t="s">
        <v>3762</v>
      </c>
      <c r="K108" s="1" t="s">
        <v>39</v>
      </c>
      <c r="L108" t="s">
        <v>20</v>
      </c>
      <c r="M108"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108" t="s">
        <v>443</v>
      </c>
      <c r="O108" t="s">
        <v>568</v>
      </c>
      <c r="P108" t="s">
        <v>2900</v>
      </c>
    </row>
    <row r="109" spans="1:16" ht="30" x14ac:dyDescent="0.25">
      <c r="A109" s="1" t="s">
        <v>3763</v>
      </c>
      <c r="B109" s="1" t="s">
        <v>3764</v>
      </c>
      <c r="C109" s="1" t="s">
        <v>3765</v>
      </c>
      <c r="D109" s="9" t="s">
        <v>3770</v>
      </c>
      <c r="E109" s="1" t="s">
        <v>258</v>
      </c>
      <c r="F109" s="1" t="s">
        <v>35</v>
      </c>
      <c r="G109" s="1" t="s">
        <v>39</v>
      </c>
      <c r="H109" s="1" t="s">
        <v>39</v>
      </c>
      <c r="I109" s="1" t="s">
        <v>3</v>
      </c>
      <c r="J109" s="1" t="s">
        <v>3771</v>
      </c>
      <c r="K109" s="1" t="s">
        <v>41</v>
      </c>
      <c r="L109" t="s">
        <v>18</v>
      </c>
      <c r="M109"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109" t="s">
        <v>342</v>
      </c>
      <c r="O109" t="s">
        <v>568</v>
      </c>
      <c r="P109" t="s">
        <v>1021</v>
      </c>
    </row>
    <row r="110" spans="1:16" ht="30" x14ac:dyDescent="0.25">
      <c r="A110" s="1" t="s">
        <v>3772</v>
      </c>
      <c r="B110" s="1" t="s">
        <v>3773</v>
      </c>
      <c r="C110" s="1" t="s">
        <v>3774</v>
      </c>
      <c r="D110" s="9" t="s">
        <v>106</v>
      </c>
      <c r="E110" s="1" t="s">
        <v>3775</v>
      </c>
      <c r="F110" s="1" t="s">
        <v>131</v>
      </c>
      <c r="G110" s="1" t="s">
        <v>3</v>
      </c>
      <c r="H110" s="1" t="s">
        <v>3</v>
      </c>
      <c r="I110" s="1" t="s">
        <v>1</v>
      </c>
      <c r="J110" s="1" t="s">
        <v>39</v>
      </c>
      <c r="K110" s="1" t="s">
        <v>39</v>
      </c>
      <c r="L110" t="s">
        <v>18</v>
      </c>
      <c r="M110"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110" t="s">
        <v>342</v>
      </c>
      <c r="O110" t="s">
        <v>568</v>
      </c>
      <c r="P110" t="s">
        <v>1007</v>
      </c>
    </row>
    <row r="111" spans="1:16" ht="30" x14ac:dyDescent="0.25">
      <c r="A111" s="1" t="s">
        <v>3776</v>
      </c>
      <c r="B111" s="1" t="s">
        <v>3779</v>
      </c>
      <c r="C111" s="1" t="s">
        <v>3781</v>
      </c>
      <c r="D111" s="9">
        <v>2000</v>
      </c>
      <c r="E111" s="1" t="s">
        <v>3777</v>
      </c>
      <c r="F111" s="1" t="s">
        <v>3778</v>
      </c>
      <c r="G111" s="1" t="s">
        <v>3</v>
      </c>
      <c r="H111" s="1" t="s">
        <v>39</v>
      </c>
      <c r="I111" s="1" t="s">
        <v>1</v>
      </c>
      <c r="J111" s="1" t="s">
        <v>39</v>
      </c>
      <c r="K111" s="1" t="s">
        <v>39</v>
      </c>
      <c r="L111" t="s">
        <v>18</v>
      </c>
      <c r="M111"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111" t="s">
        <v>342</v>
      </c>
      <c r="O111" t="s">
        <v>568</v>
      </c>
      <c r="P111" t="s">
        <v>952</v>
      </c>
    </row>
    <row r="112" spans="1:16" x14ac:dyDescent="0.25">
      <c r="A112" s="1" t="s">
        <v>3780</v>
      </c>
      <c r="B112" s="1" t="s">
        <v>3782</v>
      </c>
      <c r="C112" s="1" t="s">
        <v>3766</v>
      </c>
      <c r="D112" s="9">
        <v>1992</v>
      </c>
      <c r="E112" s="1" t="s">
        <v>258</v>
      </c>
      <c r="F112" s="1" t="s">
        <v>130</v>
      </c>
      <c r="G112" s="1" t="s">
        <v>3</v>
      </c>
      <c r="H112" s="1" t="s">
        <v>39</v>
      </c>
      <c r="I112" s="1" t="s">
        <v>39</v>
      </c>
      <c r="J112" s="1" t="s">
        <v>39</v>
      </c>
      <c r="K112" s="1" t="s">
        <v>39</v>
      </c>
      <c r="L112" t="s">
        <v>20</v>
      </c>
      <c r="M112"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112" t="s">
        <v>342</v>
      </c>
      <c r="O112" t="s">
        <v>568</v>
      </c>
      <c r="P112" t="s">
        <v>2633</v>
      </c>
    </row>
    <row r="113" spans="1:16" ht="45" x14ac:dyDescent="0.25">
      <c r="A113" s="1" t="s">
        <v>3783</v>
      </c>
      <c r="B113" s="1" t="s">
        <v>3784</v>
      </c>
      <c r="C113" s="1" t="s">
        <v>2061</v>
      </c>
      <c r="D113" s="9" t="s">
        <v>3785</v>
      </c>
      <c r="E113" s="1" t="s">
        <v>1761</v>
      </c>
      <c r="F113" s="1" t="s">
        <v>3786</v>
      </c>
      <c r="G113" s="1" t="s">
        <v>3</v>
      </c>
      <c r="H113" s="1" t="s">
        <v>3</v>
      </c>
      <c r="I113" s="1" t="s">
        <v>39</v>
      </c>
      <c r="J113" s="1" t="s">
        <v>39</v>
      </c>
      <c r="K113" s="1" t="s">
        <v>39</v>
      </c>
      <c r="L113" t="s">
        <v>20</v>
      </c>
      <c r="M113"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Complete</v>
      </c>
      <c r="N113" t="s">
        <v>342</v>
      </c>
      <c r="O113" t="s">
        <v>568</v>
      </c>
      <c r="P113" t="s">
        <v>2057</v>
      </c>
    </row>
    <row r="114" spans="1:16" ht="45" x14ac:dyDescent="0.25">
      <c r="B114" s="1" t="s">
        <v>3787</v>
      </c>
      <c r="C114" s="1" t="s">
        <v>253</v>
      </c>
      <c r="D114" s="9" t="s">
        <v>106</v>
      </c>
      <c r="E114" s="1" t="s">
        <v>340</v>
      </c>
      <c r="G114" s="1" t="s">
        <v>1</v>
      </c>
      <c r="H114" s="1" t="s">
        <v>3</v>
      </c>
      <c r="I114" s="1" t="s">
        <v>1</v>
      </c>
      <c r="J114" s="1" t="s">
        <v>39</v>
      </c>
      <c r="K114" s="1" t="s">
        <v>39</v>
      </c>
      <c r="L114" t="s">
        <v>18</v>
      </c>
      <c r="M114"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Complete</v>
      </c>
      <c r="N114" t="s">
        <v>342</v>
      </c>
      <c r="O114" t="s">
        <v>574</v>
      </c>
      <c r="P114" t="s">
        <v>1721</v>
      </c>
    </row>
    <row r="115" spans="1:16" ht="45" x14ac:dyDescent="0.25">
      <c r="B115" s="1" t="s">
        <v>3788</v>
      </c>
      <c r="C115" s="1" t="s">
        <v>3781</v>
      </c>
      <c r="D115" s="9" t="s">
        <v>106</v>
      </c>
      <c r="E115" s="1" t="s">
        <v>340</v>
      </c>
      <c r="G115" s="1" t="s">
        <v>3</v>
      </c>
      <c r="H115" s="1" t="s">
        <v>3</v>
      </c>
      <c r="I115" s="1" t="s">
        <v>1</v>
      </c>
      <c r="J115" s="1" t="s">
        <v>39</v>
      </c>
      <c r="K115" s="1" t="s">
        <v>39</v>
      </c>
      <c r="L115" t="s">
        <v>18</v>
      </c>
      <c r="M115"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Complete</v>
      </c>
      <c r="N115" t="s">
        <v>341</v>
      </c>
      <c r="O115" t="s">
        <v>574</v>
      </c>
      <c r="P115" t="s">
        <v>1683</v>
      </c>
    </row>
    <row r="116" spans="1:16" ht="60" x14ac:dyDescent="0.25">
      <c r="A116" s="1" t="s">
        <v>3789</v>
      </c>
      <c r="B116" s="1" t="s">
        <v>3790</v>
      </c>
      <c r="C116" s="1" t="s">
        <v>3793</v>
      </c>
      <c r="D116" s="9" t="s">
        <v>3792</v>
      </c>
      <c r="E116" s="1" t="s">
        <v>1761</v>
      </c>
      <c r="F116" s="1" t="s">
        <v>147</v>
      </c>
      <c r="G116" s="1" t="s">
        <v>3</v>
      </c>
      <c r="H116" s="1" t="s">
        <v>3</v>
      </c>
      <c r="I116" s="1" t="s">
        <v>39</v>
      </c>
      <c r="J116" s="1" t="s">
        <v>3791</v>
      </c>
      <c r="K116" s="1" t="s">
        <v>39</v>
      </c>
      <c r="L116" t="s">
        <v>20</v>
      </c>
      <c r="M116"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Complete</v>
      </c>
      <c r="N116" t="s">
        <v>443</v>
      </c>
      <c r="O116" t="s">
        <v>568</v>
      </c>
      <c r="P116" t="s">
        <v>2706</v>
      </c>
    </row>
    <row r="117" spans="1:16" ht="30" x14ac:dyDescent="0.25">
      <c r="A117" s="1" t="s">
        <v>3794</v>
      </c>
      <c r="B117" s="1" t="s">
        <v>3795</v>
      </c>
      <c r="C117" s="1" t="s">
        <v>3796</v>
      </c>
      <c r="D117" s="9" t="s">
        <v>106</v>
      </c>
      <c r="E117" s="1" t="s">
        <v>113</v>
      </c>
      <c r="F117" s="1" t="s">
        <v>130</v>
      </c>
      <c r="G117" s="1" t="s">
        <v>39</v>
      </c>
      <c r="H117" s="1" t="s">
        <v>39</v>
      </c>
      <c r="I117" s="1" t="s">
        <v>39</v>
      </c>
      <c r="J117" s="1" t="s">
        <v>39</v>
      </c>
      <c r="K117" s="1" t="s">
        <v>39</v>
      </c>
      <c r="L117" t="s">
        <v>20</v>
      </c>
      <c r="M117"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No Recycling Program</v>
      </c>
      <c r="N117" t="s">
        <v>342</v>
      </c>
      <c r="O117" t="s">
        <v>568</v>
      </c>
      <c r="P117" t="s">
        <v>2216</v>
      </c>
    </row>
    <row r="118" spans="1:16" ht="45" x14ac:dyDescent="0.25">
      <c r="A118" s="1" t="s">
        <v>3798</v>
      </c>
      <c r="B118" s="1" t="s">
        <v>3799</v>
      </c>
      <c r="C118" s="1" t="s">
        <v>3800</v>
      </c>
      <c r="D118" s="9">
        <v>2000</v>
      </c>
      <c r="E118" s="1" t="s">
        <v>22</v>
      </c>
      <c r="F118" s="1" t="s">
        <v>130</v>
      </c>
      <c r="G118" s="1" t="s">
        <v>3</v>
      </c>
      <c r="H118" s="1" t="s">
        <v>39</v>
      </c>
      <c r="I118" s="1" t="s">
        <v>39</v>
      </c>
      <c r="J118" s="1" t="s">
        <v>39</v>
      </c>
      <c r="K118" s="1" t="s">
        <v>39</v>
      </c>
      <c r="L118" t="s">
        <v>20</v>
      </c>
      <c r="M118"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118" t="s">
        <v>342</v>
      </c>
      <c r="O118" t="s">
        <v>568</v>
      </c>
      <c r="P118" t="s">
        <v>3492</v>
      </c>
    </row>
    <row r="119" spans="1:16" ht="30" x14ac:dyDescent="0.25">
      <c r="A119" s="1" t="s">
        <v>3801</v>
      </c>
      <c r="B119" s="1" t="s">
        <v>3802</v>
      </c>
      <c r="C119" s="1" t="s">
        <v>3813</v>
      </c>
      <c r="D119" s="9">
        <v>1985</v>
      </c>
      <c r="E119" s="1" t="s">
        <v>3633</v>
      </c>
      <c r="F119" s="1" t="s">
        <v>144</v>
      </c>
      <c r="G119" s="1" t="s">
        <v>3</v>
      </c>
      <c r="H119" s="1" t="s">
        <v>3</v>
      </c>
      <c r="I119" s="1" t="s">
        <v>39</v>
      </c>
      <c r="J119" s="1" t="s">
        <v>39</v>
      </c>
      <c r="K119" s="1" t="s">
        <v>39</v>
      </c>
      <c r="L119" t="s">
        <v>20</v>
      </c>
      <c r="M119"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119" t="s">
        <v>342</v>
      </c>
      <c r="O119" t="s">
        <v>568</v>
      </c>
      <c r="P119" t="s">
        <v>2493</v>
      </c>
    </row>
    <row r="120" spans="1:16" ht="45" x14ac:dyDescent="0.25">
      <c r="A120" s="1" t="s">
        <v>3803</v>
      </c>
      <c r="B120" s="1" t="s">
        <v>3804</v>
      </c>
      <c r="C120" s="1" t="s">
        <v>3634</v>
      </c>
      <c r="D120" s="9">
        <v>1964</v>
      </c>
      <c r="E120" s="1" t="s">
        <v>3740</v>
      </c>
      <c r="F120" s="1" t="s">
        <v>144</v>
      </c>
      <c r="G120" s="1" t="s">
        <v>3</v>
      </c>
      <c r="H120" s="1" t="s">
        <v>3</v>
      </c>
      <c r="I120" s="1" t="s">
        <v>39</v>
      </c>
      <c r="J120" s="1" t="s">
        <v>39</v>
      </c>
      <c r="K120" s="1" t="s">
        <v>39</v>
      </c>
      <c r="L120" t="s">
        <v>20</v>
      </c>
      <c r="M120"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120" t="s">
        <v>342</v>
      </c>
      <c r="O120" t="s">
        <v>568</v>
      </c>
      <c r="P120" t="s">
        <v>1893</v>
      </c>
    </row>
    <row r="121" spans="1:16" ht="30" x14ac:dyDescent="0.25">
      <c r="A121" s="1" t="s">
        <v>3805</v>
      </c>
      <c r="B121" s="1" t="s">
        <v>3806</v>
      </c>
      <c r="C121" s="1" t="s">
        <v>3807</v>
      </c>
      <c r="D121" s="9" t="s">
        <v>106</v>
      </c>
      <c r="E121" s="1" t="s">
        <v>3740</v>
      </c>
      <c r="F121" s="1" t="s">
        <v>144</v>
      </c>
      <c r="G121" s="1" t="s">
        <v>3</v>
      </c>
      <c r="H121" s="1" t="s">
        <v>3</v>
      </c>
      <c r="I121" s="1" t="s">
        <v>39</v>
      </c>
      <c r="J121" s="1" t="s">
        <v>39</v>
      </c>
      <c r="K121" s="1" t="s">
        <v>39</v>
      </c>
      <c r="L121" t="s">
        <v>20</v>
      </c>
      <c r="M121"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121" t="s">
        <v>342</v>
      </c>
      <c r="O121" t="s">
        <v>568</v>
      </c>
      <c r="P121" t="s">
        <v>1957</v>
      </c>
    </row>
    <row r="122" spans="1:16" ht="45" x14ac:dyDescent="0.25">
      <c r="A122" s="1" t="s">
        <v>3808</v>
      </c>
      <c r="B122" s="1" t="s">
        <v>3080</v>
      </c>
      <c r="C122" s="1" t="s">
        <v>3814</v>
      </c>
      <c r="D122" s="9">
        <v>1985</v>
      </c>
      <c r="E122" s="1" t="s">
        <v>3809</v>
      </c>
      <c r="G122" s="1" t="s">
        <v>3</v>
      </c>
      <c r="H122" s="1" t="s">
        <v>3</v>
      </c>
      <c r="I122" s="1" t="s">
        <v>39</v>
      </c>
      <c r="J122" s="1" t="s">
        <v>39</v>
      </c>
      <c r="K122" s="1" t="s">
        <v>39</v>
      </c>
      <c r="L122" t="s">
        <v>20</v>
      </c>
      <c r="M122"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122" t="s">
        <v>342</v>
      </c>
      <c r="O122" t="s">
        <v>568</v>
      </c>
      <c r="P122" t="s">
        <v>3077</v>
      </c>
    </row>
    <row r="123" spans="1:16" ht="30" x14ac:dyDescent="0.25">
      <c r="A123" s="1" t="s">
        <v>3810</v>
      </c>
      <c r="B123" s="1" t="s">
        <v>3811</v>
      </c>
      <c r="C123" s="1" t="s">
        <v>3812</v>
      </c>
      <c r="D123" s="9">
        <v>1970</v>
      </c>
      <c r="E123" s="1" t="s">
        <v>22</v>
      </c>
      <c r="F123" s="1" t="s">
        <v>36</v>
      </c>
      <c r="G123" s="1" t="s">
        <v>39</v>
      </c>
      <c r="H123" s="1" t="s">
        <v>39</v>
      </c>
      <c r="I123" s="1" t="s">
        <v>39</v>
      </c>
      <c r="J123" s="1" t="s">
        <v>39</v>
      </c>
      <c r="K123" s="1" t="s">
        <v>39</v>
      </c>
      <c r="L123" t="s">
        <v>20</v>
      </c>
      <c r="M123"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123" t="s">
        <v>342</v>
      </c>
      <c r="O123" t="s">
        <v>568</v>
      </c>
      <c r="P123" t="s">
        <v>2227</v>
      </c>
    </row>
    <row r="124" spans="1:16" ht="60" x14ac:dyDescent="0.25">
      <c r="A124" s="1" t="s">
        <v>3815</v>
      </c>
      <c r="B124" s="1" t="s">
        <v>3818</v>
      </c>
      <c r="C124" s="1" t="s">
        <v>3816</v>
      </c>
      <c r="D124" s="9">
        <v>1981</v>
      </c>
      <c r="E124" s="1" t="s">
        <v>113</v>
      </c>
      <c r="F124" s="1" t="s">
        <v>36</v>
      </c>
      <c r="G124" s="1" t="s">
        <v>39</v>
      </c>
      <c r="H124" s="1" t="s">
        <v>39</v>
      </c>
      <c r="I124" s="1" t="s">
        <v>3</v>
      </c>
      <c r="J124" s="1" t="s">
        <v>3817</v>
      </c>
      <c r="K124" s="1" t="s">
        <v>39</v>
      </c>
      <c r="L124" t="s">
        <v>18</v>
      </c>
      <c r="M124"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No Recycling Program</v>
      </c>
      <c r="N124" t="s">
        <v>342</v>
      </c>
      <c r="O124" t="s">
        <v>568</v>
      </c>
      <c r="P124" t="s">
        <v>1036</v>
      </c>
    </row>
    <row r="125" spans="1:16" ht="30" x14ac:dyDescent="0.25">
      <c r="A125" s="1" t="s">
        <v>3815</v>
      </c>
      <c r="B125" s="1" t="s">
        <v>3819</v>
      </c>
      <c r="C125" s="1" t="s">
        <v>3820</v>
      </c>
      <c r="D125" s="9">
        <v>1979</v>
      </c>
      <c r="E125" s="1" t="s">
        <v>45</v>
      </c>
      <c r="F125" s="1" t="s">
        <v>34</v>
      </c>
      <c r="G125" s="1" t="s">
        <v>3</v>
      </c>
      <c r="H125" s="1" t="s">
        <v>39</v>
      </c>
      <c r="I125" s="1" t="s">
        <v>39</v>
      </c>
      <c r="J125" s="1" t="s">
        <v>39</v>
      </c>
      <c r="K125" s="1" t="s">
        <v>39</v>
      </c>
      <c r="L125" t="s">
        <v>18</v>
      </c>
      <c r="M125"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125" t="s">
        <v>342</v>
      </c>
      <c r="O125" t="s">
        <v>568</v>
      </c>
      <c r="P125" t="s">
        <v>818</v>
      </c>
    </row>
    <row r="126" spans="1:16" ht="30" x14ac:dyDescent="0.25">
      <c r="A126" s="1" t="s">
        <v>3815</v>
      </c>
      <c r="B126" s="1" t="s">
        <v>3821</v>
      </c>
      <c r="C126" s="1" t="s">
        <v>3781</v>
      </c>
      <c r="D126" s="9">
        <v>2004</v>
      </c>
      <c r="E126" s="1" t="s">
        <v>124</v>
      </c>
      <c r="F126" s="1" t="s">
        <v>130</v>
      </c>
      <c r="G126" s="1" t="s">
        <v>3</v>
      </c>
      <c r="H126" s="1" t="s">
        <v>39</v>
      </c>
      <c r="I126" s="1" t="s">
        <v>39</v>
      </c>
      <c r="J126" s="1" t="s">
        <v>39</v>
      </c>
      <c r="K126" s="1" t="s">
        <v>39</v>
      </c>
      <c r="L126" t="s">
        <v>18</v>
      </c>
      <c r="M126"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126" t="s">
        <v>342</v>
      </c>
      <c r="O126" t="s">
        <v>568</v>
      </c>
      <c r="P126" t="s">
        <v>1040</v>
      </c>
    </row>
    <row r="127" spans="1:16" x14ac:dyDescent="0.25">
      <c r="A127" s="1" t="s">
        <v>3827</v>
      </c>
      <c r="B127" s="1" t="s">
        <v>3826</v>
      </c>
      <c r="C127" s="1" t="s">
        <v>3825</v>
      </c>
      <c r="D127" s="9">
        <v>1978</v>
      </c>
      <c r="E127" s="1" t="s">
        <v>24</v>
      </c>
      <c r="F127" s="1" t="s">
        <v>39</v>
      </c>
      <c r="G127" s="1" t="s">
        <v>1</v>
      </c>
      <c r="H127" s="1" t="s">
        <v>39</v>
      </c>
      <c r="I127" s="1" t="s">
        <v>39</v>
      </c>
      <c r="J127" s="1" t="s">
        <v>39</v>
      </c>
      <c r="K127" s="1" t="s">
        <v>39</v>
      </c>
      <c r="L127" t="s">
        <v>20</v>
      </c>
      <c r="M127"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127" t="s">
        <v>342</v>
      </c>
      <c r="O127" t="s">
        <v>568</v>
      </c>
      <c r="P127" t="s">
        <v>3535</v>
      </c>
    </row>
    <row r="128" spans="1:16" ht="30" x14ac:dyDescent="0.25">
      <c r="A128" s="1" t="s">
        <v>3828</v>
      </c>
      <c r="B128" s="1" t="s">
        <v>3829</v>
      </c>
      <c r="C128" s="1" t="s">
        <v>3830</v>
      </c>
      <c r="D128" s="9" t="s">
        <v>3831</v>
      </c>
      <c r="E128" s="1" t="s">
        <v>3832</v>
      </c>
      <c r="G128" s="1" t="s">
        <v>3</v>
      </c>
      <c r="H128" s="1" t="s">
        <v>3</v>
      </c>
      <c r="I128" s="1" t="s">
        <v>39</v>
      </c>
      <c r="K128" s="1" t="s">
        <v>39</v>
      </c>
      <c r="L128" t="s">
        <v>20</v>
      </c>
      <c r="M128"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128" t="s">
        <v>342</v>
      </c>
      <c r="O128" t="s">
        <v>568</v>
      </c>
      <c r="P128" t="s">
        <v>3472</v>
      </c>
    </row>
    <row r="129" spans="1:16" ht="30" x14ac:dyDescent="0.25">
      <c r="A129" s="1" t="s">
        <v>3833</v>
      </c>
      <c r="B129" s="1" t="s">
        <v>3835</v>
      </c>
      <c r="C129" s="1" t="s">
        <v>3834</v>
      </c>
      <c r="D129" s="9">
        <v>1988</v>
      </c>
      <c r="E129" s="1" t="s">
        <v>258</v>
      </c>
      <c r="G129" s="1" t="s">
        <v>1</v>
      </c>
      <c r="H129" s="1" t="s">
        <v>1</v>
      </c>
      <c r="I129" s="1" t="s">
        <v>1</v>
      </c>
      <c r="J129" s="1" t="s">
        <v>39</v>
      </c>
      <c r="K129" s="1" t="s">
        <v>39</v>
      </c>
      <c r="L129" t="s">
        <v>20</v>
      </c>
      <c r="M129"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129" t="s">
        <v>443</v>
      </c>
      <c r="O129" t="s">
        <v>568</v>
      </c>
      <c r="P129" t="s">
        <v>3025</v>
      </c>
    </row>
    <row r="130" spans="1:16" ht="30" x14ac:dyDescent="0.25">
      <c r="A130" s="1" t="s">
        <v>3836</v>
      </c>
      <c r="B130" s="1" t="s">
        <v>3837</v>
      </c>
      <c r="C130" s="1" t="s">
        <v>3838</v>
      </c>
      <c r="D130" s="9">
        <v>2014</v>
      </c>
      <c r="E130" s="1" t="s">
        <v>3633</v>
      </c>
      <c r="F130" s="1" t="s">
        <v>3839</v>
      </c>
      <c r="G130" s="1" t="s">
        <v>39</v>
      </c>
      <c r="H130" s="1" t="s">
        <v>39</v>
      </c>
      <c r="I130" s="1" t="s">
        <v>39</v>
      </c>
      <c r="K130" s="1" t="s">
        <v>39</v>
      </c>
      <c r="L130" t="s">
        <v>20</v>
      </c>
      <c r="M130"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130" t="s">
        <v>443</v>
      </c>
      <c r="O130" t="s">
        <v>568</v>
      </c>
      <c r="P130" t="s">
        <v>3394</v>
      </c>
    </row>
    <row r="131" spans="1:16" ht="30" x14ac:dyDescent="0.25">
      <c r="A131" s="1" t="s">
        <v>3840</v>
      </c>
      <c r="B131" s="1" t="s">
        <v>3841</v>
      </c>
      <c r="C131" s="1" t="s">
        <v>2096</v>
      </c>
      <c r="D131" s="9">
        <v>2008</v>
      </c>
      <c r="E131" s="1" t="s">
        <v>3740</v>
      </c>
      <c r="F131" s="1" t="s">
        <v>130</v>
      </c>
      <c r="G131" s="1" t="s">
        <v>3</v>
      </c>
      <c r="H131" s="1" t="s">
        <v>3</v>
      </c>
      <c r="I131" s="1" t="s">
        <v>39</v>
      </c>
      <c r="J131" s="1" t="s">
        <v>3842</v>
      </c>
      <c r="K131" s="1" t="s">
        <v>39</v>
      </c>
      <c r="L131" t="s">
        <v>20</v>
      </c>
      <c r="M131"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131" t="s">
        <v>443</v>
      </c>
      <c r="O131" t="s">
        <v>568</v>
      </c>
      <c r="P131" t="s">
        <v>3414</v>
      </c>
    </row>
    <row r="132" spans="1:16" ht="45" x14ac:dyDescent="0.25">
      <c r="A132" s="1" t="s">
        <v>3843</v>
      </c>
      <c r="B132" s="1" t="s">
        <v>3844</v>
      </c>
      <c r="C132" s="1" t="s">
        <v>1395</v>
      </c>
      <c r="D132" s="9">
        <v>1975</v>
      </c>
      <c r="E132" s="1" t="s">
        <v>1761</v>
      </c>
      <c r="F132" s="1" t="s">
        <v>145</v>
      </c>
      <c r="G132" s="1" t="s">
        <v>1</v>
      </c>
      <c r="H132" s="1" t="s">
        <v>3</v>
      </c>
      <c r="I132" s="1" t="s">
        <v>39</v>
      </c>
      <c r="K132" s="1" t="s">
        <v>39</v>
      </c>
      <c r="L132" t="s">
        <v>20</v>
      </c>
      <c r="M132"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Complete</v>
      </c>
      <c r="N132" t="s">
        <v>342</v>
      </c>
      <c r="O132" t="s">
        <v>568</v>
      </c>
      <c r="P132" t="s">
        <v>2483</v>
      </c>
    </row>
    <row r="133" spans="1:16" ht="30" x14ac:dyDescent="0.25">
      <c r="A133" s="1" t="s">
        <v>3845</v>
      </c>
      <c r="B133" s="1" t="s">
        <v>3846</v>
      </c>
      <c r="C133" s="1" t="s">
        <v>1395</v>
      </c>
      <c r="G133" s="1" t="s">
        <v>39</v>
      </c>
      <c r="H133" s="1" t="s">
        <v>39</v>
      </c>
      <c r="I133" s="1" t="s">
        <v>39</v>
      </c>
      <c r="K133" s="1" t="s">
        <v>39</v>
      </c>
      <c r="L133" t="s">
        <v>20</v>
      </c>
      <c r="M133"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No Recycling Program</v>
      </c>
      <c r="N133" t="s">
        <v>342</v>
      </c>
      <c r="O133" t="s">
        <v>568</v>
      </c>
      <c r="P133" t="s">
        <v>3320</v>
      </c>
    </row>
    <row r="134" spans="1:16" ht="30" x14ac:dyDescent="0.25">
      <c r="A134" s="1" t="s">
        <v>3847</v>
      </c>
      <c r="B134" s="1" t="s">
        <v>2850</v>
      </c>
      <c r="C134" s="1" t="s">
        <v>1395</v>
      </c>
      <c r="D134" s="9" t="s">
        <v>3848</v>
      </c>
      <c r="E134" s="1" t="s">
        <v>27</v>
      </c>
      <c r="F134" s="1" t="s">
        <v>36</v>
      </c>
      <c r="G134" s="1" t="s">
        <v>3</v>
      </c>
      <c r="H134" s="1" t="s">
        <v>3</v>
      </c>
      <c r="I134" s="1" t="s">
        <v>1</v>
      </c>
      <c r="K134" s="1" t="s">
        <v>39</v>
      </c>
      <c r="L134" t="s">
        <v>20</v>
      </c>
      <c r="M134"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No Recycling Program</v>
      </c>
      <c r="N134" t="s">
        <v>342</v>
      </c>
      <c r="O134" t="s">
        <v>568</v>
      </c>
      <c r="P134" t="s">
        <v>2847</v>
      </c>
    </row>
    <row r="135" spans="1:16" ht="30" x14ac:dyDescent="0.25">
      <c r="A135" s="1" t="s">
        <v>3849</v>
      </c>
      <c r="B135" s="1" t="s">
        <v>3850</v>
      </c>
      <c r="C135" s="1" t="s">
        <v>3854</v>
      </c>
      <c r="E135" s="1" t="s">
        <v>27</v>
      </c>
      <c r="F135" s="1" t="s">
        <v>36</v>
      </c>
      <c r="G135" s="1" t="s">
        <v>39</v>
      </c>
      <c r="H135" s="1" t="s">
        <v>39</v>
      </c>
      <c r="I135" s="1" t="s">
        <v>39</v>
      </c>
      <c r="J135" s="1" t="s">
        <v>39</v>
      </c>
      <c r="K135" s="1" t="s">
        <v>39</v>
      </c>
      <c r="L135" t="s">
        <v>20</v>
      </c>
      <c r="M135"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No Recycling Program</v>
      </c>
      <c r="N135" t="s">
        <v>342</v>
      </c>
      <c r="O135" t="s">
        <v>568</v>
      </c>
      <c r="P135" t="s">
        <v>3051</v>
      </c>
    </row>
    <row r="136" spans="1:16" ht="105" x14ac:dyDescent="0.25">
      <c r="A136" s="1" t="s">
        <v>3851</v>
      </c>
      <c r="B136" s="1" t="s">
        <v>3852</v>
      </c>
      <c r="C136" s="1" t="s">
        <v>3853</v>
      </c>
      <c r="D136" s="9">
        <v>1998</v>
      </c>
      <c r="E136" s="1" t="s">
        <v>3740</v>
      </c>
      <c r="F136" s="1" t="s">
        <v>29</v>
      </c>
      <c r="G136" s="1" t="s">
        <v>3</v>
      </c>
      <c r="H136" s="1" t="s">
        <v>3</v>
      </c>
      <c r="I136" s="1" t="s">
        <v>1</v>
      </c>
      <c r="J136" s="1" t="s">
        <v>3855</v>
      </c>
      <c r="K136" s="1" t="s">
        <v>39</v>
      </c>
      <c r="L136" t="s">
        <v>20</v>
      </c>
      <c r="M136"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136" t="s">
        <v>342</v>
      </c>
      <c r="O136" t="s">
        <v>568</v>
      </c>
      <c r="P136" t="s">
        <v>2749</v>
      </c>
    </row>
    <row r="137" spans="1:16" ht="30" x14ac:dyDescent="0.25">
      <c r="A137" s="1" t="s">
        <v>3856</v>
      </c>
      <c r="B137" s="1" t="s">
        <v>3857</v>
      </c>
      <c r="C137" s="1" t="s">
        <v>3858</v>
      </c>
      <c r="D137" s="9">
        <v>2015</v>
      </c>
      <c r="E137" s="1" t="s">
        <v>3740</v>
      </c>
      <c r="F137" s="1" t="s">
        <v>36</v>
      </c>
      <c r="G137" s="1" t="s">
        <v>3</v>
      </c>
      <c r="H137" s="1" t="s">
        <v>3</v>
      </c>
      <c r="I137" s="1" t="s">
        <v>39</v>
      </c>
      <c r="J137" s="1" t="s">
        <v>39</v>
      </c>
      <c r="K137" s="1" t="s">
        <v>39</v>
      </c>
      <c r="L137" t="s">
        <v>20</v>
      </c>
      <c r="M137"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137" t="s">
        <v>342</v>
      </c>
      <c r="O137" t="s">
        <v>568</v>
      </c>
      <c r="P137" t="s">
        <v>3441</v>
      </c>
    </row>
    <row r="138" spans="1:16" x14ac:dyDescent="0.25">
      <c r="A138" s="1" t="s">
        <v>3859</v>
      </c>
      <c r="B138" s="1" t="s">
        <v>3860</v>
      </c>
      <c r="C138" s="1" t="s">
        <v>3861</v>
      </c>
      <c r="D138" s="9">
        <v>1977</v>
      </c>
      <c r="E138" s="1" t="s">
        <v>22</v>
      </c>
      <c r="F138" s="1" t="s">
        <v>36</v>
      </c>
      <c r="G138" s="1" t="s">
        <v>39</v>
      </c>
      <c r="H138" s="1" t="s">
        <v>39</v>
      </c>
      <c r="I138" s="1" t="s">
        <v>1</v>
      </c>
      <c r="J138" s="1" t="s">
        <v>39</v>
      </c>
      <c r="K138" s="1" t="s">
        <v>39</v>
      </c>
      <c r="L138" t="s">
        <v>20</v>
      </c>
      <c r="M138"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138" t="s">
        <v>342</v>
      </c>
      <c r="O138" t="s">
        <v>568</v>
      </c>
      <c r="P138" t="s">
        <v>2591</v>
      </c>
    </row>
    <row r="139" spans="1:16" ht="45" x14ac:dyDescent="0.25">
      <c r="A139" s="1" t="s">
        <v>2871</v>
      </c>
      <c r="B139" s="1" t="s">
        <v>3862</v>
      </c>
      <c r="C139" s="1" t="s">
        <v>3863</v>
      </c>
      <c r="D139" s="9">
        <v>1977</v>
      </c>
      <c r="E139" s="1" t="s">
        <v>27</v>
      </c>
      <c r="F139" s="1" t="s">
        <v>35</v>
      </c>
      <c r="G139" s="1" t="s">
        <v>39</v>
      </c>
      <c r="H139" s="1" t="s">
        <v>39</v>
      </c>
      <c r="I139" s="1" t="s">
        <v>39</v>
      </c>
      <c r="J139" s="1" t="s">
        <v>39</v>
      </c>
      <c r="K139" s="1" t="s">
        <v>41</v>
      </c>
      <c r="L139" t="s">
        <v>20</v>
      </c>
      <c r="M139"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No Recycling Program</v>
      </c>
      <c r="N139" t="s">
        <v>342</v>
      </c>
      <c r="O139" t="s">
        <v>568</v>
      </c>
      <c r="P139" t="s">
        <v>2030</v>
      </c>
    </row>
    <row r="140" spans="1:16" ht="30" x14ac:dyDescent="0.25">
      <c r="A140" s="1" t="s">
        <v>3864</v>
      </c>
      <c r="B140" s="1" t="s">
        <v>3865</v>
      </c>
      <c r="C140" s="1" t="s">
        <v>3768</v>
      </c>
      <c r="D140" s="9">
        <v>1984</v>
      </c>
      <c r="E140" s="1" t="s">
        <v>3866</v>
      </c>
      <c r="F140" s="1" t="s">
        <v>3756</v>
      </c>
      <c r="G140" s="1" t="s">
        <v>3</v>
      </c>
      <c r="H140" s="1" t="s">
        <v>1</v>
      </c>
      <c r="I140" s="1" t="s">
        <v>39</v>
      </c>
      <c r="J140" s="1" t="s">
        <v>39</v>
      </c>
      <c r="K140" s="1" t="s">
        <v>39</v>
      </c>
      <c r="L140" t="s">
        <v>20</v>
      </c>
      <c r="M140"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140" t="s">
        <v>342</v>
      </c>
      <c r="O140" t="s">
        <v>568</v>
      </c>
      <c r="P140" t="s">
        <v>2435</v>
      </c>
    </row>
    <row r="141" spans="1:16" ht="30" x14ac:dyDescent="0.25">
      <c r="A141" s="1" t="s">
        <v>3868</v>
      </c>
      <c r="B141" s="1" t="s">
        <v>3869</v>
      </c>
      <c r="C141" s="1" t="s">
        <v>3870</v>
      </c>
      <c r="D141" s="9">
        <v>1975</v>
      </c>
      <c r="E141" s="1" t="s">
        <v>3871</v>
      </c>
      <c r="F141" s="1" t="s">
        <v>144</v>
      </c>
      <c r="G141" s="1" t="s">
        <v>1</v>
      </c>
      <c r="H141" s="1" t="s">
        <v>3</v>
      </c>
      <c r="I141" s="1" t="s">
        <v>1</v>
      </c>
      <c r="J141" s="1" t="s">
        <v>3872</v>
      </c>
      <c r="K141" s="1" t="s">
        <v>39</v>
      </c>
      <c r="L141" t="s">
        <v>20</v>
      </c>
      <c r="M141"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141" t="s">
        <v>342</v>
      </c>
      <c r="O141" t="s">
        <v>568</v>
      </c>
      <c r="P141" t="s">
        <v>2603</v>
      </c>
    </row>
    <row r="142" spans="1:16" ht="30" x14ac:dyDescent="0.25">
      <c r="A142" s="1" t="s">
        <v>3874</v>
      </c>
      <c r="B142" s="1" t="s">
        <v>3876</v>
      </c>
      <c r="C142" s="1" t="s">
        <v>3875</v>
      </c>
      <c r="D142" s="9" t="s">
        <v>106</v>
      </c>
      <c r="E142" s="1" t="s">
        <v>3740</v>
      </c>
      <c r="F142" s="1" t="s">
        <v>3877</v>
      </c>
      <c r="G142" s="1" t="s">
        <v>3</v>
      </c>
      <c r="H142" s="1" t="s">
        <v>3</v>
      </c>
      <c r="I142" s="1" t="s">
        <v>39</v>
      </c>
      <c r="J142" s="1" t="s">
        <v>3878</v>
      </c>
      <c r="K142" s="1" t="s">
        <v>39</v>
      </c>
      <c r="L142" t="s">
        <v>20</v>
      </c>
      <c r="M142"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142" t="s">
        <v>443</v>
      </c>
      <c r="O142" t="s">
        <v>568</v>
      </c>
      <c r="P142" t="s">
        <v>3136</v>
      </c>
    </row>
    <row r="143" spans="1:16" ht="45" x14ac:dyDescent="0.25">
      <c r="A143" s="1" t="s">
        <v>3879</v>
      </c>
      <c r="B143" s="1" t="s">
        <v>3880</v>
      </c>
      <c r="C143" s="1" t="s">
        <v>3634</v>
      </c>
      <c r="D143" s="9">
        <v>1980</v>
      </c>
      <c r="E143" s="1" t="s">
        <v>1761</v>
      </c>
      <c r="F143" s="1" t="s">
        <v>145</v>
      </c>
      <c r="G143" s="1" t="s">
        <v>3</v>
      </c>
      <c r="H143" s="1" t="s">
        <v>3</v>
      </c>
      <c r="I143" s="1" t="s">
        <v>39</v>
      </c>
      <c r="J143" s="1" t="s">
        <v>39</v>
      </c>
      <c r="K143" s="1" t="s">
        <v>39</v>
      </c>
      <c r="L143" t="s">
        <v>20</v>
      </c>
      <c r="M143"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Complete</v>
      </c>
      <c r="N143" t="s">
        <v>342</v>
      </c>
      <c r="O143" t="s">
        <v>574</v>
      </c>
      <c r="P143" t="s">
        <v>3623</v>
      </c>
    </row>
    <row r="144" spans="1:16" ht="45" x14ac:dyDescent="0.25">
      <c r="A144" s="1" t="s">
        <v>3881</v>
      </c>
      <c r="B144" s="1" t="s">
        <v>3882</v>
      </c>
      <c r="C144" s="1" t="s">
        <v>3883</v>
      </c>
      <c r="D144" s="9" t="s">
        <v>106</v>
      </c>
      <c r="E144" s="1" t="s">
        <v>27</v>
      </c>
      <c r="F144" s="1" t="s">
        <v>36</v>
      </c>
      <c r="G144" s="1" t="s">
        <v>39</v>
      </c>
      <c r="H144" s="1" t="s">
        <v>39</v>
      </c>
      <c r="I144" s="1" t="s">
        <v>3</v>
      </c>
      <c r="J144" s="1" t="s">
        <v>3884</v>
      </c>
      <c r="K144" s="1" t="s">
        <v>0</v>
      </c>
      <c r="L144" t="s">
        <v>1239</v>
      </c>
      <c r="M144"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No Recycling Program</v>
      </c>
      <c r="N144" t="s">
        <v>342</v>
      </c>
      <c r="O144" t="s">
        <v>574</v>
      </c>
      <c r="P144" t="s">
        <v>1233</v>
      </c>
    </row>
    <row r="145" spans="1:16" ht="45" x14ac:dyDescent="0.25">
      <c r="A145" s="1" t="s">
        <v>3886</v>
      </c>
      <c r="B145" s="1" t="s">
        <v>3887</v>
      </c>
      <c r="C145" s="1" t="s">
        <v>3894</v>
      </c>
      <c r="D145" s="9">
        <v>1990</v>
      </c>
      <c r="E145" s="1" t="s">
        <v>22</v>
      </c>
      <c r="F145" s="1" t="s">
        <v>36</v>
      </c>
      <c r="G145" s="1" t="s">
        <v>39</v>
      </c>
      <c r="H145" s="1" t="s">
        <v>39</v>
      </c>
      <c r="I145" s="1" t="s">
        <v>3</v>
      </c>
      <c r="J145" s="1" t="s">
        <v>3888</v>
      </c>
      <c r="K145" s="1" t="s">
        <v>39</v>
      </c>
      <c r="L145" t="s">
        <v>20</v>
      </c>
      <c r="M145"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145" t="s">
        <v>443</v>
      </c>
      <c r="O145" t="s">
        <v>568</v>
      </c>
      <c r="P145" t="s">
        <v>3354</v>
      </c>
    </row>
    <row r="146" spans="1:16" ht="45" x14ac:dyDescent="0.25">
      <c r="A146" s="1" t="s">
        <v>3886</v>
      </c>
      <c r="B146" s="1" t="s">
        <v>3889</v>
      </c>
      <c r="C146" s="1" t="s">
        <v>3895</v>
      </c>
      <c r="D146" s="9">
        <v>1970</v>
      </c>
      <c r="E146" s="1" t="s">
        <v>22</v>
      </c>
      <c r="F146" s="1" t="s">
        <v>36</v>
      </c>
      <c r="G146" s="1" t="s">
        <v>39</v>
      </c>
      <c r="H146" s="1" t="s">
        <v>39</v>
      </c>
      <c r="I146" s="1" t="s">
        <v>3</v>
      </c>
      <c r="J146" s="1" t="s">
        <v>3888</v>
      </c>
      <c r="K146" s="1" t="s">
        <v>39</v>
      </c>
      <c r="L146" t="s">
        <v>20</v>
      </c>
      <c r="M146"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146" t="s">
        <v>342</v>
      </c>
      <c r="O146" t="s">
        <v>568</v>
      </c>
      <c r="P146" t="s">
        <v>1846</v>
      </c>
    </row>
    <row r="147" spans="1:16" ht="30" x14ac:dyDescent="0.25">
      <c r="A147" s="1" t="s">
        <v>3886</v>
      </c>
      <c r="B147" s="1" t="s">
        <v>3890</v>
      </c>
      <c r="C147" s="1" t="s">
        <v>3896</v>
      </c>
      <c r="D147" s="9">
        <v>1970</v>
      </c>
      <c r="E147" s="1" t="s">
        <v>22</v>
      </c>
      <c r="F147" s="1" t="s">
        <v>36</v>
      </c>
      <c r="G147" s="1" t="s">
        <v>39</v>
      </c>
      <c r="H147" s="1" t="s">
        <v>39</v>
      </c>
      <c r="I147" s="1" t="s">
        <v>3</v>
      </c>
      <c r="J147" s="1" t="s">
        <v>3891</v>
      </c>
      <c r="K147" s="1" t="s">
        <v>39</v>
      </c>
      <c r="L147" t="s">
        <v>20</v>
      </c>
      <c r="M147"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147" t="s">
        <v>342</v>
      </c>
      <c r="O147" t="s">
        <v>568</v>
      </c>
      <c r="P147" t="s">
        <v>2120</v>
      </c>
    </row>
    <row r="148" spans="1:16" x14ac:dyDescent="0.25">
      <c r="A148" s="1" t="s">
        <v>1852</v>
      </c>
      <c r="B148" s="1" t="s">
        <v>3892</v>
      </c>
      <c r="C148" s="1" t="s">
        <v>3897</v>
      </c>
      <c r="D148" s="9">
        <v>1995</v>
      </c>
      <c r="E148" s="1" t="s">
        <v>22</v>
      </c>
      <c r="F148" s="1" t="s">
        <v>36</v>
      </c>
      <c r="G148" s="1" t="s">
        <v>39</v>
      </c>
      <c r="H148" s="1" t="s">
        <v>39</v>
      </c>
      <c r="I148" s="1" t="s">
        <v>3</v>
      </c>
      <c r="J148" s="1" t="s">
        <v>3893</v>
      </c>
      <c r="K148" s="1" t="s">
        <v>39</v>
      </c>
      <c r="L148" t="s">
        <v>20</v>
      </c>
      <c r="M148"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148" t="s">
        <v>342</v>
      </c>
      <c r="O148" t="s">
        <v>568</v>
      </c>
      <c r="P148" t="s">
        <v>2299</v>
      </c>
    </row>
    <row r="149" spans="1:16" ht="30" x14ac:dyDescent="0.25">
      <c r="A149" s="1" t="s">
        <v>3900</v>
      </c>
      <c r="B149" t="s">
        <v>3898</v>
      </c>
      <c r="C149" s="1" t="s">
        <v>3899</v>
      </c>
      <c r="D149" s="9" t="s">
        <v>106</v>
      </c>
      <c r="E149" s="1" t="s">
        <v>3901</v>
      </c>
      <c r="F149" s="1" t="s">
        <v>36</v>
      </c>
      <c r="G149" s="1" t="s">
        <v>3</v>
      </c>
      <c r="H149" s="1" t="s">
        <v>3</v>
      </c>
      <c r="I149" s="1" t="s">
        <v>39</v>
      </c>
      <c r="J149" s="1" t="s">
        <v>39</v>
      </c>
      <c r="K149" s="1" t="s">
        <v>39</v>
      </c>
      <c r="L149" t="s">
        <v>18</v>
      </c>
      <c r="M149"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149" t="s">
        <v>342</v>
      </c>
      <c r="O149" t="s">
        <v>568</v>
      </c>
      <c r="P149" t="s">
        <v>722</v>
      </c>
    </row>
    <row r="150" spans="1:16" ht="30" x14ac:dyDescent="0.25">
      <c r="A150" s="1" t="s">
        <v>3902</v>
      </c>
      <c r="B150" s="1" t="s">
        <v>3903</v>
      </c>
      <c r="C150" s="1" t="s">
        <v>3904</v>
      </c>
      <c r="D150" s="9">
        <v>1967</v>
      </c>
      <c r="E150" s="1" t="s">
        <v>22</v>
      </c>
      <c r="F150" s="1" t="s">
        <v>36</v>
      </c>
      <c r="G150" s="1" t="s">
        <v>39</v>
      </c>
      <c r="H150" s="1" t="s">
        <v>39</v>
      </c>
      <c r="I150" s="1" t="s">
        <v>1</v>
      </c>
      <c r="J150" s="1" t="s">
        <v>39</v>
      </c>
      <c r="K150" s="1" t="s">
        <v>39</v>
      </c>
      <c r="L150" t="s">
        <v>20</v>
      </c>
      <c r="M150"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150" t="s">
        <v>342</v>
      </c>
      <c r="O150" t="s">
        <v>568</v>
      </c>
      <c r="P150" t="s">
        <v>2302</v>
      </c>
    </row>
    <row r="151" spans="1:16" ht="45" x14ac:dyDescent="0.25">
      <c r="A151" s="1" t="s">
        <v>3905</v>
      </c>
      <c r="B151" s="1" t="s">
        <v>3906</v>
      </c>
      <c r="C151" s="1" t="s">
        <v>601</v>
      </c>
      <c r="D151" s="9">
        <v>1981</v>
      </c>
      <c r="E151" s="1" t="s">
        <v>340</v>
      </c>
      <c r="F151" s="1" t="s">
        <v>36</v>
      </c>
      <c r="G151" s="1" t="s">
        <v>3</v>
      </c>
      <c r="H151" s="1" t="s">
        <v>3</v>
      </c>
      <c r="I151" s="1" t="s">
        <v>39</v>
      </c>
      <c r="J151" s="1" t="s">
        <v>39</v>
      </c>
      <c r="K151" s="1" t="s">
        <v>39</v>
      </c>
      <c r="L151" t="s">
        <v>18</v>
      </c>
      <c r="M151"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Complete</v>
      </c>
      <c r="N151" t="s">
        <v>342</v>
      </c>
      <c r="O151" t="s">
        <v>568</v>
      </c>
      <c r="P151" t="s">
        <v>1152</v>
      </c>
    </row>
    <row r="152" spans="1:16" ht="30" x14ac:dyDescent="0.25">
      <c r="A152" s="1" t="s">
        <v>3907</v>
      </c>
      <c r="B152" s="1" t="s">
        <v>3908</v>
      </c>
      <c r="C152" s="1" t="s">
        <v>3909</v>
      </c>
      <c r="D152" s="9">
        <v>1960</v>
      </c>
      <c r="E152" s="1" t="s">
        <v>3633</v>
      </c>
      <c r="F152" s="1" t="s">
        <v>3839</v>
      </c>
      <c r="G152" s="1" t="s">
        <v>1</v>
      </c>
      <c r="H152" s="1" t="s">
        <v>3</v>
      </c>
      <c r="I152" s="1" t="s">
        <v>39</v>
      </c>
      <c r="J152" s="1" t="s">
        <v>39</v>
      </c>
      <c r="K152" s="1" t="s">
        <v>39</v>
      </c>
      <c r="L152" t="s">
        <v>20</v>
      </c>
      <c r="M152"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152" t="s">
        <v>342</v>
      </c>
      <c r="O152" t="s">
        <v>568</v>
      </c>
      <c r="P152" t="s">
        <v>2524</v>
      </c>
    </row>
    <row r="153" spans="1:16" ht="30" x14ac:dyDescent="0.25">
      <c r="A153" s="1" t="s">
        <v>3910</v>
      </c>
      <c r="B153" s="1" t="s">
        <v>3911</v>
      </c>
      <c r="C153" s="1" t="s">
        <v>3816</v>
      </c>
      <c r="D153" s="9">
        <v>1970</v>
      </c>
      <c r="E153" s="1" t="s">
        <v>3912</v>
      </c>
      <c r="F153" s="1" t="s">
        <v>144</v>
      </c>
      <c r="G153" s="1" t="s">
        <v>3</v>
      </c>
      <c r="H153" s="1" t="s">
        <v>3</v>
      </c>
      <c r="I153" s="1" t="s">
        <v>1</v>
      </c>
      <c r="J153" s="1" t="s">
        <v>39</v>
      </c>
      <c r="K153" s="1" t="s">
        <v>39</v>
      </c>
      <c r="L153" t="s">
        <v>18</v>
      </c>
      <c r="M153"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153" t="s">
        <v>342</v>
      </c>
      <c r="O153" t="s">
        <v>568</v>
      </c>
      <c r="P153" t="s">
        <v>1198</v>
      </c>
    </row>
    <row r="154" spans="1:16" ht="30" x14ac:dyDescent="0.25">
      <c r="A154" s="1" t="s">
        <v>3913</v>
      </c>
      <c r="B154" s="1" t="s">
        <v>3914</v>
      </c>
      <c r="C154" s="1" t="s">
        <v>3931</v>
      </c>
      <c r="D154" s="9" t="s">
        <v>3915</v>
      </c>
      <c r="E154" s="1" t="s">
        <v>27</v>
      </c>
      <c r="F154" s="1" t="s">
        <v>36</v>
      </c>
      <c r="G154" s="1" t="s">
        <v>39</v>
      </c>
      <c r="H154" s="1" t="s">
        <v>39</v>
      </c>
      <c r="I154" s="1" t="s">
        <v>39</v>
      </c>
      <c r="J154" s="1" t="s">
        <v>39</v>
      </c>
      <c r="K154" s="1" t="s">
        <v>39</v>
      </c>
      <c r="L154" t="s">
        <v>18</v>
      </c>
      <c r="M154"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No Recycling Program</v>
      </c>
      <c r="N154" t="s">
        <v>342</v>
      </c>
      <c r="O154" t="s">
        <v>568</v>
      </c>
      <c r="P154" t="s">
        <v>982</v>
      </c>
    </row>
    <row r="155" spans="1:16" ht="105" x14ac:dyDescent="0.25">
      <c r="A155" s="1" t="s">
        <v>2156</v>
      </c>
      <c r="B155" s="1" t="s">
        <v>2157</v>
      </c>
      <c r="C155" s="1" t="s">
        <v>3930</v>
      </c>
      <c r="D155" s="9" t="s">
        <v>3916</v>
      </c>
      <c r="E155" s="1" t="s">
        <v>3633</v>
      </c>
      <c r="F155" s="1" t="s">
        <v>36</v>
      </c>
      <c r="G155" s="1" t="s">
        <v>1</v>
      </c>
      <c r="H155" s="1" t="s">
        <v>3</v>
      </c>
      <c r="I155" s="1" t="s">
        <v>39</v>
      </c>
      <c r="J155" s="1" t="s">
        <v>39</v>
      </c>
      <c r="K155" s="1" t="s">
        <v>39</v>
      </c>
      <c r="L155" t="s">
        <v>20</v>
      </c>
      <c r="M155"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155" t="s">
        <v>342</v>
      </c>
      <c r="O155" t="s">
        <v>568</v>
      </c>
      <c r="P155" t="s">
        <v>2154</v>
      </c>
    </row>
    <row r="156" spans="1:16" ht="30" x14ac:dyDescent="0.25">
      <c r="A156" s="1" t="s">
        <v>3917</v>
      </c>
      <c r="B156" s="1" t="s">
        <v>3918</v>
      </c>
      <c r="C156" s="1" t="s">
        <v>3736</v>
      </c>
      <c r="D156" s="9">
        <v>1965</v>
      </c>
      <c r="E156" s="1" t="s">
        <v>27</v>
      </c>
      <c r="F156" s="1" t="s">
        <v>36</v>
      </c>
      <c r="G156" s="1" t="s">
        <v>39</v>
      </c>
      <c r="H156" s="1" t="s">
        <v>39</v>
      </c>
      <c r="I156" s="1" t="s">
        <v>39</v>
      </c>
      <c r="J156" s="1" t="s">
        <v>39</v>
      </c>
      <c r="K156" s="1" t="s">
        <v>39</v>
      </c>
      <c r="L156" t="s">
        <v>20</v>
      </c>
      <c r="M156"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No Recycling Program</v>
      </c>
      <c r="N156" t="s">
        <v>443</v>
      </c>
      <c r="O156" t="s">
        <v>574</v>
      </c>
      <c r="P156" t="s">
        <v>3560</v>
      </c>
    </row>
    <row r="157" spans="1:16" x14ac:dyDescent="0.25">
      <c r="A157" s="1" t="s">
        <v>3919</v>
      </c>
      <c r="B157" s="1" t="s">
        <v>3920</v>
      </c>
      <c r="C157" s="1" t="s">
        <v>3932</v>
      </c>
      <c r="E157" s="1" t="s">
        <v>3921</v>
      </c>
      <c r="F157" s="1" t="s">
        <v>36</v>
      </c>
      <c r="G157" s="1" t="s">
        <v>3</v>
      </c>
      <c r="H157" s="1" t="s">
        <v>39</v>
      </c>
      <c r="I157" s="1" t="s">
        <v>39</v>
      </c>
      <c r="J157" s="1" t="s">
        <v>39</v>
      </c>
      <c r="K157" s="1" t="s">
        <v>39</v>
      </c>
      <c r="L157" t="s">
        <v>18</v>
      </c>
      <c r="M157"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157" t="s">
        <v>342</v>
      </c>
      <c r="O157" t="s">
        <v>568</v>
      </c>
      <c r="P157" t="s">
        <v>1057</v>
      </c>
    </row>
    <row r="158" spans="1:16" ht="30" x14ac:dyDescent="0.25">
      <c r="A158" s="1" t="s">
        <v>3922</v>
      </c>
      <c r="B158" s="1" t="s">
        <v>3923</v>
      </c>
      <c r="C158" s="1" t="s">
        <v>3736</v>
      </c>
      <c r="D158" s="9">
        <v>1860</v>
      </c>
      <c r="E158" s="1" t="s">
        <v>3924</v>
      </c>
      <c r="F158" s="1" t="s">
        <v>36</v>
      </c>
      <c r="G158" s="1" t="s">
        <v>1</v>
      </c>
      <c r="H158" s="1" t="s">
        <v>3</v>
      </c>
      <c r="I158" s="1" t="s">
        <v>39</v>
      </c>
      <c r="J158" s="1" t="s">
        <v>39</v>
      </c>
      <c r="K158" s="1" t="s">
        <v>39</v>
      </c>
      <c r="L158" t="s">
        <v>20</v>
      </c>
      <c r="M158"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158" t="s">
        <v>342</v>
      </c>
      <c r="O158" t="s">
        <v>568</v>
      </c>
      <c r="P158" t="s">
        <v>1906</v>
      </c>
    </row>
    <row r="159" spans="1:16" ht="30" x14ac:dyDescent="0.25">
      <c r="A159" s="1" t="s">
        <v>2741</v>
      </c>
      <c r="B159" s="1" t="s">
        <v>3925</v>
      </c>
      <c r="C159" s="1" t="s">
        <v>3933</v>
      </c>
      <c r="D159" s="9">
        <v>1990</v>
      </c>
      <c r="E159" s="1" t="s">
        <v>22</v>
      </c>
      <c r="F159" s="1" t="s">
        <v>36</v>
      </c>
      <c r="G159" s="1" t="s">
        <v>39</v>
      </c>
      <c r="H159" s="1" t="s">
        <v>39</v>
      </c>
      <c r="I159" s="1" t="s">
        <v>3</v>
      </c>
      <c r="J159" s="1" t="s">
        <v>3926</v>
      </c>
      <c r="K159" s="1" t="s">
        <v>0</v>
      </c>
      <c r="L159" t="s">
        <v>20</v>
      </c>
      <c r="M159"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159" t="s">
        <v>443</v>
      </c>
      <c r="O159" t="s">
        <v>568</v>
      </c>
      <c r="P159" t="s">
        <v>2739</v>
      </c>
    </row>
    <row r="160" spans="1:16" ht="60" x14ac:dyDescent="0.25">
      <c r="A160" s="1" t="s">
        <v>3927</v>
      </c>
      <c r="B160" s="1" t="s">
        <v>3928</v>
      </c>
      <c r="C160" s="1" t="s">
        <v>3934</v>
      </c>
      <c r="D160" s="9">
        <v>1994</v>
      </c>
      <c r="E160" s="1" t="s">
        <v>3921</v>
      </c>
      <c r="F160" s="1" t="s">
        <v>36</v>
      </c>
      <c r="G160" s="1" t="s">
        <v>3</v>
      </c>
      <c r="H160" s="1" t="s">
        <v>39</v>
      </c>
      <c r="I160" s="1" t="s">
        <v>39</v>
      </c>
      <c r="J160" s="1" t="s">
        <v>3929</v>
      </c>
      <c r="K160" s="1" t="s">
        <v>0</v>
      </c>
      <c r="L160" t="s">
        <v>20</v>
      </c>
      <c r="M160"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160" t="s">
        <v>342</v>
      </c>
      <c r="O160" t="s">
        <v>568</v>
      </c>
      <c r="P160" t="s">
        <v>2141</v>
      </c>
    </row>
    <row r="161" spans="1:16" ht="30" x14ac:dyDescent="0.25">
      <c r="A161" s="1" t="s">
        <v>3927</v>
      </c>
      <c r="B161" s="1" t="s">
        <v>3935</v>
      </c>
      <c r="C161" s="1" t="s">
        <v>3934</v>
      </c>
      <c r="D161" s="9">
        <v>2011</v>
      </c>
      <c r="E161" s="1" t="s">
        <v>3633</v>
      </c>
      <c r="F161" s="1" t="s">
        <v>144</v>
      </c>
      <c r="G161" s="1" t="s">
        <v>3</v>
      </c>
      <c r="H161" s="1" t="s">
        <v>3</v>
      </c>
      <c r="I161" s="1" t="s">
        <v>39</v>
      </c>
      <c r="J161" s="1" t="s">
        <v>3936</v>
      </c>
      <c r="K161" s="1" t="s">
        <v>39</v>
      </c>
      <c r="L161" t="s">
        <v>20</v>
      </c>
      <c r="M161"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161" t="s">
        <v>443</v>
      </c>
      <c r="O161" t="s">
        <v>568</v>
      </c>
      <c r="P161" t="s">
        <v>2947</v>
      </c>
    </row>
    <row r="162" spans="1:16" ht="30" x14ac:dyDescent="0.25">
      <c r="A162" s="1" t="s">
        <v>3927</v>
      </c>
      <c r="B162" s="1" t="s">
        <v>3937</v>
      </c>
      <c r="C162" s="1" t="s">
        <v>3938</v>
      </c>
      <c r="D162" s="9">
        <v>2007</v>
      </c>
      <c r="E162" s="1" t="s">
        <v>3633</v>
      </c>
      <c r="F162" s="1" t="s">
        <v>144</v>
      </c>
      <c r="G162" s="1" t="s">
        <v>3</v>
      </c>
      <c r="H162" s="1" t="s">
        <v>3</v>
      </c>
      <c r="I162" s="1" t="s">
        <v>39</v>
      </c>
      <c r="J162" s="1" t="s">
        <v>3936</v>
      </c>
      <c r="K162" s="1" t="s">
        <v>39</v>
      </c>
      <c r="L162" t="s">
        <v>20</v>
      </c>
      <c r="M162"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Meets Expectation</v>
      </c>
      <c r="N162" t="s">
        <v>342</v>
      </c>
      <c r="O162" t="s">
        <v>568</v>
      </c>
      <c r="P162" t="s">
        <v>2596</v>
      </c>
    </row>
    <row r="163" spans="1:16" ht="45" x14ac:dyDescent="0.25">
      <c r="A163" s="1" t="s">
        <v>3927</v>
      </c>
      <c r="B163" s="1" t="s">
        <v>3939</v>
      </c>
      <c r="C163" s="1" t="s">
        <v>3940</v>
      </c>
      <c r="D163" s="9">
        <v>1991</v>
      </c>
      <c r="E163" s="1" t="s">
        <v>1761</v>
      </c>
      <c r="F163" s="1" t="s">
        <v>144</v>
      </c>
      <c r="G163" s="1" t="s">
        <v>3</v>
      </c>
      <c r="H163" s="1" t="s">
        <v>3</v>
      </c>
      <c r="I163" s="1" t="s">
        <v>39</v>
      </c>
      <c r="J163" s="1" t="s">
        <v>3936</v>
      </c>
      <c r="K163" s="1" t="s">
        <v>39</v>
      </c>
      <c r="L163" t="s">
        <v>20</v>
      </c>
      <c r="M163"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Complete</v>
      </c>
      <c r="N163" t="s">
        <v>342</v>
      </c>
      <c r="O163" t="s">
        <v>568</v>
      </c>
      <c r="P163" t="s">
        <v>2941</v>
      </c>
    </row>
    <row r="164" spans="1:16" ht="30" x14ac:dyDescent="0.25">
      <c r="A164" s="1" t="s">
        <v>3941</v>
      </c>
      <c r="B164" s="1" t="s">
        <v>3942</v>
      </c>
      <c r="C164" s="1" t="s">
        <v>3943</v>
      </c>
      <c r="D164" s="9" t="s">
        <v>106</v>
      </c>
      <c r="E164" s="1" t="s">
        <v>258</v>
      </c>
      <c r="F164" s="1" t="s">
        <v>3778</v>
      </c>
      <c r="G164" s="1" t="s">
        <v>3</v>
      </c>
      <c r="H164" s="1" t="s">
        <v>1</v>
      </c>
      <c r="I164" s="1" t="s">
        <v>1</v>
      </c>
      <c r="J164" s="1" t="s">
        <v>39</v>
      </c>
      <c r="K164" s="1" t="s">
        <v>39</v>
      </c>
      <c r="L164" t="s">
        <v>20</v>
      </c>
      <c r="M164" s="124" t="str">
        <f>IF(AND(ISNUMBER(SEARCH("Plastic",RTable[[#This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 "Complete", IF(AND(ISNUMBER(SEARCH("Plastic",RTable[[#This Row],[Recycling Program]])),ISNUMBER(SEARCH("Mixed Paper",RTable[[#This Row],[Recycling Program]])),ISNUMBER(SEARCH("Cardboard",RTable[[#This Row],[Recycling Program]]))), "Meets Expectation", IF(OR(ISNUMBER(SEARCH("Plastic",RTable[[#This Row],[Recycling Program]])),ISNUMBER(SEARCH("Glass Bottles",RTable[[#This Row],[Recycling Program]])),ISNUMBER(SEARCH("Mixed Paper",RTable[[#This Row],[Recycling Program]])),ISNUMBER(SEARCH("Cardboard",RTable[[#This Row],[Recycling Program]])),ISNUMBER(SEARCH("Metal Can",RTable[[#This Row],[Recycling Program]])),ISNUMBER(SEARCH("Organic Disposals",RTable[[#This Row],[Recycling Program]]))),"Partial","No Recycling Program")))</f>
        <v>Partial</v>
      </c>
      <c r="N164" t="s">
        <v>443</v>
      </c>
      <c r="O164" t="s">
        <v>568</v>
      </c>
      <c r="P164" t="s">
        <v>3096</v>
      </c>
    </row>
  </sheetData>
  <conditionalFormatting sqref="N3:P134 N135:O135">
    <cfRule type="containsText" dxfId="57" priority="15" operator="containsText" text="LifeLabs">
      <formula>NOT(ISERROR(SEARCH("LifeLabs",N3)))</formula>
    </cfRule>
  </conditionalFormatting>
  <conditionalFormatting sqref="N3:P134 N135:O135">
    <cfRule type="containsText" dxfId="56" priority="14" operator="containsText" text="BC Bio">
      <formula>NOT(ISERROR(SEARCH("BC Bio",N3)))</formula>
    </cfRule>
  </conditionalFormatting>
  <conditionalFormatting sqref="M3:M164">
    <cfRule type="expression" dxfId="55" priority="9">
      <formula>OR(M3="Complete",M3="Meets Expectation")</formula>
    </cfRule>
  </conditionalFormatting>
  <conditionalFormatting sqref="M3:M164">
    <cfRule type="containsText" dxfId="54" priority="7" operator="containsText" text="Partial">
      <formula>NOT(ISERROR(SEARCH("Partial",M3)))</formula>
    </cfRule>
  </conditionalFormatting>
  <conditionalFormatting sqref="M3:M164">
    <cfRule type="containsText" dxfId="53" priority="6" operator="containsText" text="No Recycling Program">
      <formula>NOT(ISERROR(SEARCH("No Recycling Program",M3)))</formula>
    </cfRule>
  </conditionalFormatting>
  <conditionalFormatting sqref="N3:N164">
    <cfRule type="containsText" dxfId="52" priority="3" operator="containsText" text="BC Bio">
      <formula>NOT(ISERROR(SEARCH("BC Bio",N3)))</formula>
    </cfRule>
    <cfRule type="containsText" dxfId="51" priority="4" operator="containsText" text="LifeLabs">
      <formula>NOT(ISERROR(SEARCH("LifeLabs",N3)))</formula>
    </cfRule>
    <cfRule type="containsText" dxfId="50" priority="5" operator="containsText" text="CML">
      <formula>NOT(ISERROR(SEARCH("CML",N3)))</formula>
    </cfRule>
  </conditionalFormatting>
  <pageMargins left="0.7" right="0.7" top="0.75" bottom="0.75" header="0.3" footer="0.3"/>
  <pageSetup orientation="portrait" r:id="rId1"/>
  <drawing r:id="rId2"/>
  <legacy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U131"/>
  <sheetViews>
    <sheetView topLeftCell="A103" zoomScaleNormal="100" workbookViewId="0">
      <selection activeCell="AI19" sqref="AI19"/>
    </sheetView>
  </sheetViews>
  <sheetFormatPr defaultRowHeight="15" x14ac:dyDescent="0.25"/>
  <cols>
    <col min="2" max="2" width="11.42578125" customWidth="1"/>
    <col min="3" max="3" width="15.7109375" bestFit="1" customWidth="1"/>
    <col min="4" max="4" width="13.140625" customWidth="1"/>
    <col min="5" max="5" width="12.140625" bestFit="1" customWidth="1"/>
    <col min="6" max="6" width="13.42578125" customWidth="1"/>
    <col min="7" max="7" width="12" customWidth="1"/>
    <col min="8" max="8" width="16.5703125" bestFit="1" customWidth="1"/>
    <col min="9" max="9" width="14.7109375" bestFit="1" customWidth="1"/>
    <col min="10" max="10" width="14.28515625" bestFit="1" customWidth="1"/>
    <col min="11" max="12" width="14.28515625" customWidth="1"/>
    <col min="38" max="38" width="18.28515625" customWidth="1"/>
    <col min="39" max="39" width="20.85546875" hidden="1" customWidth="1"/>
    <col min="40" max="40" width="16.28515625" hidden="1" customWidth="1"/>
    <col min="41" max="41" width="6.5703125" hidden="1" customWidth="1"/>
    <col min="42" max="42" width="5.42578125" hidden="1" customWidth="1"/>
    <col min="43" max="43" width="3.85546875" hidden="1" customWidth="1"/>
    <col min="44" max="44" width="4.85546875" hidden="1" customWidth="1"/>
    <col min="45" max="45" width="6" hidden="1" customWidth="1"/>
    <col min="46" max="46" width="11.28515625" hidden="1" customWidth="1"/>
    <col min="47" max="47" width="22.5703125" hidden="1" customWidth="1"/>
  </cols>
  <sheetData>
    <row r="1" spans="1:46" ht="15" customHeight="1" x14ac:dyDescent="0.25">
      <c r="A1" s="27"/>
      <c r="B1" s="27"/>
      <c r="C1" s="27"/>
      <c r="D1" s="27"/>
      <c r="E1" s="27"/>
      <c r="F1" s="27"/>
      <c r="G1" s="27"/>
      <c r="H1" s="27"/>
      <c r="I1" s="27"/>
    </row>
    <row r="3" spans="1:46" x14ac:dyDescent="0.25">
      <c r="A3" s="10" t="s">
        <v>19</v>
      </c>
      <c r="AM3" s="29" t="s">
        <v>573</v>
      </c>
      <c r="AN3" t="s">
        <v>575</v>
      </c>
    </row>
    <row r="4" spans="1:46" x14ac:dyDescent="0.25">
      <c r="B4" s="10"/>
    </row>
    <row r="5" spans="1:46" x14ac:dyDescent="0.25">
      <c r="A5" s="63" t="s">
        <v>573</v>
      </c>
      <c r="B5" s="62" t="s">
        <v>434</v>
      </c>
      <c r="C5" s="15" t="s">
        <v>21</v>
      </c>
      <c r="D5" s="15" t="s">
        <v>23</v>
      </c>
      <c r="E5" s="15" t="s">
        <v>24</v>
      </c>
      <c r="F5" s="15" t="s">
        <v>22</v>
      </c>
      <c r="G5" s="15" t="s">
        <v>25</v>
      </c>
      <c r="H5" s="15" t="s">
        <v>26</v>
      </c>
      <c r="I5" s="15" t="s">
        <v>27</v>
      </c>
      <c r="AN5" s="29" t="s">
        <v>432</v>
      </c>
    </row>
    <row r="6" spans="1:46" x14ac:dyDescent="0.25">
      <c r="A6" s="60" t="s">
        <v>568</v>
      </c>
      <c r="B6" s="14" t="s">
        <v>18</v>
      </c>
      <c r="C6" s="11">
        <f>COUNTIFS(RTable[[#All],[Province]],"*"&amp;$B$6&amp;"*",RTable[[#All],[Recycling Program]],"*"&amp;C5&amp;"*",RTable[[#All],[Lab/PSC?]],"PSC")</f>
        <v>51</v>
      </c>
      <c r="D6" s="11">
        <f>COUNTIFS(RTable[[#All],[Province]],"*"&amp;$B$6&amp;"*",RTable[[#All],[Recycling Program]],"*"&amp;D5&amp;"*",RTable[[#All],[Lab/PSC?]],"PSC")</f>
        <v>38</v>
      </c>
      <c r="E6" s="11">
        <f>COUNTIFS(RTable[[#All],[Province]],"*"&amp;$B$6&amp;"*",RTable[[#All],[Recycling Program]],"*"&amp;E5&amp;"*",RTable[[#All],[Lab/PSC?]],"PSC")</f>
        <v>64</v>
      </c>
      <c r="F6" s="11">
        <f>COUNTIFS(RTable[[#All],[Province]],"*"&amp;$B$6&amp;"*",RTable[[#All],[Recycling Program]],"*"&amp;F5&amp;"*",RTable[[#All],[Lab/PSC?]],"PSC")</f>
        <v>87</v>
      </c>
      <c r="G6" s="11">
        <f>COUNTIFS(RTable[[#All],[Province]],"*"&amp;$B$6&amp;"*",RTable[[#All],[Recycling Program]],"*"&amp;G5&amp;"*",RTable[[#All],[Lab/PSC?]],"PSC")</f>
        <v>41</v>
      </c>
      <c r="H6" s="11">
        <f>COUNTIFS(RTable[[#All],[Province]],"*"&amp;$B$6&amp;"*",RTable[[#All],[Recycling Program]],"*"&amp;H5&amp;"*",RTable[[#All],[Lab/PSC?]],"PSC")</f>
        <v>39</v>
      </c>
      <c r="I6" s="11">
        <f>COUNTIFS(RTable[[#All],[Province]],"*"&amp;$B$6&amp;"*",RTable[[#All],[Recycling Program]],"*"&amp;I5&amp;"*",RTable[[#All],[Lab/PSC?]],"PSC")</f>
        <v>11</v>
      </c>
      <c r="AM6" s="29" t="s">
        <v>435</v>
      </c>
      <c r="AN6" t="s">
        <v>18</v>
      </c>
      <c r="AO6" t="s">
        <v>341</v>
      </c>
      <c r="AP6" t="s">
        <v>431</v>
      </c>
      <c r="AQ6" t="s">
        <v>20</v>
      </c>
      <c r="AR6" t="s">
        <v>443</v>
      </c>
      <c r="AS6" t="s">
        <v>444</v>
      </c>
      <c r="AT6" t="s">
        <v>433</v>
      </c>
    </row>
    <row r="7" spans="1:46" x14ac:dyDescent="0.25">
      <c r="A7" s="60" t="s">
        <v>568</v>
      </c>
      <c r="B7" s="14" t="s">
        <v>20</v>
      </c>
      <c r="C7" s="11">
        <f>COUNTIFS(RTable[[#All],[Province]],"*"&amp;$B$7&amp;"*",RTable[[#All],[Recycling Program]],"*"&amp;C5&amp;"*",RTable[[#All],[Lab/PSC?]],"PSC")</f>
        <v>28</v>
      </c>
      <c r="D7" s="11">
        <f>COUNTIFS(RTable[[#All],[Province]],"*"&amp;$B$7&amp;"*",RTable[[#All],[Recycling Program]],"*"&amp;D5&amp;"*",RTable[[#All],[Lab/PSC?]],"PSC")</f>
        <v>27</v>
      </c>
      <c r="E7" s="11">
        <f>COUNTIFS(RTable[[#All],[Province]],"*"&amp;$B$7&amp;"*",RTable[[#All],[Recycling Program]],"*"&amp;E5&amp;"*",RTable[[#All],[Lab/PSC?]],"PSC")</f>
        <v>34</v>
      </c>
      <c r="F7" s="11">
        <f>COUNTIFS(RTable[[#All],[Province]],"*"&amp;$B$7&amp;"*",RTable[[#All],[Recycling Program]],"*"&amp;F5&amp;"*",RTable[[#All],[Lab/PSC?]],"PSC")</f>
        <v>45</v>
      </c>
      <c r="G7" s="11">
        <f>COUNTIFS(RTable[[#All],[Province]],"*"&amp;$B$7&amp;"*",RTable[[#All],[Recycling Program]],"*"&amp;G5&amp;"*",RTable[[#All],[Lab/PSC?]],"PSC")</f>
        <v>27</v>
      </c>
      <c r="H7" s="11">
        <f>COUNTIFS(RTable[[#All],[Province]],"*"&amp;$B$7&amp;"*",RTable[[#All],[Recycling Program]],"*"&amp;H5&amp;"*",RTable[[#All],[Lab/PSC?]],"PSC")</f>
        <v>6</v>
      </c>
      <c r="I7" s="11">
        <f>COUNTIFS(RTable[[#All],[Province]],"*"&amp;$B$7&amp;"*",RTable[[#All],[Recycling Program]],"*"&amp;I5&amp;"*",RTable[[#All],[Lab/PSC?]],"PSC")</f>
        <v>7</v>
      </c>
      <c r="AM7" s="31" t="s">
        <v>437</v>
      </c>
      <c r="AN7" s="32">
        <v>54</v>
      </c>
      <c r="AO7" s="32">
        <v>16</v>
      </c>
      <c r="AP7" s="32">
        <v>38</v>
      </c>
      <c r="AQ7" s="32">
        <v>29</v>
      </c>
      <c r="AR7" s="32">
        <v>7</v>
      </c>
      <c r="AS7" s="32">
        <v>22</v>
      </c>
      <c r="AT7" s="32">
        <v>166</v>
      </c>
    </row>
    <row r="8" spans="1:46" x14ac:dyDescent="0.25">
      <c r="A8" s="60" t="s">
        <v>568</v>
      </c>
      <c r="B8" s="14" t="s">
        <v>341</v>
      </c>
      <c r="C8" s="11">
        <f>COUNTIFS(RTable[[#All],[Location-Category]],"*"&amp;$B$8&amp;"*",RTable[[#All],[Recycling Program]],"*"&amp;C5&amp;"*",RTable[[#All],[Lab/PSC?]],"PSC")</f>
        <v>15</v>
      </c>
      <c r="D8" s="11">
        <f>COUNTIFS(RTable[[#All],[Location-Category]],"*"&amp;$B$8&amp;"*",RTable[[#All],[Recycling Program]],"*"&amp;D5&amp;"*",RTable[[#All],[Lab/PSC?]],"PSC")</f>
        <v>13</v>
      </c>
      <c r="E8" s="11">
        <f>COUNTIFS(RTable[[#All],[Location-Category]],"*"&amp;$B$8&amp;"*",RTable[[#All],[Recycling Program]],"*"&amp;E5&amp;"*",RTable[[#All],[Lab/PSC?]],"PSC")</f>
        <v>21</v>
      </c>
      <c r="F8" s="11">
        <f>COUNTIFS(RTable[[#All],[Location-Category]],"*"&amp;$B$8&amp;"*",RTable[[#All],[Recycling Program]],"*"&amp;F5&amp;"*",RTable[[#All],[Lab/PSC?]],"PSC")</f>
        <v>29</v>
      </c>
      <c r="G8" s="11">
        <f>COUNTIFS(RTable[[#All],[Location-Category]],"*"&amp;$B$8&amp;"*",RTable[[#All],[Recycling Program]],"*"&amp;G5&amp;"*",RTable[[#All],[Lab/PSC?]],"PSC")</f>
        <v>12</v>
      </c>
      <c r="H8" s="11">
        <f>COUNTIFS(RTable[[#All],[Location-Category]],"*"&amp;$B$8&amp;"*",RTable[[#All],[Recycling Program]],"*"&amp;H5&amp;"*",RTable[[#All],[Lab/PSC?]],"PSC")</f>
        <v>9</v>
      </c>
      <c r="I8" s="11">
        <f>COUNTIFS(RTable[[#All],[Location-Category]],"*"&amp;$B$8&amp;"*",RTable[[#All],[Recycling Program]],"*"&amp;I5&amp;"*",RTable[[#All],[Lab/PSC?]],"PSC")</f>
        <v>3</v>
      </c>
      <c r="AM8" s="31" t="s">
        <v>436</v>
      </c>
      <c r="AN8" s="32">
        <v>41</v>
      </c>
      <c r="AO8" s="32">
        <v>14</v>
      </c>
      <c r="AP8" s="32">
        <v>27</v>
      </c>
      <c r="AQ8" s="32">
        <v>28</v>
      </c>
      <c r="AR8" s="32">
        <v>6</v>
      </c>
      <c r="AS8" s="32">
        <v>22</v>
      </c>
      <c r="AT8" s="32">
        <v>138</v>
      </c>
    </row>
    <row r="9" spans="1:46" x14ac:dyDescent="0.25">
      <c r="A9" s="60" t="s">
        <v>568</v>
      </c>
      <c r="B9" s="14" t="s">
        <v>431</v>
      </c>
      <c r="C9" s="11">
        <f t="shared" ref="C9:I9" si="0">C6-C8</f>
        <v>36</v>
      </c>
      <c r="D9" s="11">
        <f t="shared" si="0"/>
        <v>25</v>
      </c>
      <c r="E9" s="11">
        <f t="shared" si="0"/>
        <v>43</v>
      </c>
      <c r="F9" s="11">
        <f t="shared" si="0"/>
        <v>58</v>
      </c>
      <c r="G9" s="11">
        <f t="shared" si="0"/>
        <v>29</v>
      </c>
      <c r="H9" s="11">
        <f t="shared" si="0"/>
        <v>30</v>
      </c>
      <c r="I9" s="11">
        <f t="shared" si="0"/>
        <v>8</v>
      </c>
      <c r="AM9" s="31" t="s">
        <v>438</v>
      </c>
      <c r="AN9" s="32">
        <v>67</v>
      </c>
      <c r="AO9" s="32">
        <v>22</v>
      </c>
      <c r="AP9" s="32">
        <v>45</v>
      </c>
      <c r="AQ9" s="32">
        <v>35</v>
      </c>
      <c r="AR9" s="32">
        <v>9</v>
      </c>
      <c r="AS9" s="32">
        <v>26</v>
      </c>
      <c r="AT9" s="32">
        <v>204</v>
      </c>
    </row>
    <row r="10" spans="1:46" x14ac:dyDescent="0.25">
      <c r="A10" s="60" t="s">
        <v>568</v>
      </c>
      <c r="B10" s="14" t="s">
        <v>443</v>
      </c>
      <c r="C10" s="11">
        <f>COUNTIFS(RTable[[#All],[Location-Category]],"*"&amp;$B$10&amp;"*",RTable[[#All],[Recycling Program]],"*"&amp;C5&amp;"*",RTable[[#All],[Lab/PSC?]],"PSC")</f>
        <v>7</v>
      </c>
      <c r="D10" s="11">
        <f>COUNTIFS(RTable[[#All],[Location-Category]],"*"&amp;$B$10&amp;"*",RTable[[#All],[Recycling Program]],"*"&amp;D5&amp;"*",RTable[[#All],[Lab/PSC?]],"PSC")</f>
        <v>6</v>
      </c>
      <c r="E10" s="11">
        <f>COUNTIFS(RTable[[#All],[Location-Category]],"*"&amp;$B$10&amp;"*",RTable[[#All],[Recycling Program]],"*"&amp;E5&amp;"*",RTable[[#All],[Lab/PSC?]],"PSC")</f>
        <v>9</v>
      </c>
      <c r="F10" s="11">
        <f>COUNTIFS(RTable[[#All],[Location-Category]],"*"&amp;$B$10&amp;"*",RTable[[#All],[Recycling Program]],"*"&amp;F5&amp;"*",RTable[[#All],[Lab/PSC?]],"PSC")</f>
        <v>12</v>
      </c>
      <c r="G10" s="11">
        <f>COUNTIFS(RTable[[#All],[Location-Category]],"*"&amp;$B$10&amp;"*",RTable[[#All],[Recycling Program]],"*"&amp;G5&amp;"*",RTable[[#All],[Lab/PSC?]],"PSC")</f>
        <v>7</v>
      </c>
      <c r="H10" s="11">
        <f>COUNTIFS(RTable[[#All],[Location-Category]],"*"&amp;$B$10&amp;"*",RTable[[#All],[Recycling Program]],"*"&amp;H5&amp;"*",RTable[[#All],[Lab/PSC?]],"PSC")</f>
        <v>2</v>
      </c>
      <c r="I10" s="11">
        <f>COUNTIFS(RTable[[#All],[Location-Category]],"*"&amp;$B$10&amp;"*",RTable[[#All],[Recycling Program]],"*"&amp;I5&amp;"*",RTable[[#All],[Lab/PSC?]],"PSC")</f>
        <v>2</v>
      </c>
      <c r="AM10" s="31" t="s">
        <v>442</v>
      </c>
      <c r="AN10" s="32">
        <v>90</v>
      </c>
      <c r="AO10" s="32">
        <v>30</v>
      </c>
      <c r="AP10" s="32">
        <v>60</v>
      </c>
      <c r="AQ10" s="32">
        <v>46</v>
      </c>
      <c r="AR10" s="32">
        <v>12</v>
      </c>
      <c r="AS10" s="32">
        <v>34</v>
      </c>
      <c r="AT10" s="32">
        <v>272</v>
      </c>
    </row>
    <row r="11" spans="1:46" x14ac:dyDescent="0.25">
      <c r="A11" s="60" t="s">
        <v>568</v>
      </c>
      <c r="B11" s="14" t="s">
        <v>444</v>
      </c>
      <c r="C11" s="11">
        <f t="shared" ref="C11:I11" si="1">C7-C10</f>
        <v>21</v>
      </c>
      <c r="D11" s="11">
        <f t="shared" si="1"/>
        <v>21</v>
      </c>
      <c r="E11" s="11">
        <f t="shared" si="1"/>
        <v>25</v>
      </c>
      <c r="F11" s="11">
        <f t="shared" si="1"/>
        <v>33</v>
      </c>
      <c r="G11" s="11">
        <f t="shared" si="1"/>
        <v>20</v>
      </c>
      <c r="H11" s="11">
        <f t="shared" si="1"/>
        <v>4</v>
      </c>
      <c r="I11" s="11">
        <f t="shared" si="1"/>
        <v>5</v>
      </c>
      <c r="AM11" s="31" t="s">
        <v>439</v>
      </c>
      <c r="AN11" s="32">
        <v>44</v>
      </c>
      <c r="AO11" s="32">
        <v>13</v>
      </c>
      <c r="AP11" s="32">
        <v>31</v>
      </c>
      <c r="AQ11" s="32">
        <v>28</v>
      </c>
      <c r="AR11" s="32">
        <v>7</v>
      </c>
      <c r="AS11" s="32">
        <v>21</v>
      </c>
      <c r="AT11" s="32">
        <v>144</v>
      </c>
    </row>
    <row r="12" spans="1:46" x14ac:dyDescent="0.25">
      <c r="A12" s="60" t="s">
        <v>574</v>
      </c>
      <c r="B12" s="14" t="s">
        <v>18</v>
      </c>
      <c r="C12" s="11">
        <f>COUNTIFS(RTable[[#All],[Province]],"*"&amp;$B$12&amp;"*",RTable[[#All],[Recycling Program]],"*"&amp;C5&amp;"*",RTable[[#All],[Lab/PSC?]],"Lab")</f>
        <v>3</v>
      </c>
      <c r="D12" s="11">
        <f>COUNTIFS(RTable[[#All],[Province]],"*"&amp;$B$12&amp;"*",RTable[[#All],[Recycling Program]],"*"&amp;D5&amp;"*",RTable[[#All],[Lab/PSC?]],"Lab")</f>
        <v>3</v>
      </c>
      <c r="E12" s="11">
        <f>COUNTIFS(RTable[[#All],[Province]],"*"&amp;$B$12&amp;"*",RTable[[#All],[Recycling Program]],"*"&amp;E5&amp;"*",RTable[[#All],[Lab/PSC?]],"Lab")</f>
        <v>3</v>
      </c>
      <c r="F12" s="11">
        <f>COUNTIFS(RTable[[#All],[Province]],"*"&amp;$B$12&amp;"*",RTable[[#All],[Recycling Program]],"*"&amp;F5&amp;"*",RTable[[#All],[Lab/PSC?]],"Lab")</f>
        <v>3</v>
      </c>
      <c r="G12" s="11">
        <f>COUNTIFS(RTable[[#All],[Province]],"*"&amp;$B$12&amp;"*",RTable[[#All],[Recycling Program]],"*"&amp;G5&amp;"*",RTable[[#All],[Lab/PSC?]],"Lab")</f>
        <v>3</v>
      </c>
      <c r="H12" s="11">
        <f>COUNTIFS(RTable[[#All],[Province]],"*"&amp;$B$12&amp;"*",RTable[[#All],[Recycling Program]],"*"&amp;H5&amp;"*",RTable[[#All],[Lab/PSC?]],"Lab")</f>
        <v>2</v>
      </c>
      <c r="I12" s="11">
        <f>COUNTIFS(RTable[[#All],[Province]],"*"&amp;$B$12&amp;"*",RTable[[#All],[Recycling Program]],"*"&amp;I5&amp;"*",RTable[[#All],[Lab/PSC?]],"Lab")</f>
        <v>1</v>
      </c>
      <c r="AM12" s="31" t="s">
        <v>440</v>
      </c>
      <c r="AN12" s="32">
        <v>41</v>
      </c>
      <c r="AO12" s="32">
        <v>10</v>
      </c>
      <c r="AP12" s="32">
        <v>31</v>
      </c>
      <c r="AQ12" s="32">
        <v>7</v>
      </c>
      <c r="AR12" s="32">
        <v>2</v>
      </c>
      <c r="AS12" s="32">
        <v>5</v>
      </c>
      <c r="AT12" s="32">
        <v>96</v>
      </c>
    </row>
    <row r="13" spans="1:46" x14ac:dyDescent="0.25">
      <c r="A13" s="60" t="s">
        <v>574</v>
      </c>
      <c r="B13" s="14" t="s">
        <v>20</v>
      </c>
      <c r="C13" s="11">
        <f>COUNTIFS(RTable[[#All],[Province]],"*"&amp;$B$13&amp;"*",RTable[[#All],[Recycling Program]],"*"&amp;C5&amp;"*",RTable[[#All],[Lab/PSC?]],"Lab")</f>
        <v>1</v>
      </c>
      <c r="D13" s="11">
        <f>COUNTIFS(RTable[[#All],[Province]],"*"&amp;$B$13&amp;"*",RTable[[#All],[Recycling Program]],"*"&amp;D5&amp;"*",RTable[[#All],[Lab/PSC?]],"Lab")</f>
        <v>1</v>
      </c>
      <c r="E13" s="11">
        <f>COUNTIFS(RTable[[#All],[Province]],"*"&amp;$B$13&amp;"*",RTable[[#All],[Recycling Program]],"*"&amp;E5&amp;"*",RTable[[#All],[Lab/PSC?]],"Lab")</f>
        <v>1</v>
      </c>
      <c r="F13" s="11">
        <f>COUNTIFS(RTable[[#All],[Province]],"*"&amp;$B$13&amp;"*",RTable[[#All],[Recycling Program]],"*"&amp;F5&amp;"*",RTable[[#All],[Lab/PSC?]],"Lab")</f>
        <v>1</v>
      </c>
      <c r="G13" s="11">
        <f>COUNTIFS(RTable[[#All],[Province]],"*"&amp;$B$13&amp;"*",RTable[[#All],[Recycling Program]],"*"&amp;G5&amp;"*",RTable[[#All],[Lab/PSC?]],"Lab")</f>
        <v>1</v>
      </c>
      <c r="H13" s="11">
        <f>COUNTIFS(RTable[[#All],[Province]],"*"&amp;$B$13&amp;"*",RTable[[#All],[Recycling Program]],"*"&amp;H5&amp;"*",RTable[[#All],[Lab/PSC?]],"Lab")</f>
        <v>1</v>
      </c>
      <c r="I13" s="11">
        <f>COUNTIFS(RTable[[#All],[Province]],"*"&amp;$B$13&amp;"*",RTable[[#All],[Recycling Program]],"*"&amp;I5&amp;"*",RTable[[#All],[Lab/PSC?]],"Lab")</f>
        <v>1</v>
      </c>
      <c r="AM13" s="31" t="s">
        <v>441</v>
      </c>
      <c r="AN13" s="32">
        <v>12</v>
      </c>
      <c r="AO13" s="32">
        <v>3</v>
      </c>
      <c r="AP13" s="32">
        <v>9</v>
      </c>
      <c r="AQ13" s="32">
        <v>8</v>
      </c>
      <c r="AR13" s="32">
        <v>3</v>
      </c>
      <c r="AS13" s="32">
        <v>5</v>
      </c>
      <c r="AT13" s="32">
        <v>40</v>
      </c>
    </row>
    <row r="14" spans="1:46" x14ac:dyDescent="0.25">
      <c r="A14" s="60" t="s">
        <v>574</v>
      </c>
      <c r="B14" s="14" t="s">
        <v>341</v>
      </c>
      <c r="C14" s="11">
        <f>COUNTIFS(RTable[[#All],[Location-Category]],"*"&amp;$B$14&amp;"*",RTable[[#All],[Recycling Program]],"*"&amp;C5&amp;"*",RTable[[#All],[Lab/PSC?]],"Lab")</f>
        <v>1</v>
      </c>
      <c r="D14" s="11">
        <f>COUNTIFS(RTable[[#All],[Location-Category]],"*"&amp;$B$14&amp;"*",RTable[[#All],[Recycling Program]],"*"&amp;D5&amp;"*",RTable[[#All],[Lab/PSC?]],"Lab")</f>
        <v>1</v>
      </c>
      <c r="E14" s="11">
        <f>COUNTIFS(RTable[[#All],[Location-Category]],"*"&amp;$B$14&amp;"*",RTable[[#All],[Recycling Program]],"*"&amp;E5&amp;"*",RTable[[#All],[Lab/PSC?]],"Lab")</f>
        <v>1</v>
      </c>
      <c r="F14" s="11">
        <f>COUNTIFS(RTable[[#All],[Location-Category]],"*"&amp;$B$14&amp;"*",RTable[[#All],[Recycling Program]],"*"&amp;F5&amp;"*",RTable[[#All],[Lab/PSC?]],"Lab")</f>
        <v>1</v>
      </c>
      <c r="G14" s="11">
        <f>COUNTIFS(RTable[[#All],[Location-Category]],"*"&amp;$B$14&amp;"*",RTable[[#All],[Recycling Program]],"*"&amp;G5&amp;"*",RTable[[#All],[Lab/PSC?]],"Lab")</f>
        <v>1</v>
      </c>
      <c r="H14" s="11">
        <f>COUNTIFS(RTable[[#All],[Location-Category]],"*"&amp;$B$14&amp;"*",RTable[[#All],[Recycling Program]],"*"&amp;H5&amp;"*",RTable[[#All],[Lab/PSC?]],"Lab")</f>
        <v>1</v>
      </c>
      <c r="I14" s="11">
        <f>COUNTIFS(RTable[[#All],[Location-Category]],"*"&amp;$B$14&amp;"*",RTable[[#All],[Recycling Program]],"*"&amp;I5&amp;"*",RTable[[#All],[Lab/PSC?]],"Lab")</f>
        <v>0</v>
      </c>
      <c r="AM14" s="31"/>
      <c r="AN14" s="32"/>
      <c r="AO14" s="32"/>
    </row>
    <row r="15" spans="1:46" x14ac:dyDescent="0.25">
      <c r="A15" s="60" t="s">
        <v>574</v>
      </c>
      <c r="B15" s="14" t="s">
        <v>431</v>
      </c>
      <c r="C15" s="11">
        <f t="shared" ref="C15:I15" si="2">C12-C14</f>
        <v>2</v>
      </c>
      <c r="D15" s="11">
        <f t="shared" si="2"/>
        <v>2</v>
      </c>
      <c r="E15" s="11">
        <f t="shared" si="2"/>
        <v>2</v>
      </c>
      <c r="F15" s="11">
        <f t="shared" si="2"/>
        <v>2</v>
      </c>
      <c r="G15" s="11">
        <f t="shared" si="2"/>
        <v>2</v>
      </c>
      <c r="H15" s="11">
        <f t="shared" si="2"/>
        <v>1</v>
      </c>
      <c r="I15" s="11">
        <f t="shared" si="2"/>
        <v>1</v>
      </c>
      <c r="AM15" s="31"/>
      <c r="AN15" s="32"/>
      <c r="AO15" s="32"/>
    </row>
    <row r="16" spans="1:46" x14ac:dyDescent="0.25">
      <c r="A16" s="60" t="s">
        <v>574</v>
      </c>
      <c r="B16" s="14" t="s">
        <v>443</v>
      </c>
      <c r="C16" s="11">
        <f>COUNTIFS(RTable[[#All],[Location-Category]],"*"&amp;$B$16&amp;"*",RTable[[#All],[Recycling Program]],"*"&amp;C5&amp;"*",RTable[[#All],[Lab/PSC?]],"Lab")</f>
        <v>0</v>
      </c>
      <c r="D16" s="11">
        <f>COUNTIFS(RTable[[#All],[Location-Category]],"*"&amp;$B$16&amp;"*",RTable[[#All],[Recycling Program]],"*"&amp;D5&amp;"*",RTable[[#All],[Lab/PSC?]],"Lab")</f>
        <v>0</v>
      </c>
      <c r="E16" s="11">
        <f>COUNTIFS(RTable[[#All],[Location-Category]],"*"&amp;$B$16&amp;"*",RTable[[#All],[Recycling Program]],"*"&amp;E5&amp;"*",RTable[[#All],[Lab/PSC?]],"Lab")</f>
        <v>0</v>
      </c>
      <c r="F16" s="11">
        <f>COUNTIFS(RTable[[#All],[Location-Category]],"*"&amp;$B$16&amp;"*",RTable[[#All],[Recycling Program]],"*"&amp;F5&amp;"*",RTable[[#All],[Lab/PSC?]],"Lab")</f>
        <v>0</v>
      </c>
      <c r="G16" s="11">
        <f>COUNTIFS(RTable[[#All],[Location-Category]],"*"&amp;$B$16&amp;"*",RTable[[#All],[Recycling Program]],"*"&amp;G5&amp;"*",RTable[[#All],[Lab/PSC?]],"Lab")</f>
        <v>0</v>
      </c>
      <c r="H16" s="11">
        <f>COUNTIFS(RTable[[#All],[Location-Category]],"*"&amp;$B$16&amp;"*",RTable[[#All],[Recycling Program]],"*"&amp;H5&amp;"*",RTable[[#All],[Lab/PSC?]],"Lab")</f>
        <v>0</v>
      </c>
      <c r="I16" s="11">
        <f>COUNTIFS(RTable[[#All],[Location-Category]],"*"&amp;$B$16&amp;"*",RTable[[#All],[Recycling Program]],"*"&amp;I5&amp;"*",RTable[[#All],[Lab/PSC?]],"Lab")</f>
        <v>1</v>
      </c>
      <c r="AM16" s="31"/>
      <c r="AN16" s="32"/>
      <c r="AO16" s="32"/>
    </row>
    <row r="17" spans="1:46" x14ac:dyDescent="0.25">
      <c r="A17" s="60" t="s">
        <v>574</v>
      </c>
      <c r="B17" s="14" t="s">
        <v>444</v>
      </c>
      <c r="C17" s="11">
        <f t="shared" ref="C17:I17" si="3">C13-C16</f>
        <v>1</v>
      </c>
      <c r="D17" s="11">
        <f t="shared" si="3"/>
        <v>1</v>
      </c>
      <c r="E17" s="11">
        <f t="shared" si="3"/>
        <v>1</v>
      </c>
      <c r="F17" s="11">
        <f t="shared" si="3"/>
        <v>1</v>
      </c>
      <c r="G17" s="11">
        <f t="shared" si="3"/>
        <v>1</v>
      </c>
      <c r="H17" s="11">
        <f t="shared" si="3"/>
        <v>1</v>
      </c>
      <c r="I17" s="11">
        <f t="shared" si="3"/>
        <v>0</v>
      </c>
      <c r="AM17" s="31"/>
      <c r="AN17" s="32"/>
      <c r="AO17" s="32"/>
    </row>
    <row r="18" spans="1:46" x14ac:dyDescent="0.25">
      <c r="AM18" s="31"/>
      <c r="AN18" s="32"/>
      <c r="AO18" s="32"/>
    </row>
    <row r="19" spans="1:46" x14ac:dyDescent="0.25">
      <c r="AM19" s="29" t="s">
        <v>573</v>
      </c>
      <c r="AN19" t="s">
        <v>575</v>
      </c>
      <c r="AO19" s="32"/>
    </row>
    <row r="20" spans="1:46" x14ac:dyDescent="0.25">
      <c r="AM20" s="31"/>
      <c r="AN20" s="32"/>
      <c r="AO20" s="32"/>
    </row>
    <row r="21" spans="1:46" x14ac:dyDescent="0.25">
      <c r="AN21" s="29" t="s">
        <v>432</v>
      </c>
    </row>
    <row r="22" spans="1:46" x14ac:dyDescent="0.25">
      <c r="A22" s="10" t="s">
        <v>28</v>
      </c>
      <c r="AM22" s="29" t="s">
        <v>435</v>
      </c>
      <c r="AN22" t="s">
        <v>18</v>
      </c>
      <c r="AO22" t="s">
        <v>341</v>
      </c>
      <c r="AP22" t="s">
        <v>431</v>
      </c>
      <c r="AQ22" t="s">
        <v>20</v>
      </c>
      <c r="AR22" t="s">
        <v>443</v>
      </c>
      <c r="AS22" t="s">
        <v>444</v>
      </c>
      <c r="AT22" t="s">
        <v>433</v>
      </c>
    </row>
    <row r="23" spans="1:46" x14ac:dyDescent="0.25">
      <c r="B23" s="10"/>
      <c r="AM23" s="31" t="s">
        <v>445</v>
      </c>
      <c r="AN23" s="32">
        <v>35</v>
      </c>
      <c r="AO23" s="32">
        <v>12</v>
      </c>
      <c r="AP23" s="32">
        <v>23</v>
      </c>
      <c r="AQ23" s="32">
        <v>21</v>
      </c>
      <c r="AR23" s="32">
        <v>5</v>
      </c>
      <c r="AS23" s="32">
        <v>16</v>
      </c>
      <c r="AT23" s="32">
        <v>112</v>
      </c>
    </row>
    <row r="24" spans="1:46" x14ac:dyDescent="0.25">
      <c r="A24" s="59" t="s">
        <v>573</v>
      </c>
      <c r="B24" s="61" t="s">
        <v>434</v>
      </c>
      <c r="C24" s="15" t="s">
        <v>29</v>
      </c>
      <c r="D24" s="15" t="s">
        <v>30</v>
      </c>
      <c r="E24" s="15" t="s">
        <v>31</v>
      </c>
      <c r="F24" s="15" t="s">
        <v>32</v>
      </c>
      <c r="G24" s="15" t="s">
        <v>33</v>
      </c>
      <c r="H24" s="15" t="s">
        <v>34</v>
      </c>
      <c r="I24" s="15" t="s">
        <v>35</v>
      </c>
      <c r="J24" s="15" t="s">
        <v>36</v>
      </c>
      <c r="K24" s="53"/>
      <c r="L24" s="53"/>
      <c r="AM24" s="31" t="s">
        <v>446</v>
      </c>
      <c r="AN24" s="32">
        <v>34</v>
      </c>
      <c r="AO24" s="32">
        <v>13</v>
      </c>
      <c r="AP24" s="32">
        <v>21</v>
      </c>
      <c r="AQ24" s="32">
        <v>21</v>
      </c>
      <c r="AR24" s="32">
        <v>6</v>
      </c>
      <c r="AS24" s="32">
        <v>15</v>
      </c>
      <c r="AT24" s="32">
        <v>110</v>
      </c>
    </row>
    <row r="25" spans="1:46" x14ac:dyDescent="0.25">
      <c r="A25" s="58" t="s">
        <v>568</v>
      </c>
      <c r="B25" s="14" t="s">
        <v>18</v>
      </c>
      <c r="C25" s="11">
        <f>COUNTIFS(RTable[[#All],[Province]],"*"&amp;$B$25&amp;"*",RTable[[#All],[Acceptable Plastics]],"*"&amp;C24&amp;"*",RTable[[#All],[Lab/PSC?]],"PSC")</f>
        <v>35</v>
      </c>
      <c r="D25" s="11">
        <f>COUNTIFS(RTable[[#All],[Province]],"*"&amp;$B$25&amp;"*",RTable[[#All],[Acceptable Plastics]],"*"&amp;D24&amp;"*",RTable[[#All],[Lab/PSC?]],"PSC")</f>
        <v>34</v>
      </c>
      <c r="E25" s="11">
        <f>COUNTIFS(RTable[[#All],[Province]],"*"&amp;$B$25&amp;"*",RTable[[#All],[Acceptable Plastics]],"*"&amp;E24&amp;"*",RTable[[#All],[Lab/PSC?]],"PSC")</f>
        <v>27</v>
      </c>
      <c r="F25" s="11">
        <f>COUNTIFS(RTable[[#All],[Province]],"*"&amp;$B$25&amp;"*",RTable[[#All],[Acceptable Plastics]],"*"&amp;F24&amp;"*",RTable[[#All],[Lab/PSC?]],"PSC")</f>
        <v>33</v>
      </c>
      <c r="G25" s="11">
        <f>COUNTIFS(RTable[[#All],[Province]],"*"&amp;$B$25&amp;"*",RTable[[#All],[Acceptable Plastics]],"*"&amp;G24&amp;"*",RTable[[#All],[Lab/PSC?]],"PSC")</f>
        <v>27</v>
      </c>
      <c r="H25" s="11">
        <f>COUNTIFS(RTable[[#All],[Province]],"*"&amp;$B$25&amp;"*",RTable[[#All],[Acceptable Plastics]],"*"&amp;H24&amp;"*",RTable[[#All],[Lab/PSC?]],"PSC")</f>
        <v>23</v>
      </c>
      <c r="I25" s="11">
        <f>COUNTIFS(RTable[[#All],[Province]],"*"&amp;$B$25&amp;"*",RTable[[#All],[Acceptable Plastics]],"*"&amp;I24&amp;"*",RTable[[#All],[Lab/PSC?]],"PSC")</f>
        <v>11</v>
      </c>
      <c r="J25" s="11">
        <f>COUNTIFS(RTable[[#All],[Province]],"*"&amp;$B$25&amp;"*",RTable[[#All],[Acceptable Plastics]],"*"&amp;J24&amp;"*",RTable[[#All],[Lab/PSC?]],"PSC")</f>
        <v>52</v>
      </c>
      <c r="K25" s="57"/>
      <c r="L25" s="57"/>
      <c r="AM25" s="31" t="s">
        <v>447</v>
      </c>
      <c r="AN25" s="32">
        <v>27</v>
      </c>
      <c r="AO25" s="32">
        <v>6</v>
      </c>
      <c r="AP25" s="32">
        <v>21</v>
      </c>
      <c r="AQ25" s="32">
        <v>17</v>
      </c>
      <c r="AR25" s="32">
        <v>4</v>
      </c>
      <c r="AS25" s="32">
        <v>13</v>
      </c>
      <c r="AT25" s="32">
        <v>88</v>
      </c>
    </row>
    <row r="26" spans="1:46" x14ac:dyDescent="0.25">
      <c r="A26" s="58" t="s">
        <v>568</v>
      </c>
      <c r="B26" s="14" t="s">
        <v>20</v>
      </c>
      <c r="C26" s="11">
        <f>COUNTIFS(RTable[[#All],[Province]],"*"&amp;$B$26&amp;"*",RTable[[#All],[Acceptable Plastics]],"*"&amp;C24&amp;"*",RTable[[#All],[Lab/PSC?]],"PSC")</f>
        <v>20</v>
      </c>
      <c r="D26" s="11">
        <f>COUNTIFS(RTable[[#All],[Province]],"*"&amp;$B$26&amp;"*",RTable[[#All],[Acceptable Plastics]],"*"&amp;D24&amp;"*",RTable[[#All],[Lab/PSC?]],"PSC")</f>
        <v>20</v>
      </c>
      <c r="E26" s="11">
        <f>COUNTIFS(RTable[[#All],[Province]],"*"&amp;$B$26&amp;"*",RTable[[#All],[Acceptable Plastics]],"*"&amp;E24&amp;"*",RTable[[#All],[Lab/PSC?]],"PSC")</f>
        <v>16</v>
      </c>
      <c r="F26" s="11">
        <f>COUNTIFS(RTable[[#All],[Province]],"*"&amp;$B$26&amp;"*",RTable[[#All],[Acceptable Plastics]],"*"&amp;F24&amp;"*",RTable[[#All],[Lab/PSC?]],"PSC")</f>
        <v>15</v>
      </c>
      <c r="G26" s="11">
        <f>COUNTIFS(RTable[[#All],[Province]],"*"&amp;$B$26&amp;"*",RTable[[#All],[Acceptable Plastics]],"*"&amp;G24&amp;"*",RTable[[#All],[Lab/PSC?]],"PSC")</f>
        <v>14</v>
      </c>
      <c r="H26" s="11">
        <f>COUNTIFS(RTable[[#All],[Province]],"*"&amp;$B$26&amp;"*",RTable[[#All],[Acceptable Plastics]],"*"&amp;H24&amp;"*",RTable[[#All],[Lab/PSC?]],"PSC")</f>
        <v>13</v>
      </c>
      <c r="I26" s="11">
        <f>COUNTIFS(RTable[[#All],[Province]],"*"&amp;$B$26&amp;"*",RTable[[#All],[Acceptable Plastics]],"*"&amp;I24&amp;"*",RTable[[#All],[Lab/PSC?]],"PSC")</f>
        <v>3</v>
      </c>
      <c r="J26" s="11">
        <f>COUNTIFS(RTable[[#All],[Province]],"*"&amp;$B$26&amp;"*",RTable[[#All],[Acceptable Plastics]],"*"&amp;J24&amp;"*",RTable[[#All],[Lab/PSC?]],"PSC")</f>
        <v>25</v>
      </c>
      <c r="K26" s="57"/>
      <c r="L26" s="57"/>
      <c r="AM26" s="31" t="s">
        <v>448</v>
      </c>
      <c r="AN26" s="32">
        <v>33</v>
      </c>
      <c r="AO26" s="32">
        <v>12</v>
      </c>
      <c r="AP26" s="32">
        <v>21</v>
      </c>
      <c r="AQ26" s="32">
        <v>16</v>
      </c>
      <c r="AR26" s="32">
        <v>5</v>
      </c>
      <c r="AS26" s="32">
        <v>11</v>
      </c>
      <c r="AT26" s="32">
        <v>98</v>
      </c>
    </row>
    <row r="27" spans="1:46" x14ac:dyDescent="0.25">
      <c r="A27" s="58" t="s">
        <v>568</v>
      </c>
      <c r="B27" s="14" t="s">
        <v>341</v>
      </c>
      <c r="C27" s="11">
        <f>COUNTIFS(RTable[[#All],[Location-Category]],"*"&amp;$B$27&amp;"*",RTable[[#All],[Acceptable Plastics]],"*"&amp;C24&amp;"*",RTable[[#All],[Lab/PSC?]],"PSC")</f>
        <v>12</v>
      </c>
      <c r="D27" s="11">
        <f>COUNTIFS(RTable[[#All],[Location-Category]],"*"&amp;$B$27&amp;"*",RTable[[#All],[Acceptable Plastics]],"*"&amp;D24&amp;"*",RTable[[#All],[Lab/PSC?]],"PSC")</f>
        <v>13</v>
      </c>
      <c r="E27" s="11">
        <f>COUNTIFS(RTable[[#All],[Location-Category]],"*"&amp;$B$27&amp;"*",RTable[[#All],[Acceptable Plastics]],"*"&amp;E24&amp;"*",RTable[[#All],[Lab/PSC?]],"PSC")</f>
        <v>6</v>
      </c>
      <c r="F27" s="11">
        <f>COUNTIFS(RTable[[#All],[Location-Category]],"*"&amp;$B$27&amp;"*",RTable[[#All],[Acceptable Plastics]],"*"&amp;F24&amp;"*",RTable[[#All],[Lab/PSC?]],"PSC")</f>
        <v>12</v>
      </c>
      <c r="G27" s="11">
        <f>COUNTIFS(RTable[[#All],[Location-Category]],"*"&amp;$B$27&amp;"*",RTable[[#All],[Acceptable Plastics]],"*"&amp;G24&amp;"*",RTable[[#All],[Lab/PSC?]],"PSC")</f>
        <v>8</v>
      </c>
      <c r="H27" s="11">
        <f>COUNTIFS(RTable[[#All],[Location-Category]],"*"&amp;$B$27&amp;"*",RTable[[#All],[Acceptable Plastics]],"*"&amp;H24&amp;"*",RTable[[#All],[Lab/PSC?]],"PSC")</f>
        <v>4</v>
      </c>
      <c r="I27" s="11">
        <f>COUNTIFS(RTable[[#All],[Location-Category]],"*"&amp;$B$27&amp;"*",RTable[[#All],[Acceptable Plastics]],"*"&amp;I24&amp;"*",RTable[[#All],[Lab/PSC?]],"PSC")</f>
        <v>3</v>
      </c>
      <c r="J27" s="11">
        <f>COUNTIFS(RTable[[#All],[Location-Category]],"*"&amp;$B$27&amp;"*",RTable[[#All],[Acceptable Plastics]],"*"&amp;J24&amp;"*",RTable[[#All],[Lab/PSC?]],"PSC")</f>
        <v>16</v>
      </c>
      <c r="K27" s="57"/>
      <c r="L27" s="57"/>
      <c r="AM27" s="31" t="s">
        <v>449</v>
      </c>
      <c r="AN27" s="32">
        <v>27</v>
      </c>
      <c r="AO27" s="32">
        <v>8</v>
      </c>
      <c r="AP27" s="32">
        <v>19</v>
      </c>
      <c r="AQ27" s="32">
        <v>15</v>
      </c>
      <c r="AR27" s="32">
        <v>4</v>
      </c>
      <c r="AS27" s="32">
        <v>11</v>
      </c>
      <c r="AT27" s="32">
        <v>84</v>
      </c>
    </row>
    <row r="28" spans="1:46" x14ac:dyDescent="0.25">
      <c r="A28" s="58" t="s">
        <v>568</v>
      </c>
      <c r="B28" s="14" t="s">
        <v>431</v>
      </c>
      <c r="C28" s="11">
        <f t="shared" ref="C28:J28" si="4">C25-C27</f>
        <v>23</v>
      </c>
      <c r="D28" s="11">
        <f t="shared" si="4"/>
        <v>21</v>
      </c>
      <c r="E28" s="11">
        <f t="shared" si="4"/>
        <v>21</v>
      </c>
      <c r="F28" s="11">
        <f t="shared" si="4"/>
        <v>21</v>
      </c>
      <c r="G28" s="11">
        <f t="shared" si="4"/>
        <v>19</v>
      </c>
      <c r="H28" s="11">
        <f t="shared" si="4"/>
        <v>19</v>
      </c>
      <c r="I28" s="11">
        <f t="shared" si="4"/>
        <v>8</v>
      </c>
      <c r="J28" s="11">
        <f t="shared" si="4"/>
        <v>36</v>
      </c>
      <c r="K28" s="57"/>
      <c r="L28" s="57"/>
      <c r="AM28" s="31" t="s">
        <v>450</v>
      </c>
      <c r="AN28" s="32">
        <v>23</v>
      </c>
      <c r="AO28" s="32">
        <v>4</v>
      </c>
      <c r="AP28" s="32">
        <v>19</v>
      </c>
      <c r="AQ28" s="32">
        <v>13</v>
      </c>
      <c r="AR28" s="32">
        <v>3</v>
      </c>
      <c r="AS28" s="32">
        <v>10</v>
      </c>
      <c r="AT28" s="32">
        <v>72</v>
      </c>
    </row>
    <row r="29" spans="1:46" x14ac:dyDescent="0.25">
      <c r="A29" s="58" t="s">
        <v>568</v>
      </c>
      <c r="B29" s="14" t="s">
        <v>443</v>
      </c>
      <c r="C29" s="11">
        <f>COUNTIFS(RTable[[#All],[Location-Category]],"*"&amp;$B$29&amp;"*",RTable[[#All],[Acceptable Plastics]],"*"&amp;C24&amp;"*",RTable[[#All],[Lab/PSC?]],"PSC")</f>
        <v>5</v>
      </c>
      <c r="D29" s="11">
        <f>COUNTIFS(RTable[[#All],[Location-Category]],"*"&amp;$B$29&amp;"*",RTable[[#All],[Acceptable Plastics]],"*"&amp;D24&amp;"*",RTable[[#All],[Lab/PSC?]],"PSC")</f>
        <v>6</v>
      </c>
      <c r="E29" s="11">
        <f>COUNTIFS(RTable[[#All],[Location-Category]],"*"&amp;$B$29&amp;"*",RTable[[#All],[Acceptable Plastics]],"*"&amp;E24&amp;"*",RTable[[#All],[Lab/PSC?]],"PSC")</f>
        <v>4</v>
      </c>
      <c r="F29" s="11">
        <f>COUNTIFS(RTable[[#All],[Location-Category]],"*"&amp;$B$29&amp;"*",RTable[[#All],[Acceptable Plastics]],"*"&amp;F24&amp;"*",RTable[[#All],[Lab/PSC?]],"PSC")</f>
        <v>5</v>
      </c>
      <c r="G29" s="11">
        <f>COUNTIFS(RTable[[#All],[Location-Category]],"*"&amp;$B$29&amp;"*",RTable[[#All],[Acceptable Plastics]],"*"&amp;G24&amp;"*",RTable[[#All],[Lab/PSC?]],"PSC")</f>
        <v>4</v>
      </c>
      <c r="H29" s="11">
        <f>COUNTIFS(RTable[[#All],[Location-Category]],"*"&amp;$B$29&amp;"*",RTable[[#All],[Acceptable Plastics]],"*"&amp;H24&amp;"*",RTable[[#All],[Lab/PSC?]],"PSC")</f>
        <v>3</v>
      </c>
      <c r="I29" s="11">
        <f>COUNTIFS(RTable[[#All],[Location-Category]],"*"&amp;$B$29&amp;"*",RTable[[#All],[Acceptable Plastics]],"*"&amp;I24&amp;"*",RTable[[#All],[Lab/PSC?]],"PSC")</f>
        <v>1</v>
      </c>
      <c r="J29" s="11">
        <f>COUNTIFS(RTable[[#All],[Location-Category]],"*"&amp;$B$29&amp;"*",RTable[[#All],[Acceptable Plastics]],"*"&amp;J24&amp;"*",RTable[[#All],[Lab/PSC?]],"PSC")</f>
        <v>7</v>
      </c>
      <c r="K29" s="57"/>
      <c r="L29" s="57"/>
      <c r="AM29" s="31" t="s">
        <v>451</v>
      </c>
      <c r="AN29" s="32">
        <v>11</v>
      </c>
      <c r="AO29" s="32">
        <v>3</v>
      </c>
      <c r="AP29" s="32">
        <v>8</v>
      </c>
      <c r="AQ29" s="32">
        <v>3</v>
      </c>
      <c r="AR29" s="32">
        <v>1</v>
      </c>
      <c r="AS29" s="32">
        <v>2</v>
      </c>
      <c r="AT29" s="32">
        <v>28</v>
      </c>
    </row>
    <row r="30" spans="1:46" x14ac:dyDescent="0.25">
      <c r="A30" s="58" t="s">
        <v>568</v>
      </c>
      <c r="B30" s="14" t="s">
        <v>444</v>
      </c>
      <c r="C30" s="11">
        <f t="shared" ref="C30:J30" si="5">C26-C29</f>
        <v>15</v>
      </c>
      <c r="D30" s="11">
        <f t="shared" si="5"/>
        <v>14</v>
      </c>
      <c r="E30" s="11">
        <f t="shared" si="5"/>
        <v>12</v>
      </c>
      <c r="F30" s="11">
        <f t="shared" si="5"/>
        <v>10</v>
      </c>
      <c r="G30" s="11">
        <f t="shared" si="5"/>
        <v>10</v>
      </c>
      <c r="H30" s="11">
        <f t="shared" si="5"/>
        <v>10</v>
      </c>
      <c r="I30" s="11">
        <f t="shared" si="5"/>
        <v>2</v>
      </c>
      <c r="J30" s="11">
        <f t="shared" si="5"/>
        <v>18</v>
      </c>
      <c r="K30" s="57"/>
      <c r="L30" s="57"/>
      <c r="AM30" s="31" t="s">
        <v>452</v>
      </c>
      <c r="AN30" s="32">
        <v>53</v>
      </c>
      <c r="AO30" s="32">
        <v>16</v>
      </c>
      <c r="AP30" s="32">
        <v>37</v>
      </c>
      <c r="AQ30" s="32">
        <v>26</v>
      </c>
      <c r="AR30" s="32">
        <v>8</v>
      </c>
      <c r="AS30" s="32">
        <v>18</v>
      </c>
      <c r="AT30" s="32">
        <v>158</v>
      </c>
    </row>
    <row r="31" spans="1:46" x14ac:dyDescent="0.25">
      <c r="A31" s="58" t="s">
        <v>574</v>
      </c>
      <c r="B31" s="14" t="s">
        <v>18</v>
      </c>
      <c r="C31" s="11">
        <f>COUNTIFS(RTable[[#All],[Province]],"*"&amp;$B$31&amp;"*",RTable[[#All],[Acceptable Plastics]],"*"&amp;C24&amp;"*",RTable[[#All],[Lab/PSC?]],"Lab")</f>
        <v>0</v>
      </c>
      <c r="D31" s="11">
        <f>COUNTIFS(RTable[[#All],[Province]],"*"&amp;$B$31&amp;"*",RTable[[#All],[Acceptable Plastics]],"*"&amp;D24&amp;"*",RTable[[#All],[Lab/PSC?]],"Lab")</f>
        <v>0</v>
      </c>
      <c r="E31" s="11">
        <f>COUNTIFS(RTable[[#All],[Province]],"*"&amp;$B$31&amp;"*",RTable[[#All],[Acceptable Plastics]],"*"&amp;E24&amp;"*",RTable[[#All],[Lab/PSC?]],"Lab")</f>
        <v>0</v>
      </c>
      <c r="F31" s="11">
        <f>COUNTIFS(RTable[[#All],[Province]],"*"&amp;$B$31&amp;"*",RTable[[#All],[Acceptable Plastics]],"*"&amp;F24&amp;"*",RTable[[#All],[Lab/PSC?]],"Lab")</f>
        <v>0</v>
      </c>
      <c r="G31" s="11">
        <f>COUNTIFS(RTable[[#All],[Province]],"*"&amp;$B$31&amp;"*",RTable[[#All],[Acceptable Plastics]],"*"&amp;G24&amp;"*",RTable[[#All],[Lab/PSC?]],"Lab")</f>
        <v>0</v>
      </c>
      <c r="H31" s="11">
        <f>COUNTIFS(RTable[[#All],[Province]],"*"&amp;$B$31&amp;"*",RTable[[#All],[Acceptable Plastics]],"*"&amp;H24&amp;"*",RTable[[#All],[Lab/PSC?]],"Lab")</f>
        <v>0</v>
      </c>
      <c r="I31" s="11">
        <f>COUNTIFS(RTable[[#All],[Province]],"*"&amp;$B$31&amp;"*",RTable[[#All],[Acceptable Plastics]],"*"&amp;I24&amp;"*",RTable[[#All],[Lab/PSC?]],"Lab")</f>
        <v>0</v>
      </c>
      <c r="J31" s="11">
        <f>COUNTIFS(RTable[[#All],[Province]],"*"&amp;$B$31&amp;"*",RTable[[#All],[Acceptable Plastics]],"*"&amp;J24&amp;"*",RTable[[#All],[Lab/PSC?]],"Lab")</f>
        <v>1</v>
      </c>
      <c r="K31" s="57"/>
      <c r="L31" s="57"/>
    </row>
    <row r="32" spans="1:46" x14ac:dyDescent="0.25">
      <c r="A32" s="58" t="s">
        <v>574</v>
      </c>
      <c r="B32" s="14" t="s">
        <v>20</v>
      </c>
      <c r="C32" s="11">
        <f>COUNTIFS(RTable[[#All],[Province]],"*"&amp;$B$32&amp;"*",RTable[[#All],[Acceptable Plastics]],"*"&amp;C24&amp;"*",RTable[[#All],[Lab/PSC?]],"Lab")</f>
        <v>1</v>
      </c>
      <c r="D32" s="11">
        <f>COUNTIFS(RTable[[#All],[Province]],"*"&amp;$B$32&amp;"*",RTable[[#All],[Acceptable Plastics]],"*"&amp;D24&amp;"*",RTable[[#All],[Lab/PSC?]],"Lab")</f>
        <v>1</v>
      </c>
      <c r="E32" s="11">
        <f>COUNTIFS(RTable[[#All],[Province]],"*"&amp;$B$32&amp;"*",RTable[[#All],[Acceptable Plastics]],"*"&amp;E24&amp;"*",RTable[[#All],[Lab/PSC?]],"Lab")</f>
        <v>1</v>
      </c>
      <c r="F32" s="11">
        <f>COUNTIFS(RTable[[#All],[Province]],"*"&amp;$B$32&amp;"*",RTable[[#All],[Acceptable Plastics]],"*"&amp;F24&amp;"*",RTable[[#All],[Lab/PSC?]],"Lab")</f>
        <v>1</v>
      </c>
      <c r="G32" s="11">
        <f>COUNTIFS(RTable[[#All],[Province]],"*"&amp;$B$32&amp;"*",RTable[[#All],[Acceptable Plastics]],"*"&amp;G24&amp;"*",RTable[[#All],[Lab/PSC?]],"Lab")</f>
        <v>1</v>
      </c>
      <c r="H32" s="11">
        <f>COUNTIFS(RTable[[#All],[Province]],"*"&amp;$B$32&amp;"*",RTable[[#All],[Acceptable Plastics]],"*"&amp;H24&amp;"*",RTable[[#All],[Lab/PSC?]],"Lab")</f>
        <v>0</v>
      </c>
      <c r="I32" s="11">
        <f>COUNTIFS(RTable[[#All],[Province]],"*"&amp;$B$32&amp;"*",RTable[[#All],[Acceptable Plastics]],"*"&amp;I24&amp;"*",RTable[[#All],[Lab/PSC?]],"Lab")</f>
        <v>0</v>
      </c>
      <c r="J32" s="11">
        <f>COUNTIFS(RTable[[#All],[Province]],"*"&amp;$B$32&amp;"*",RTable[[#All],[Acceptable Plastics]],"*"&amp;J24&amp;"*",RTable[[#All],[Lab/PSC?]],"Lab")</f>
        <v>1</v>
      </c>
      <c r="K32" s="57"/>
      <c r="L32" s="57"/>
    </row>
    <row r="33" spans="1:46" x14ac:dyDescent="0.25">
      <c r="A33" s="58" t="s">
        <v>574</v>
      </c>
      <c r="B33" s="14" t="s">
        <v>341</v>
      </c>
      <c r="C33" s="11">
        <f>COUNTIFS(RTable[[#All],[Location-Category]],"*"&amp;$B$33&amp;"*",RTable[[#All],[Acceptable Plastics]],"*"&amp;C24&amp;"*",RTable[[#All],[Lab/PSC?]],"Lab")</f>
        <v>0</v>
      </c>
      <c r="D33" s="11">
        <f>COUNTIFS(RTable[[#All],[Location-Category]],"*"&amp;$B$33&amp;"*",RTable[[#All],[Acceptable Plastics]],"*"&amp;D24&amp;"*",RTable[[#All],[Lab/PSC?]],"Lab")</f>
        <v>0</v>
      </c>
      <c r="E33" s="11">
        <f>COUNTIFS(RTable[[#All],[Location-Category]],"*"&amp;$B$33&amp;"*",RTable[[#All],[Acceptable Plastics]],"*"&amp;E24&amp;"*",RTable[[#All],[Lab/PSC?]],"Lab")</f>
        <v>0</v>
      </c>
      <c r="F33" s="11">
        <f>COUNTIFS(RTable[[#All],[Location-Category]],"*"&amp;$B$33&amp;"*",RTable[[#All],[Acceptable Plastics]],"*"&amp;F24&amp;"*",RTable[[#All],[Lab/PSC?]],"Lab")</f>
        <v>0</v>
      </c>
      <c r="G33" s="11">
        <f>COUNTIFS(RTable[[#All],[Location-Category]],"*"&amp;$B$33&amp;"*",RTable[[#All],[Acceptable Plastics]],"*"&amp;G24&amp;"*",RTable[[#All],[Lab/PSC?]],"Lab")</f>
        <v>0</v>
      </c>
      <c r="H33" s="11">
        <f>COUNTIFS(RTable[[#All],[Location-Category]],"*"&amp;$B$33&amp;"*",RTable[[#All],[Acceptable Plastics]],"*"&amp;H24&amp;"*",RTable[[#All],[Lab/PSC?]],"Lab")</f>
        <v>0</v>
      </c>
      <c r="I33" s="11">
        <f>COUNTIFS(RTable[[#All],[Location-Category]],"*"&amp;$B$33&amp;"*",RTable[[#All],[Acceptable Plastics]],"*"&amp;I24&amp;"*",RTable[[#All],[Lab/PSC?]],"Lab")</f>
        <v>0</v>
      </c>
      <c r="J33" s="11">
        <f>COUNTIFS(RTable[[#All],[Location-Category]],"*"&amp;$B$33&amp;"*",RTable[[#All],[Acceptable Plastics]],"*"&amp;J24&amp;"*",RTable[[#All],[Lab/PSC?]],"Lab")</f>
        <v>0</v>
      </c>
      <c r="K33" s="57"/>
      <c r="L33" s="57"/>
    </row>
    <row r="34" spans="1:46" x14ac:dyDescent="0.25">
      <c r="A34" s="58" t="s">
        <v>574</v>
      </c>
      <c r="B34" s="14" t="s">
        <v>431</v>
      </c>
      <c r="C34" s="11">
        <f t="shared" ref="C34:J34" si="6">C31-C33</f>
        <v>0</v>
      </c>
      <c r="D34" s="11">
        <f t="shared" si="6"/>
        <v>0</v>
      </c>
      <c r="E34" s="11">
        <f t="shared" si="6"/>
        <v>0</v>
      </c>
      <c r="F34" s="11">
        <f t="shared" si="6"/>
        <v>0</v>
      </c>
      <c r="G34" s="11">
        <f t="shared" si="6"/>
        <v>0</v>
      </c>
      <c r="H34" s="11">
        <f t="shared" si="6"/>
        <v>0</v>
      </c>
      <c r="I34" s="11">
        <f t="shared" si="6"/>
        <v>0</v>
      </c>
      <c r="J34" s="11">
        <f t="shared" si="6"/>
        <v>1</v>
      </c>
      <c r="K34" s="57"/>
      <c r="L34" s="57"/>
    </row>
    <row r="35" spans="1:46" x14ac:dyDescent="0.25">
      <c r="A35" s="58" t="s">
        <v>574</v>
      </c>
      <c r="B35" s="14" t="s">
        <v>443</v>
      </c>
      <c r="C35" s="11">
        <f>COUNTIFS(RTable[[#All],[Location-Category]],"*"&amp;$B$35&amp;"*",RTable[[#All],[Acceptable Plastics]],"*"&amp;C24&amp;"*",RTable[[#All],[Lab/PSC?]],"Lab")</f>
        <v>0</v>
      </c>
      <c r="D35" s="11">
        <f>COUNTIFS(RTable[[#All],[Location-Category]],"*"&amp;$B$35&amp;"*",RTable[[#All],[Acceptable Plastics]],"*"&amp;D24&amp;"*",RTable[[#All],[Lab/PSC?]],"Lab")</f>
        <v>0</v>
      </c>
      <c r="E35" s="11">
        <f>COUNTIFS(RTable[[#All],[Location-Category]],"*"&amp;$B$35&amp;"*",RTable[[#All],[Acceptable Plastics]],"*"&amp;E24&amp;"*",RTable[[#All],[Lab/PSC?]],"Lab")</f>
        <v>0</v>
      </c>
      <c r="F35" s="11">
        <f>COUNTIFS(RTable[[#All],[Location-Category]],"*"&amp;$B$35&amp;"*",RTable[[#All],[Acceptable Plastics]],"*"&amp;F24&amp;"*",RTable[[#All],[Lab/PSC?]],"Lab")</f>
        <v>0</v>
      </c>
      <c r="G35" s="11">
        <f>COUNTIFS(RTable[[#All],[Location-Category]],"*"&amp;$B$35&amp;"*",RTable[[#All],[Acceptable Plastics]],"*"&amp;G24&amp;"*",RTable[[#All],[Lab/PSC?]],"Lab")</f>
        <v>0</v>
      </c>
      <c r="H35" s="11">
        <f>COUNTIFS(RTable[[#All],[Location-Category]],"*"&amp;$B$35&amp;"*",RTable[[#All],[Acceptable Plastics]],"*"&amp;H24&amp;"*",RTable[[#All],[Lab/PSC?]],"Lab")</f>
        <v>0</v>
      </c>
      <c r="I35" s="11">
        <f>COUNTIFS(RTable[[#All],[Location-Category]],"*"&amp;$B$35&amp;"*",RTable[[#All],[Acceptable Plastics]],"*"&amp;I24&amp;"*",RTable[[#All],[Lab/PSC?]],"Lab")</f>
        <v>0</v>
      </c>
      <c r="J35" s="11">
        <f>COUNTIFS(RTable[[#All],[Location-Category]],"*"&amp;$B$35&amp;"*",RTable[[#All],[Acceptable Plastics]],"*"&amp;J24&amp;"*",RTable[[#All],[Lab/PSC?]],"Lab")</f>
        <v>1</v>
      </c>
      <c r="K35" s="57"/>
      <c r="L35" s="57"/>
    </row>
    <row r="36" spans="1:46" x14ac:dyDescent="0.25">
      <c r="A36" s="60" t="s">
        <v>574</v>
      </c>
      <c r="B36" s="14" t="s">
        <v>444</v>
      </c>
      <c r="C36" s="11">
        <f t="shared" ref="C36:J36" si="7">C32-C35</f>
        <v>1</v>
      </c>
      <c r="D36" s="11">
        <f t="shared" si="7"/>
        <v>1</v>
      </c>
      <c r="E36" s="11">
        <f t="shared" si="7"/>
        <v>1</v>
      </c>
      <c r="F36" s="11">
        <f t="shared" si="7"/>
        <v>1</v>
      </c>
      <c r="G36" s="11">
        <f t="shared" si="7"/>
        <v>1</v>
      </c>
      <c r="H36" s="11">
        <f t="shared" si="7"/>
        <v>0</v>
      </c>
      <c r="I36" s="11">
        <f t="shared" si="7"/>
        <v>0</v>
      </c>
      <c r="J36" s="11">
        <f t="shared" si="7"/>
        <v>0</v>
      </c>
      <c r="K36" s="57"/>
      <c r="L36" s="57"/>
    </row>
    <row r="41" spans="1:46" x14ac:dyDescent="0.25">
      <c r="A41" s="10" t="s">
        <v>453</v>
      </c>
      <c r="AM41" s="29" t="s">
        <v>573</v>
      </c>
      <c r="AN41" t="s">
        <v>575</v>
      </c>
    </row>
    <row r="42" spans="1:46" x14ac:dyDescent="0.25">
      <c r="B42" s="10"/>
    </row>
    <row r="43" spans="1:46" ht="45.75" x14ac:dyDescent="0.25">
      <c r="A43" s="59" t="s">
        <v>573</v>
      </c>
      <c r="B43" s="62" t="s">
        <v>434</v>
      </c>
      <c r="C43" s="15" t="s">
        <v>454</v>
      </c>
      <c r="D43" s="33" t="s">
        <v>456</v>
      </c>
      <c r="E43" s="15" t="s">
        <v>455</v>
      </c>
      <c r="F43" s="33" t="s">
        <v>1731</v>
      </c>
      <c r="G43" s="67" t="s">
        <v>578</v>
      </c>
      <c r="H43" s="33" t="s">
        <v>576</v>
      </c>
      <c r="I43" s="33" t="s">
        <v>577</v>
      </c>
      <c r="AN43" s="29" t="s">
        <v>432</v>
      </c>
    </row>
    <row r="44" spans="1:46" x14ac:dyDescent="0.25">
      <c r="A44" s="58" t="s">
        <v>568</v>
      </c>
      <c r="B44" s="14" t="s">
        <v>18</v>
      </c>
      <c r="C44" s="11">
        <f>COUNTIFS(RTable[[#All],[Province]],"*"&amp;$B$44&amp;"*",RTable[[#All],[Status]],"*"&amp;C43&amp;"*",RTable[[#All],[Lab/PSC?]],"PSC")</f>
        <v>21</v>
      </c>
      <c r="D44" s="11">
        <f>COUNTIFS(RTable[[#All],[Province]],"*"&amp;$B$44&amp;"*",RTable[[#All],[Status]],"*"&amp;D43&amp;"*",RTable[[#All],[Lab/PSC?]],"PSC")</f>
        <v>26</v>
      </c>
      <c r="E44" s="11">
        <f>COUNTIFS(RTable[[#All],[Province]],"*"&amp;$B$44&amp;"*",RTable[[#All],[Status]],"*"&amp;E43&amp;"*",RTable[[#All],[Lab/PSC?]],"PSC")</f>
        <v>43</v>
      </c>
      <c r="F44" s="11">
        <f>COUNTIFS(RTable[[#All],[Province]],"*"&amp;$B$44&amp;"*",RTable[[#All],[Status]],"*"&amp;F43&amp;"*",RTable[[#All],[Lab/PSC?]],"PSC")</f>
        <v>10</v>
      </c>
      <c r="G44" s="11">
        <f>SUM(C44:D44)</f>
        <v>47</v>
      </c>
      <c r="H44" s="11">
        <f>E44</f>
        <v>43</v>
      </c>
      <c r="I44" s="11">
        <f>F44</f>
        <v>10</v>
      </c>
      <c r="AM44" s="29" t="s">
        <v>435</v>
      </c>
      <c r="AN44" t="s">
        <v>18</v>
      </c>
      <c r="AO44" t="s">
        <v>341</v>
      </c>
      <c r="AP44" t="s">
        <v>431</v>
      </c>
      <c r="AQ44" t="s">
        <v>20</v>
      </c>
      <c r="AR44" t="s">
        <v>443</v>
      </c>
      <c r="AS44" t="s">
        <v>444</v>
      </c>
      <c r="AT44" t="s">
        <v>433</v>
      </c>
    </row>
    <row r="45" spans="1:46" x14ac:dyDescent="0.25">
      <c r="A45" s="58" t="s">
        <v>568</v>
      </c>
      <c r="B45" s="14" t="s">
        <v>20</v>
      </c>
      <c r="C45" s="11">
        <f>COUNTIFS(RTable[[#All],[Province]],"*"&amp;$B$45&amp;"*",RTable[[#All],[Status]],"*"&amp;C43&amp;"*",RTable[[#All],[Lab/PSC?]],"PSC")</f>
        <v>6</v>
      </c>
      <c r="D45" s="11">
        <f>COUNTIFS(RTable[[#All],[Province]],"*"&amp;$B$45&amp;"*",RTable[[#All],[Status]],"*"&amp;D43&amp;"*",RTable[[#All],[Lab/PSC?]],"PSC")</f>
        <v>22</v>
      </c>
      <c r="E45" s="11">
        <f>COUNTIFS(RTable[[#All],[Province]],"*"&amp;$B$45&amp;"*",RTable[[#All],[Status]],"*"&amp;E43&amp;"*",RTable[[#All],[Lab/PSC?]],"PSC")</f>
        <v>18</v>
      </c>
      <c r="F45" s="11">
        <f>COUNTIFS(RTable[[#All],[Province]],"*"&amp;$B$45&amp;"*",RTable[[#All],[Status]],"*"&amp;F43&amp;"*",RTable[[#All],[Lab/PSC?]],"PSC")</f>
        <v>8</v>
      </c>
      <c r="G45" s="11">
        <f t="shared" ref="G45:G55" si="8">SUM(C45:D45)</f>
        <v>28</v>
      </c>
      <c r="H45" s="11">
        <f t="shared" ref="H45:H55" si="9">D45</f>
        <v>22</v>
      </c>
      <c r="I45" s="11">
        <f t="shared" ref="I45:I55" si="10">F45</f>
        <v>8</v>
      </c>
      <c r="AM45" s="31" t="s">
        <v>457</v>
      </c>
      <c r="AN45" s="32">
        <v>23</v>
      </c>
      <c r="AO45" s="32">
        <v>5</v>
      </c>
      <c r="AP45" s="32">
        <v>18</v>
      </c>
      <c r="AQ45" s="32">
        <v>7</v>
      </c>
      <c r="AR45" s="32">
        <v>2</v>
      </c>
      <c r="AS45" s="32">
        <v>5</v>
      </c>
      <c r="AT45" s="32">
        <v>60</v>
      </c>
    </row>
    <row r="46" spans="1:46" x14ac:dyDescent="0.25">
      <c r="A46" s="58" t="s">
        <v>568</v>
      </c>
      <c r="B46" s="14" t="s">
        <v>341</v>
      </c>
      <c r="C46" s="11">
        <f>COUNTIFS(RTable[[#All],[Location-Category]],"*"&amp;$B$46&amp;"*",RTable[[#All],[Status]],"*"&amp;C43&amp;"*",RTable[[#All],[Lab/PSC?]],"PSC")</f>
        <v>4</v>
      </c>
      <c r="D46" s="11">
        <f>COUNTIFS(RTable[[#All],[Location-Category]],"*"&amp;$B$46&amp;"*",RTable[[#All],[Status]],"*"&amp;D43&amp;"*",RTable[[#All],[Lab/PSC?]],"PSC")</f>
        <v>11</v>
      </c>
      <c r="E46" s="11">
        <f>COUNTIFS(RTable[[#All],[Location-Category]],"*"&amp;$B$46&amp;"*",RTable[[#All],[Status]],"*"&amp;E43&amp;"*",RTable[[#All],[Lab/PSC?]],"PSC")</f>
        <v>15</v>
      </c>
      <c r="F46" s="11">
        <f>COUNTIFS(RTable[[#All],[Location-Category]],"*"&amp;$B$46&amp;"*",RTable[[#All],[Status]],"*"&amp;F43&amp;"*",RTable[[#All],[Lab/PSC?]],"PSC")</f>
        <v>3</v>
      </c>
      <c r="G46" s="11">
        <f t="shared" si="8"/>
        <v>15</v>
      </c>
      <c r="H46" s="11">
        <f t="shared" si="9"/>
        <v>11</v>
      </c>
      <c r="I46" s="11">
        <f t="shared" si="10"/>
        <v>3</v>
      </c>
      <c r="AM46" s="31" t="s">
        <v>458</v>
      </c>
      <c r="AN46" s="32">
        <v>27</v>
      </c>
      <c r="AO46" s="32">
        <v>11</v>
      </c>
      <c r="AP46" s="32">
        <v>16</v>
      </c>
      <c r="AQ46" s="32">
        <v>22</v>
      </c>
      <c r="AR46" s="32">
        <v>5</v>
      </c>
      <c r="AS46" s="32">
        <v>17</v>
      </c>
      <c r="AT46" s="32">
        <v>98</v>
      </c>
    </row>
    <row r="47" spans="1:46" x14ac:dyDescent="0.25">
      <c r="A47" s="58" t="s">
        <v>568</v>
      </c>
      <c r="B47" s="14" t="s">
        <v>431</v>
      </c>
      <c r="C47" s="11">
        <f t="shared" ref="C47" si="11">C44-C46</f>
        <v>17</v>
      </c>
      <c r="D47" s="11">
        <f t="shared" ref="D47" si="12">D44-D46</f>
        <v>15</v>
      </c>
      <c r="E47" s="11">
        <f t="shared" ref="E47" si="13">E44-E46</f>
        <v>28</v>
      </c>
      <c r="F47" s="11">
        <f t="shared" ref="F47" si="14">F44-F46</f>
        <v>7</v>
      </c>
      <c r="G47" s="11">
        <f t="shared" si="8"/>
        <v>32</v>
      </c>
      <c r="H47" s="11">
        <f t="shared" si="9"/>
        <v>15</v>
      </c>
      <c r="I47" s="11">
        <f t="shared" si="10"/>
        <v>7</v>
      </c>
      <c r="AM47" s="31" t="s">
        <v>459</v>
      </c>
      <c r="AN47" s="32">
        <v>43</v>
      </c>
      <c r="AO47" s="32">
        <v>15</v>
      </c>
      <c r="AP47" s="32">
        <v>28</v>
      </c>
      <c r="AQ47" s="32">
        <v>18</v>
      </c>
      <c r="AR47" s="32">
        <v>5</v>
      </c>
      <c r="AS47" s="32">
        <v>13</v>
      </c>
      <c r="AT47" s="32">
        <v>122</v>
      </c>
    </row>
    <row r="48" spans="1:46" x14ac:dyDescent="0.25">
      <c r="A48" s="58" t="s">
        <v>568</v>
      </c>
      <c r="B48" s="14" t="s">
        <v>443</v>
      </c>
      <c r="C48" s="11">
        <f>COUNTIFS(RTable[[#All],[Location-Category]],"*"&amp;$B$48&amp;"*",RTable[[#All],[Status]],"*"&amp;C43&amp;"*",RTable[[#All],[Lab/PSC?]],"PSC")</f>
        <v>2</v>
      </c>
      <c r="D48" s="11">
        <f>COUNTIFS(RTable[[#All],[Location-Category]],"*"&amp;$B$48&amp;"*",RTable[[#All],[Status]],"*"&amp;D43&amp;"*",RTable[[#All],[Lab/PSC?]],"PSC")</f>
        <v>5</v>
      </c>
      <c r="E48" s="11">
        <f>COUNTIFS(RTable[[#All],[Location-Category]],"*"&amp;$B$48&amp;"*",RTable[[#All],[Status]],"*"&amp;E43&amp;"*",RTable[[#All],[Lab/PSC?]],"PSC")</f>
        <v>5</v>
      </c>
      <c r="F48" s="11">
        <f>COUNTIFS(RTable[[#All],[Location-Category]],"*"&amp;$B$48&amp;"*",RTable[[#All],[Status]],"*"&amp;F43&amp;"*",RTable[[#All],[Lab/PSC?]],"PSC")</f>
        <v>2</v>
      </c>
      <c r="G48" s="11">
        <f t="shared" si="8"/>
        <v>7</v>
      </c>
      <c r="H48" s="11">
        <f t="shared" si="9"/>
        <v>5</v>
      </c>
      <c r="I48" s="11">
        <f t="shared" si="10"/>
        <v>2</v>
      </c>
      <c r="AM48" s="31" t="s">
        <v>1732</v>
      </c>
      <c r="AN48" s="32">
        <v>11</v>
      </c>
      <c r="AO48" s="32">
        <v>3</v>
      </c>
      <c r="AP48" s="32">
        <v>8</v>
      </c>
      <c r="AQ48" s="32">
        <v>9</v>
      </c>
      <c r="AR48" s="32">
        <v>3</v>
      </c>
      <c r="AS48" s="32">
        <v>6</v>
      </c>
      <c r="AT48" s="32">
        <v>40</v>
      </c>
    </row>
    <row r="49" spans="1:46" x14ac:dyDescent="0.25">
      <c r="A49" s="58" t="s">
        <v>568</v>
      </c>
      <c r="B49" s="14" t="s">
        <v>444</v>
      </c>
      <c r="C49" s="11">
        <f>C45-C48</f>
        <v>4</v>
      </c>
      <c r="D49" s="11">
        <f>D45-D48</f>
        <v>17</v>
      </c>
      <c r="E49" s="11">
        <f>E45-E48</f>
        <v>13</v>
      </c>
      <c r="F49" s="11">
        <f>F45-F48</f>
        <v>6</v>
      </c>
      <c r="G49" s="11">
        <f t="shared" si="8"/>
        <v>21</v>
      </c>
      <c r="H49" s="11">
        <f t="shared" si="9"/>
        <v>17</v>
      </c>
      <c r="I49" s="11">
        <f t="shared" si="10"/>
        <v>6</v>
      </c>
    </row>
    <row r="50" spans="1:46" x14ac:dyDescent="0.25">
      <c r="A50" s="58" t="s">
        <v>574</v>
      </c>
      <c r="B50" s="14" t="s">
        <v>18</v>
      </c>
      <c r="C50" s="11">
        <f>COUNTIFS(RTable[[#All],[Province]],"*"&amp;$B$50&amp;"*",RTable[[#All],[Status]],"*"&amp;C43&amp;"*",RTable[[#All],[Lab/PSC?]],"Lab")</f>
        <v>2</v>
      </c>
      <c r="D50" s="11">
        <f>COUNTIFS(RTable[[#All],[Province]],"*"&amp;$B$50&amp;"*",RTable[[#All],[Status]],"*"&amp;D43&amp;"*",RTable[[#All],[Lab/PSC?]],"Lab")</f>
        <v>1</v>
      </c>
      <c r="E50" s="11">
        <f>COUNTIFS(RTable[[#All],[Province]],"*"&amp;$B$50&amp;"*",RTable[[#All],[Status]],"*"&amp;E43&amp;"*",RTable[[#All],[Lab/PSC?]],"Lab")</f>
        <v>0</v>
      </c>
      <c r="F50" s="11">
        <f>COUNTIFS(RTable[[#All],[Province]],"*"&amp;$B$50&amp;"*",RTable[[#All],[Status]],"*"&amp;F43&amp;"*",RTable[[#All],[Lab/PSC?]],"Lab")</f>
        <v>1</v>
      </c>
      <c r="G50" s="11">
        <f t="shared" si="8"/>
        <v>3</v>
      </c>
      <c r="H50" s="11">
        <f t="shared" si="9"/>
        <v>1</v>
      </c>
      <c r="I50" s="11">
        <f t="shared" si="10"/>
        <v>1</v>
      </c>
    </row>
    <row r="51" spans="1:46" x14ac:dyDescent="0.25">
      <c r="A51" s="58" t="s">
        <v>574</v>
      </c>
      <c r="B51" s="14" t="s">
        <v>20</v>
      </c>
      <c r="C51" s="11">
        <f>COUNTIFS(RTable[[#All],[Province]],"*"&amp;$B$51&amp;"*",RTable[[#All],[Status]],"*"&amp;C43&amp;"*",RTable[[#All],[Lab/PSC?]],"Lab")</f>
        <v>1</v>
      </c>
      <c r="D51" s="11">
        <f>COUNTIFS(RTable[[#All],[Province]],"*"&amp;$B$51&amp;"*",RTable[[#All],[Status]],"*"&amp;D43&amp;"*",RTable[[#All],[Lab/PSC?]],"Lab")</f>
        <v>0</v>
      </c>
      <c r="E51" s="11">
        <f>COUNTIFS(RTable[[#All],[Province]],"*"&amp;$B$51&amp;"*",RTable[[#All],[Status]],"*"&amp;E43&amp;"*",RTable[[#All],[Lab/PSC?]],"Lab")</f>
        <v>0</v>
      </c>
      <c r="F51" s="11">
        <f>COUNTIFS(RTable[[#All],[Province]],"*"&amp;$B$51&amp;"*",RTable[[#All],[Status]],"*"&amp;F43&amp;"*",RTable[[#All],[Lab/PSC?]],"Lab")</f>
        <v>1</v>
      </c>
      <c r="G51" s="11">
        <f t="shared" si="8"/>
        <v>1</v>
      </c>
      <c r="H51" s="11">
        <f t="shared" si="9"/>
        <v>0</v>
      </c>
      <c r="I51" s="11">
        <f t="shared" si="10"/>
        <v>1</v>
      </c>
    </row>
    <row r="52" spans="1:46" x14ac:dyDescent="0.25">
      <c r="A52" s="58" t="s">
        <v>574</v>
      </c>
      <c r="B52" s="14" t="s">
        <v>341</v>
      </c>
      <c r="C52" s="11">
        <f>COUNTIFS(RTable[[#All],[Location-Category]],"*"&amp;$B$52&amp;"*",RTable[[#All],[Status]],"*"&amp;C43&amp;"*",RTable[[#All],[Lab/PSC?]],"Lab")</f>
        <v>1</v>
      </c>
      <c r="D52" s="11">
        <f>COUNTIFS(RTable[[#All],[Location-Category]],"*"&amp;$B$52&amp;"*",RTable[[#All],[Status]],"*"&amp;D43&amp;"*",RTable[[#All],[Lab/PSC?]],"Lab")</f>
        <v>0</v>
      </c>
      <c r="E52" s="11">
        <f>COUNTIFS(RTable[[#All],[Location-Category]],"*"&amp;$B$52&amp;"*",RTable[[#All],[Status]],"*"&amp;E43&amp;"*",RTable[[#All],[Lab/PSC?]],"Lab")</f>
        <v>0</v>
      </c>
      <c r="F52" s="11">
        <f>COUNTIFS(RTable[[#All],[Location-Category]],"*"&amp;$B$52&amp;"*",RTable[[#All],[Status]],"*"&amp;F43&amp;"*",RTable[[#All],[Lab/PSC?]],"Lab")</f>
        <v>0</v>
      </c>
      <c r="G52" s="11">
        <f t="shared" si="8"/>
        <v>1</v>
      </c>
      <c r="H52" s="11">
        <f t="shared" si="9"/>
        <v>0</v>
      </c>
      <c r="I52" s="11">
        <f t="shared" si="10"/>
        <v>0</v>
      </c>
    </row>
    <row r="53" spans="1:46" x14ac:dyDescent="0.25">
      <c r="A53" s="58" t="s">
        <v>574</v>
      </c>
      <c r="B53" s="14" t="s">
        <v>431</v>
      </c>
      <c r="C53" s="11">
        <f t="shared" ref="C53:F53" si="15">C50-C52</f>
        <v>1</v>
      </c>
      <c r="D53" s="11">
        <f t="shared" si="15"/>
        <v>1</v>
      </c>
      <c r="E53" s="11">
        <f t="shared" si="15"/>
        <v>0</v>
      </c>
      <c r="F53" s="11">
        <f t="shared" si="15"/>
        <v>1</v>
      </c>
      <c r="G53" s="11">
        <f t="shared" si="8"/>
        <v>2</v>
      </c>
      <c r="H53" s="11">
        <f t="shared" si="9"/>
        <v>1</v>
      </c>
      <c r="I53" s="11">
        <f t="shared" si="10"/>
        <v>1</v>
      </c>
      <c r="AN53" s="29" t="s">
        <v>432</v>
      </c>
    </row>
    <row r="54" spans="1:46" x14ac:dyDescent="0.25">
      <c r="A54" s="58" t="s">
        <v>574</v>
      </c>
      <c r="B54" s="14" t="s">
        <v>443</v>
      </c>
      <c r="C54" s="11">
        <f>COUNTIFS(RTable[[#All],[Location-Category]],"*"&amp;$B$54&amp;"*",RTable[[#All],[Status]],"*"&amp;C43&amp;"*",RTable[[#All],[Lab/PSC?]],"Lab")</f>
        <v>0</v>
      </c>
      <c r="D54" s="11">
        <f>COUNTIFS(RTable[[#All],[Location-Category]],"*"&amp;$B$54&amp;"*",RTable[[#All],[Status]],"*"&amp;D43&amp;"*",RTable[[#All],[Lab/PSC?]],"Lab")</f>
        <v>0</v>
      </c>
      <c r="E54" s="11">
        <f>COUNTIFS(RTable[[#All],[Location-Category]],"*"&amp;$B$54&amp;"*",RTable[[#All],[Status]],"*"&amp;E43&amp;"*",RTable[[#All],[Lab/PSC?]],"Lab")</f>
        <v>0</v>
      </c>
      <c r="F54" s="11">
        <f>COUNTIFS(RTable[[#All],[Location-Category]],"*"&amp;$B$54&amp;"*",RTable[[#All],[Status]],"*"&amp;F43&amp;"*",RTable[[#All],[Lab/PSC?]],"Lab")</f>
        <v>1</v>
      </c>
      <c r="G54" s="11">
        <f t="shared" si="8"/>
        <v>0</v>
      </c>
      <c r="H54" s="11">
        <f t="shared" si="9"/>
        <v>0</v>
      </c>
      <c r="I54" s="11">
        <f t="shared" si="10"/>
        <v>1</v>
      </c>
      <c r="AM54" s="29" t="s">
        <v>435</v>
      </c>
      <c r="AN54" t="s">
        <v>18</v>
      </c>
      <c r="AO54" t="s">
        <v>341</v>
      </c>
      <c r="AP54" t="s">
        <v>431</v>
      </c>
      <c r="AQ54" t="s">
        <v>20</v>
      </c>
      <c r="AR54" t="s">
        <v>443</v>
      </c>
      <c r="AS54" t="s">
        <v>444</v>
      </c>
      <c r="AT54" t="s">
        <v>433</v>
      </c>
    </row>
    <row r="55" spans="1:46" x14ac:dyDescent="0.25">
      <c r="A55" s="60" t="s">
        <v>574</v>
      </c>
      <c r="B55" s="14" t="s">
        <v>444</v>
      </c>
      <c r="C55" s="11">
        <f>C51-C54</f>
        <v>1</v>
      </c>
      <c r="D55" s="11">
        <f>D51-D54</f>
        <v>0</v>
      </c>
      <c r="E55" s="11">
        <f>E51-E54</f>
        <v>0</v>
      </c>
      <c r="F55" s="11">
        <f>F51-F54</f>
        <v>0</v>
      </c>
      <c r="G55" s="11">
        <f t="shared" si="8"/>
        <v>1</v>
      </c>
      <c r="H55" s="11">
        <f t="shared" si="9"/>
        <v>0</v>
      </c>
      <c r="I55" s="11">
        <f t="shared" si="10"/>
        <v>0</v>
      </c>
      <c r="AM55" s="31" t="s">
        <v>579</v>
      </c>
      <c r="AN55" s="32">
        <v>50</v>
      </c>
      <c r="AO55" s="32">
        <v>16</v>
      </c>
      <c r="AP55" s="32">
        <v>34</v>
      </c>
      <c r="AQ55" s="32">
        <v>29</v>
      </c>
      <c r="AR55" s="32">
        <v>7</v>
      </c>
      <c r="AS55" s="32">
        <v>22</v>
      </c>
      <c r="AT55" s="32">
        <v>158</v>
      </c>
    </row>
    <row r="56" spans="1:46" x14ac:dyDescent="0.25">
      <c r="AM56" s="31" t="s">
        <v>580</v>
      </c>
      <c r="AN56" s="32">
        <v>44</v>
      </c>
      <c r="AO56" s="32">
        <v>11</v>
      </c>
      <c r="AP56" s="32">
        <v>16</v>
      </c>
      <c r="AQ56" s="32">
        <v>22</v>
      </c>
      <c r="AR56" s="32">
        <v>5</v>
      </c>
      <c r="AS56" s="32">
        <v>17</v>
      </c>
      <c r="AT56" s="32">
        <v>115</v>
      </c>
    </row>
    <row r="57" spans="1:46" x14ac:dyDescent="0.25">
      <c r="AM57" s="31" t="s">
        <v>581</v>
      </c>
      <c r="AN57" s="32">
        <v>11</v>
      </c>
      <c r="AO57" s="32">
        <v>3</v>
      </c>
      <c r="AP57" s="32">
        <v>8</v>
      </c>
      <c r="AQ57" s="32">
        <v>9</v>
      </c>
      <c r="AR57" s="32">
        <v>3</v>
      </c>
      <c r="AS57" s="32">
        <v>6</v>
      </c>
      <c r="AT57" s="32">
        <v>40</v>
      </c>
    </row>
    <row r="58" spans="1:46" x14ac:dyDescent="0.25">
      <c r="A58" s="26" t="s">
        <v>347</v>
      </c>
      <c r="B58" s="27"/>
      <c r="C58" s="27"/>
      <c r="D58" s="118"/>
      <c r="E58" s="27"/>
      <c r="F58" s="27"/>
      <c r="AQ58" s="32"/>
    </row>
    <row r="59" spans="1:46" ht="15" customHeight="1" x14ac:dyDescent="0.25">
      <c r="A59" s="171" t="s">
        <v>1728</v>
      </c>
      <c r="B59" s="171"/>
      <c r="C59" s="171"/>
      <c r="D59" s="171"/>
      <c r="E59" s="171"/>
      <c r="F59" s="171"/>
      <c r="G59" s="171"/>
      <c r="H59" s="171"/>
      <c r="I59" s="171"/>
      <c r="AQ59" s="32"/>
    </row>
    <row r="60" spans="1:46" ht="15" customHeight="1" x14ac:dyDescent="0.25">
      <c r="A60" s="171" t="s">
        <v>566</v>
      </c>
      <c r="B60" s="171"/>
      <c r="C60" s="171"/>
      <c r="D60" s="171"/>
      <c r="E60" s="171"/>
      <c r="F60" s="171"/>
      <c r="G60" s="171"/>
      <c r="H60" s="171"/>
      <c r="I60" s="171"/>
      <c r="AQ60" s="32"/>
    </row>
    <row r="61" spans="1:46" ht="15" customHeight="1" x14ac:dyDescent="0.25">
      <c r="A61" s="171" t="s">
        <v>1730</v>
      </c>
      <c r="B61" s="171"/>
      <c r="C61" s="171"/>
      <c r="D61" s="171"/>
      <c r="E61" s="171"/>
      <c r="F61" s="171"/>
      <c r="G61" s="171"/>
      <c r="H61" s="171"/>
      <c r="I61" s="171"/>
      <c r="AP61" s="32"/>
      <c r="AQ61" s="32"/>
    </row>
    <row r="62" spans="1:46" ht="15" customHeight="1" x14ac:dyDescent="0.25">
      <c r="A62" s="171" t="s">
        <v>1729</v>
      </c>
      <c r="B62" s="171"/>
      <c r="C62" s="171"/>
      <c r="D62" s="171"/>
      <c r="E62" s="171"/>
      <c r="F62" s="171"/>
      <c r="G62" s="171"/>
      <c r="H62" s="171"/>
      <c r="I62" s="171"/>
      <c r="AP62" s="32"/>
      <c r="AQ62" s="32"/>
    </row>
    <row r="65" spans="1:5" x14ac:dyDescent="0.25">
      <c r="A65" s="10" t="s">
        <v>37</v>
      </c>
    </row>
    <row r="66" spans="1:5" x14ac:dyDescent="0.25">
      <c r="B66" s="10"/>
    </row>
    <row r="67" spans="1:5" x14ac:dyDescent="0.25">
      <c r="A67" s="65" t="s">
        <v>573</v>
      </c>
      <c r="B67" s="64" t="s">
        <v>434</v>
      </c>
      <c r="C67" s="13" t="s">
        <v>3</v>
      </c>
      <c r="D67" s="13" t="s">
        <v>1</v>
      </c>
      <c r="E67" s="13" t="s">
        <v>39</v>
      </c>
    </row>
    <row r="68" spans="1:5" x14ac:dyDescent="0.25">
      <c r="A68" s="66" t="s">
        <v>568</v>
      </c>
      <c r="B68" s="12" t="s">
        <v>18</v>
      </c>
      <c r="C68" s="11">
        <f>COUNTIFS(RTable[[#All],[Province]],"*"&amp;$B$68&amp;"*",RTable[[#All],[Mixed Paper Acceptable?]],"*"&amp;C67&amp;"*",RTable[[#All],[Lab/PSC?]],"PSC")</f>
        <v>47</v>
      </c>
      <c r="D68" s="11">
        <f>COUNTIFS(RTable[[#All],[Province]],"*"&amp;$B$68&amp;"*",RTable[[#All],[Mixed Paper Acceptable?]],"*"&amp;D67&amp;"*",RTable[[#All],[Lab/PSC?]],"PSC")</f>
        <v>40</v>
      </c>
      <c r="E68" s="11">
        <f>COUNTIFS(RTable[[#All],[Province]],"*"&amp;$B$68&amp;"*",RTable[[#All],[Mixed Paper Acceptable?]],"*"&amp;E67&amp;"*",RTable[[#All],[Lab/PSC?]],"PSC")</f>
        <v>13</v>
      </c>
    </row>
    <row r="69" spans="1:5" x14ac:dyDescent="0.25">
      <c r="A69" s="66" t="s">
        <v>568</v>
      </c>
      <c r="B69" s="12" t="s">
        <v>20</v>
      </c>
      <c r="C69" s="11">
        <f>COUNTIFS(RTable[[#All],[Province]],"*"&amp;$B$69&amp;"*",RTable[[#All],[Mixed Paper Acceptable?]],"*"&amp;C67&amp;"*",RTable[[#All],[Lab/PSC?]],"PSC")</f>
        <v>27</v>
      </c>
      <c r="D69" s="11">
        <f>COUNTIFS(RTable[[#All],[Province]],"*"&amp;$B$69&amp;"*",RTable[[#All],[Mixed Paper Acceptable?]],"*"&amp;D67&amp;"*",RTable[[#All],[Lab/PSC?]],"PSC")</f>
        <v>12</v>
      </c>
      <c r="E69" s="11">
        <f>COUNTIFS(RTable[[#All],[Province]],"*"&amp;$B$69&amp;"*",RTable[[#All],[Mixed Paper Acceptable?]],"*"&amp;E67&amp;"*",RTable[[#All],[Lab/PSC?]],"PSC")</f>
        <v>15</v>
      </c>
    </row>
    <row r="70" spans="1:5" x14ac:dyDescent="0.25">
      <c r="A70" s="66" t="s">
        <v>568</v>
      </c>
      <c r="B70" s="12" t="s">
        <v>341</v>
      </c>
      <c r="C70" s="11">
        <f>COUNTIFS(RTable[[#All],[Location-Category]],"*"&amp;$B$70&amp;"*",RTable[[#All],[Mixed Paper Acceptable?]],"*"&amp;C67&amp;"*",RTable[[#All],[Lab/PSC?]],"PSC")</f>
        <v>15</v>
      </c>
      <c r="D70" s="11">
        <f>COUNTIFS(RTable[[#All],[Location-Category]],"*"&amp;$B$70&amp;"*",RTable[[#All],[Mixed Paper Acceptable?]],"*"&amp;D67&amp;"*",RTable[[#All],[Lab/PSC?]],"PSC")</f>
        <v>14</v>
      </c>
      <c r="E70" s="11">
        <f>COUNTIFS(RTable[[#All],[Location-Category]],"*"&amp;$B$70&amp;"*",RTable[[#All],[Mixed Paper Acceptable?]],"*"&amp;E67&amp;"*",RTable[[#All],[Lab/PSC?]],"PSC")</f>
        <v>4</v>
      </c>
    </row>
    <row r="71" spans="1:5" x14ac:dyDescent="0.25">
      <c r="A71" s="66" t="s">
        <v>568</v>
      </c>
      <c r="B71" s="12" t="s">
        <v>431</v>
      </c>
      <c r="C71" s="11">
        <f>C68-C70</f>
        <v>32</v>
      </c>
      <c r="D71" s="11">
        <f>D68-D70</f>
        <v>26</v>
      </c>
      <c r="E71" s="11">
        <f>E68-E70</f>
        <v>9</v>
      </c>
    </row>
    <row r="72" spans="1:5" x14ac:dyDescent="0.25">
      <c r="A72" s="66" t="s">
        <v>568</v>
      </c>
      <c r="B72" s="12" t="s">
        <v>443</v>
      </c>
      <c r="C72" s="11">
        <f>COUNTIFS(RTable[[#All],[Location-Category]],"*"&amp;$B$72&amp;"*",RTable[[#All],[Mixed Paper Acceptable?]],"*"&amp;C67&amp;"*",RTable[[#All],[Lab/PSC?]],"PSC")</f>
        <v>8</v>
      </c>
      <c r="D72" s="11">
        <f>COUNTIFS(RTable[[#All],[Location-Category]],"*"&amp;$B$72&amp;"*",RTable[[#All],[Mixed Paper Acceptable?]],"*"&amp;D67&amp;"*",RTable[[#All],[Lab/PSC?]],"PSC")</f>
        <v>2</v>
      </c>
      <c r="E72" s="11">
        <f>COUNTIFS(RTable[[#All],[Location-Category]],"*"&amp;$B$72&amp;"*",RTable[[#All],[Mixed Paper Acceptable?]],"*"&amp;E67&amp;"*",RTable[[#All],[Lab/PSC?]],"PSC")</f>
        <v>4</v>
      </c>
    </row>
    <row r="73" spans="1:5" x14ac:dyDescent="0.25">
      <c r="A73" s="66" t="s">
        <v>568</v>
      </c>
      <c r="B73" s="12" t="s">
        <v>444</v>
      </c>
      <c r="C73" s="11">
        <f>C69-C72</f>
        <v>19</v>
      </c>
      <c r="D73" s="11">
        <f>D69-D72</f>
        <v>10</v>
      </c>
      <c r="E73" s="11">
        <f>E69-E72</f>
        <v>11</v>
      </c>
    </row>
    <row r="74" spans="1:5" x14ac:dyDescent="0.25">
      <c r="A74" s="66" t="s">
        <v>574</v>
      </c>
      <c r="B74" s="12" t="s">
        <v>18</v>
      </c>
      <c r="C74" s="11">
        <f>COUNTIFS(RTable[[#All],[Province]],"*"&amp;$B$74&amp;"*",RTable[[#All],[Mixed Paper Acceptable?]],"*"&amp;C67&amp;"*",RTable[[#All],[Lab/PSC?]],"Lab")</f>
        <v>2</v>
      </c>
      <c r="D74" s="11">
        <f>COUNTIFS(RTable[[#All],[Province]],"*"&amp;$B$74&amp;"*",RTable[[#All],[Mixed Paper Acceptable?]],"*"&amp;D67&amp;"*",RTable[[#All],[Lab/PSC?]],"Lab")</f>
        <v>1</v>
      </c>
      <c r="E74" s="11">
        <f>COUNTIFS(RTable[[#All],[Province]],"*"&amp;$B$74&amp;"*",RTable[[#All],[Mixed Paper Acceptable?]],"*"&amp;E67&amp;"*",RTable[[#All],[Lab/PSC?]],"Lab")</f>
        <v>1</v>
      </c>
    </row>
    <row r="75" spans="1:5" x14ac:dyDescent="0.25">
      <c r="A75" s="66" t="s">
        <v>574</v>
      </c>
      <c r="B75" s="12" t="s">
        <v>20</v>
      </c>
      <c r="C75" s="11">
        <f>COUNTIFS(RTable[[#All],[Province]],"*"&amp;$B$75&amp;"*",RTable[[#All],[Mixed Paper Acceptable?]],"*"&amp;C67&amp;"*",RTable[[#All],[Lab/PSC?]],"Lab")</f>
        <v>1</v>
      </c>
      <c r="D75" s="11">
        <f>COUNTIFS(RTable[[#All],[Province]],"*"&amp;$B$75&amp;"*",RTable[[#All],[Mixed Paper Acceptable?]],"*"&amp;D67&amp;"*",RTable[[#All],[Lab/PSC?]],"Lab")</f>
        <v>0</v>
      </c>
      <c r="E75" s="11">
        <f>COUNTIFS(RTable[[#All],[Province]],"*"&amp;$B$75&amp;"*",RTable[[#All],[Mixed Paper Acceptable?]],"*"&amp;E67&amp;"*",RTable[[#All],[Lab/PSC?]],"Lab")</f>
        <v>1</v>
      </c>
    </row>
    <row r="76" spans="1:5" x14ac:dyDescent="0.25">
      <c r="A76" s="66" t="s">
        <v>574</v>
      </c>
      <c r="B76" s="12" t="s">
        <v>341</v>
      </c>
      <c r="C76" s="11">
        <f>COUNTIFS(RTable[[#All],[Location-Category]],"*"&amp;$B$76&amp;"*",RTable[[#All],[Mixed Paper Acceptable?]],"*"&amp;C67&amp;"*",RTable[[#All],[Lab/PSC?]],"Lab")</f>
        <v>1</v>
      </c>
      <c r="D76" s="11">
        <f>COUNTIFS(RTable[[#All],[Location-Category]],"*"&amp;$B$76&amp;"*",RTable[[#All],[Mixed Paper Acceptable?]],"*"&amp;D67&amp;"*",RTable[[#All],[Lab/PSC?]],"Lab")</f>
        <v>0</v>
      </c>
      <c r="E76" s="11">
        <f>COUNTIFS(RTable[[#All],[Location-Category]],"*"&amp;$B$76&amp;"*",RTable[[#All],[Mixed Paper Acceptable?]],"*"&amp;E67&amp;"*",RTable[[#All],[Lab/PSC?]],"Lab")</f>
        <v>0</v>
      </c>
    </row>
    <row r="77" spans="1:5" x14ac:dyDescent="0.25">
      <c r="A77" s="66" t="s">
        <v>574</v>
      </c>
      <c r="B77" s="12" t="s">
        <v>431</v>
      </c>
      <c r="C77" s="11">
        <f>C74-C76</f>
        <v>1</v>
      </c>
      <c r="D77" s="11">
        <f>D74-D76</f>
        <v>1</v>
      </c>
      <c r="E77" s="11">
        <f>E74-E76</f>
        <v>1</v>
      </c>
    </row>
    <row r="78" spans="1:5" x14ac:dyDescent="0.25">
      <c r="A78" s="66" t="s">
        <v>574</v>
      </c>
      <c r="B78" s="12" t="s">
        <v>443</v>
      </c>
      <c r="C78" s="11">
        <f>COUNTIFS(RTable[[#All],[Location-Category]],"*"&amp;$B$78&amp;"*",RTable[[#All],[Mixed Paper Acceptable?]],"*"&amp;C67&amp;"*",RTable[[#All],[Lab/PSC?]],"Lab")</f>
        <v>0</v>
      </c>
      <c r="D78" s="11">
        <f>COUNTIFS(RTable[[#All],[Location-Category]],"*"&amp;$B$78&amp;"*",RTable[[#All],[Mixed Paper Acceptable?]],"*"&amp;D67&amp;"*",RTable[[#All],[Lab/PSC?]],"Lab")</f>
        <v>0</v>
      </c>
      <c r="E78" s="11">
        <f>COUNTIFS(RTable[[#All],[Location-Category]],"*"&amp;$B$78&amp;"*",RTable[[#All],[Mixed Paper Acceptable?]],"*"&amp;E67&amp;"*",RTable[[#All],[Lab/PSC?]],"Lab")</f>
        <v>1</v>
      </c>
    </row>
    <row r="79" spans="1:5" x14ac:dyDescent="0.25">
      <c r="A79" s="66" t="s">
        <v>574</v>
      </c>
      <c r="B79" s="12" t="s">
        <v>444</v>
      </c>
      <c r="C79" s="11">
        <f>C75-C78</f>
        <v>1</v>
      </c>
      <c r="D79" s="11">
        <f>D75-D78</f>
        <v>0</v>
      </c>
      <c r="E79" s="11">
        <f>E75-E78</f>
        <v>0</v>
      </c>
    </row>
    <row r="82" spans="1:5" x14ac:dyDescent="0.25">
      <c r="A82" s="10" t="s">
        <v>38</v>
      </c>
      <c r="C82" s="10"/>
      <c r="D82" s="10"/>
      <c r="E82" s="10"/>
    </row>
    <row r="84" spans="1:5" x14ac:dyDescent="0.25">
      <c r="A84" s="30" t="s">
        <v>573</v>
      </c>
      <c r="B84" s="64" t="s">
        <v>434</v>
      </c>
      <c r="C84" s="13" t="s">
        <v>3</v>
      </c>
      <c r="D84" s="13" t="s">
        <v>1</v>
      </c>
      <c r="E84" s="13" t="s">
        <v>39</v>
      </c>
    </row>
    <row r="85" spans="1:5" x14ac:dyDescent="0.25">
      <c r="A85" s="56" t="s">
        <v>568</v>
      </c>
      <c r="B85" s="12" t="s">
        <v>18</v>
      </c>
      <c r="C85" s="11">
        <f>COUNTIFS(RTable[[#All],[Province]],"*"&amp;$B$85&amp;"*",RTable[[#All],[Plastics, glass, cans acceptable?]],"*"&amp;C84&amp;"*",RTable[[#All],[Lab/PSC?]],"PSC")</f>
        <v>40</v>
      </c>
      <c r="D85" s="11">
        <f>COUNTIFS(RTable[[#All],[Province]],"*"&amp;$B$85&amp;"*",RTable[[#All],[Plastics, glass, cans acceptable?]],"*"&amp;D84&amp;"*",RTable[[#All],[Lab/PSC?]],"PSC")</f>
        <v>38</v>
      </c>
      <c r="E85" s="11">
        <f>COUNTIFS(RTable[[#All],[Province]],"*"&amp;$B$85&amp;"*",RTable[[#All],[Plastics, glass, cans acceptable?]],"*"&amp;E84&amp;"*",RTable[[#All],[Lab/PSC?]],"PSC")</f>
        <v>22</v>
      </c>
    </row>
    <row r="86" spans="1:5" x14ac:dyDescent="0.25">
      <c r="A86" s="56" t="s">
        <v>568</v>
      </c>
      <c r="B86" s="12" t="s">
        <v>20</v>
      </c>
      <c r="C86" s="11">
        <f>COUNTIFS(RTable[[#All],[Province]],"*"&amp;$B$86&amp;"*",RTable[[#All],[Plastics, glass, cans acceptable?]],"*"&amp;C84&amp;"*",RTable[[#All],[Lab/PSC?]],"PSC")</f>
        <v>27</v>
      </c>
      <c r="D86" s="11">
        <f>COUNTIFS(RTable[[#All],[Province]],"*"&amp;$B$86&amp;"*",RTable[[#All],[Plastics, glass, cans acceptable?]],"*"&amp;D84&amp;"*",RTable[[#All],[Lab/PSC?]],"PSC")</f>
        <v>7</v>
      </c>
      <c r="E86" s="11">
        <f>COUNTIFS(RTable[[#All],[Province]],"*"&amp;$B$86&amp;"*",RTable[[#All],[Plastics, glass, cans acceptable?]],"*"&amp;E84&amp;"*",RTable[[#All],[Lab/PSC?]],"PSC")</f>
        <v>20</v>
      </c>
    </row>
    <row r="87" spans="1:5" x14ac:dyDescent="0.25">
      <c r="A87" s="56" t="s">
        <v>568</v>
      </c>
      <c r="B87" s="12" t="s">
        <v>341</v>
      </c>
      <c r="C87" s="11">
        <f>COUNTIFS(RTable[[#All],[Location-Category]],"*"&amp;$B$87&amp;"*",RTable[[#All],[Plastics, glass, cans acceptable?]],"*"&amp;C84&amp;"*",RTable[[#All],[Lab/PSC?]],"PSC")</f>
        <v>13</v>
      </c>
      <c r="D87" s="11">
        <f>COUNTIFS(RTable[[#All],[Location-Category]],"*"&amp;$B$87&amp;"*",RTable[[#All],[Plastics, glass, cans acceptable?]],"*"&amp;D84&amp;"*",RTable[[#All],[Lab/PSC?]],"PSC")</f>
        <v>12</v>
      </c>
      <c r="E87" s="11">
        <f>COUNTIFS(RTable[[#All],[Location-Category]],"*"&amp;$B$87&amp;"*",RTable[[#All],[Plastics, glass, cans acceptable?]],"*"&amp;E84&amp;"*",RTable[[#All],[Lab/PSC?]],"PSC")</f>
        <v>8</v>
      </c>
    </row>
    <row r="88" spans="1:5" x14ac:dyDescent="0.25">
      <c r="A88" s="56" t="s">
        <v>568</v>
      </c>
      <c r="B88" s="12" t="s">
        <v>431</v>
      </c>
      <c r="C88" s="11">
        <f>C85-C87</f>
        <v>27</v>
      </c>
      <c r="D88" s="11">
        <f>D85-D87</f>
        <v>26</v>
      </c>
      <c r="E88" s="11">
        <f>E85-E87</f>
        <v>14</v>
      </c>
    </row>
    <row r="89" spans="1:5" x14ac:dyDescent="0.25">
      <c r="A89" s="56" t="s">
        <v>568</v>
      </c>
      <c r="B89" s="12" t="s">
        <v>443</v>
      </c>
      <c r="C89" s="11">
        <f>COUNTIFS(RTable[[#All],[Location-Category]],"*"&amp;$B$89&amp;"*",RTable[[#All],[Plastics, glass, cans acceptable?]],"*"&amp;C84&amp;"*",RTable[[#All],[Lab/PSC?]],"PSC")</f>
        <v>6</v>
      </c>
      <c r="D89" s="11">
        <f>COUNTIFS(RTable[[#All],[Location-Category]],"*"&amp;$B$89&amp;"*",RTable[[#All],[Plastics, glass, cans acceptable?]],"*"&amp;D84&amp;"*",RTable[[#All],[Lab/PSC?]],"PSC")</f>
        <v>3</v>
      </c>
      <c r="E89" s="11">
        <f>COUNTIFS(RTable[[#All],[Location-Category]],"*"&amp;$B$89&amp;"*",RTable[[#All],[Plastics, glass, cans acceptable?]],"*"&amp;E84&amp;"*",RTable[[#All],[Lab/PSC?]],"PSC")</f>
        <v>5</v>
      </c>
    </row>
    <row r="90" spans="1:5" x14ac:dyDescent="0.25">
      <c r="A90" s="56" t="s">
        <v>568</v>
      </c>
      <c r="B90" s="12" t="s">
        <v>444</v>
      </c>
      <c r="C90" s="11">
        <f>C86-C89</f>
        <v>21</v>
      </c>
      <c r="D90" s="11">
        <f>D86-D89</f>
        <v>4</v>
      </c>
      <c r="E90" s="11">
        <f>E86-E89</f>
        <v>15</v>
      </c>
    </row>
    <row r="91" spans="1:5" x14ac:dyDescent="0.25">
      <c r="A91" s="56" t="s">
        <v>574</v>
      </c>
      <c r="B91" s="12" t="s">
        <v>18</v>
      </c>
      <c r="C91" s="11">
        <f>COUNTIFS(RTable[[#All],[Province]],"*"&amp;$B$91&amp;"*",RTable[[#All],[Plastics, glass, cans acceptable?]],"*"&amp;C84&amp;"*",RTable[[#All],[Lab/PSC?]],"Lab")</f>
        <v>3</v>
      </c>
      <c r="D91" s="11">
        <f>COUNTIFS(RTable[[#All],[Province]],"*"&amp;$B$91&amp;"*",RTable[[#All],[Plastics, glass, cans acceptable?]],"*"&amp;D84&amp;"*",RTable[[#All],[Lab/PSC?]],"Lab")</f>
        <v>0</v>
      </c>
      <c r="E91" s="11">
        <f>COUNTIFS(RTable[[#All],[Province]],"*"&amp;$B$91&amp;"*",RTable[[#All],[Plastics, glass, cans acceptable?]],"*"&amp;E84&amp;"*",RTable[[#All],[Lab/PSC?]],"Lab")</f>
        <v>1</v>
      </c>
    </row>
    <row r="92" spans="1:5" x14ac:dyDescent="0.25">
      <c r="A92" s="56" t="s">
        <v>574</v>
      </c>
      <c r="B92" s="12" t="s">
        <v>20</v>
      </c>
      <c r="C92" s="11">
        <f>COUNTIFS(RTable[[#All],[Province]],"*"&amp;$B$92&amp;"*",RTable[[#All],[Plastics, glass, cans acceptable?]],"*"&amp;C84&amp;"*",RTable[[#All],[Lab/PSC?]],"Lab")</f>
        <v>1</v>
      </c>
      <c r="D92" s="11">
        <f>COUNTIFS(RTable[[#All],[Province]],"*"&amp;$B$92&amp;"*",RTable[[#All],[Plastics, glass, cans acceptable?]],"*"&amp;D84&amp;"*",RTable[[#All],[Lab/PSC?]],"Lab")</f>
        <v>0</v>
      </c>
      <c r="E92" s="11">
        <f>COUNTIFS(RTable[[#All],[Province]],"*"&amp;$B$92&amp;"*",RTable[[#All],[Plastics, glass, cans acceptable?]],"*"&amp;E84&amp;"*",RTable[[#All],[Lab/PSC?]],"Lab")</f>
        <v>1</v>
      </c>
    </row>
    <row r="93" spans="1:5" x14ac:dyDescent="0.25">
      <c r="A93" s="56" t="s">
        <v>574</v>
      </c>
      <c r="B93" s="12" t="s">
        <v>341</v>
      </c>
      <c r="C93" s="11">
        <f>COUNTIFS(RTable[[#All],[Location-Category]],"*"&amp;$B$93&amp;"*",RTable[[#All],[Plastics, glass, cans acceptable?]],"*"&amp;C84&amp;"*",RTable[[#All],[Lab/PSC?]],"Lab")</f>
        <v>1</v>
      </c>
      <c r="D93" s="11">
        <f>COUNTIFS(RTable[[#All],[Location-Category]],"*"&amp;$B$93&amp;"*",RTable[[#All],[Plastics, glass, cans acceptable?]],"*"&amp;D84&amp;"*",RTable[[#All],[Lab/PSC?]],"Lab")</f>
        <v>0</v>
      </c>
      <c r="E93" s="11">
        <f>COUNTIFS(RTable[[#All],[Location-Category]],"*"&amp;$B$93&amp;"*",RTable[[#All],[Plastics, glass, cans acceptable?]],"*"&amp;E84&amp;"*",RTable[[#All],[Lab/PSC?]],"Lab")</f>
        <v>0</v>
      </c>
    </row>
    <row r="94" spans="1:5" x14ac:dyDescent="0.25">
      <c r="A94" s="56" t="s">
        <v>574</v>
      </c>
      <c r="B94" s="12" t="s">
        <v>431</v>
      </c>
      <c r="C94" s="11">
        <f>C91-C93</f>
        <v>2</v>
      </c>
      <c r="D94" s="11">
        <f>D91-D93</f>
        <v>0</v>
      </c>
      <c r="E94" s="11">
        <f>E91-E93</f>
        <v>1</v>
      </c>
    </row>
    <row r="95" spans="1:5" x14ac:dyDescent="0.25">
      <c r="A95" s="56" t="s">
        <v>574</v>
      </c>
      <c r="B95" s="12" t="s">
        <v>443</v>
      </c>
      <c r="C95" s="11">
        <f>COUNTIFS(RTable[[#All],[Location-Category]],"*"&amp;$B$95&amp;"*",RTable[[#All],[Plastics, glass, cans acceptable?]],"*"&amp;C84&amp;"*",RTable[[#All],[Lab/PSC?]],"Lab")</f>
        <v>0</v>
      </c>
      <c r="D95" s="11">
        <f>COUNTIFS(RTable[[#All],[Location-Category]],"*"&amp;$B$95&amp;"*",RTable[[#All],[Plastics, glass, cans acceptable?]],"*"&amp;D84&amp;"*",RTable[[#All],[Lab/PSC?]],"Lab")</f>
        <v>0</v>
      </c>
      <c r="E95" s="11">
        <f>COUNTIFS(RTable[[#All],[Location-Category]],"*"&amp;$B$95&amp;"*",RTable[[#All],[Plastics, glass, cans acceptable?]],"*"&amp;E84&amp;"*",RTable[[#All],[Lab/PSC?]],"Lab")</f>
        <v>1</v>
      </c>
    </row>
    <row r="96" spans="1:5" x14ac:dyDescent="0.25">
      <c r="A96" s="56" t="s">
        <v>574</v>
      </c>
      <c r="B96" s="12" t="s">
        <v>444</v>
      </c>
      <c r="C96" s="11">
        <f>C92-C95</f>
        <v>1</v>
      </c>
      <c r="D96" s="11">
        <f>D92-D95</f>
        <v>0</v>
      </c>
      <c r="E96" s="11">
        <f>E92-E95</f>
        <v>0</v>
      </c>
    </row>
    <row r="99" spans="1:5" x14ac:dyDescent="0.25">
      <c r="A99" s="10" t="s">
        <v>40</v>
      </c>
      <c r="C99" s="10"/>
      <c r="D99" s="10"/>
      <c r="E99" s="10"/>
    </row>
    <row r="101" spans="1:5" x14ac:dyDescent="0.25">
      <c r="A101" s="30" t="s">
        <v>573</v>
      </c>
      <c r="B101" s="64" t="s">
        <v>434</v>
      </c>
      <c r="C101" s="13" t="s">
        <v>3</v>
      </c>
      <c r="D101" s="13" t="s">
        <v>1</v>
      </c>
      <c r="E101" s="13" t="s">
        <v>39</v>
      </c>
    </row>
    <row r="102" spans="1:5" x14ac:dyDescent="0.25">
      <c r="A102" s="56" t="s">
        <v>568</v>
      </c>
      <c r="B102" s="12" t="s">
        <v>18</v>
      </c>
      <c r="C102" s="11">
        <f>COUNTIFS(RTable[[#All],[Province]],"*"&amp;$B$102&amp;"*",RTable[[#All],[Plans to Introduce Recycling Program?]],"*"&amp;C101&amp;"*",RTable[[#All],[Lab/PSC?]],"PSC")</f>
        <v>13</v>
      </c>
      <c r="D102" s="11">
        <f>COUNTIFS(RTable[[#All],[Province]],"*"&amp;$B$102&amp;"*",RTable[[#All],[Plans to Introduce Recycling Program?]],"*"&amp;D101&amp;"*",RTable[[#All],[Lab/PSC?]],"PSC")</f>
        <v>17</v>
      </c>
      <c r="E102" s="11">
        <f>COUNTIFS(RTable[[#All],[Province]],"*"&amp;$B$102&amp;"*",RTable[[#All],[Plans to Introduce Recycling Program?]],"*"&amp;E101&amp;"*",RTable[[#All],[Lab/PSC?]],"PSC")</f>
        <v>70</v>
      </c>
    </row>
    <row r="103" spans="1:5" x14ac:dyDescent="0.25">
      <c r="A103" s="56" t="s">
        <v>568</v>
      </c>
      <c r="B103" s="12" t="s">
        <v>20</v>
      </c>
      <c r="C103" s="11">
        <f>COUNTIFS(RTable[[#All],[Province]],"*"&amp;$B$103&amp;"*",RTable[[#All],[Plans to Introduce Recycling Program?]],"*"&amp;C101&amp;"*",RTable[[#All],[Lab/PSC?]],"PSC")</f>
        <v>7</v>
      </c>
      <c r="D103" s="11">
        <f>COUNTIFS(RTable[[#All],[Province]],"*"&amp;$B$103&amp;"*",RTable[[#All],[Plans to Introduce Recycling Program?]],"*"&amp;D101&amp;"*",RTable[[#All],[Lab/PSC?]],"PSC")</f>
        <v>11</v>
      </c>
      <c r="E103" s="11">
        <f>COUNTIFS(RTable[[#All],[Province]],"*"&amp;$B$103&amp;"*",RTable[[#All],[Plans to Introduce Recycling Program?]],"*"&amp;E101&amp;"*",RTable[[#All],[Lab/PSC?]],"PSC")</f>
        <v>36</v>
      </c>
    </row>
    <row r="104" spans="1:5" x14ac:dyDescent="0.25">
      <c r="A104" s="56" t="s">
        <v>568</v>
      </c>
      <c r="B104" s="12" t="s">
        <v>341</v>
      </c>
      <c r="C104" s="11">
        <f>COUNTIFS(RTable[[#All],[Location-Category]],"*"&amp;$B$104&amp;"*",RTable[[#All],[Plans to Introduce Recycling Program?]],"*"&amp;C101&amp;"*",RTable[[#All],[Lab/PSC?]],"PSC")</f>
        <v>5</v>
      </c>
      <c r="D104" s="11">
        <f>COUNTIFS(RTable[[#All],[Location-Category]],"*"&amp;$B$104&amp;"*",RTable[[#All],[Plans to Introduce Recycling Program?]],"*"&amp;D101&amp;"*",RTable[[#All],[Lab/PSC?]],"PSC")</f>
        <v>3</v>
      </c>
      <c r="E104" s="11">
        <f>COUNTIFS(RTable[[#All],[Location-Category]],"*"&amp;$B$104&amp;"*",RTable[[#All],[Plans to Introduce Recycling Program?]],"*"&amp;E101&amp;"*",RTable[[#All],[Lab/PSC?]],"PSC")</f>
        <v>25</v>
      </c>
    </row>
    <row r="105" spans="1:5" x14ac:dyDescent="0.25">
      <c r="A105" s="56" t="s">
        <v>568</v>
      </c>
      <c r="B105" s="12" t="s">
        <v>431</v>
      </c>
      <c r="C105" s="11">
        <f>C102-C104</f>
        <v>8</v>
      </c>
      <c r="D105" s="11">
        <f>D102-D104</f>
        <v>14</v>
      </c>
      <c r="E105" s="11">
        <f>E102-E104</f>
        <v>45</v>
      </c>
    </row>
    <row r="106" spans="1:5" x14ac:dyDescent="0.25">
      <c r="A106" s="56" t="s">
        <v>568</v>
      </c>
      <c r="B106" s="12" t="s">
        <v>443</v>
      </c>
      <c r="C106" s="11">
        <f>COUNTIFS(RTable[[#All],[Location-Category]],"*"&amp;$B$106&amp;"*",RTable[[#All],[Plans to Introduce Recycling Program?]],"*"&amp;C101&amp;"*",RTable[[#All],[Lab/PSC?]],"PSC")</f>
        <v>3</v>
      </c>
      <c r="D106" s="11">
        <f>COUNTIFS(RTable[[#All],[Location-Category]],"*"&amp;$B$106&amp;"*",RTable[[#All],[Plans to Introduce Recycling Program?]],"*"&amp;D101&amp;"*",RTable[[#All],[Lab/PSC?]],"PSC")</f>
        <v>4</v>
      </c>
      <c r="E106" s="11">
        <f>COUNTIFS(RTable[[#All],[Location-Category]],"*"&amp;$B$106&amp;"*",RTable[[#All],[Plans to Introduce Recycling Program?]],"*"&amp;E101&amp;"*",RTable[[#All],[Lab/PSC?]],"PSC")</f>
        <v>7</v>
      </c>
    </row>
    <row r="107" spans="1:5" x14ac:dyDescent="0.25">
      <c r="A107" s="56" t="s">
        <v>568</v>
      </c>
      <c r="B107" s="12" t="s">
        <v>444</v>
      </c>
      <c r="C107" s="11">
        <f>C103-C106</f>
        <v>4</v>
      </c>
      <c r="D107" s="11">
        <f>D103-D106</f>
        <v>7</v>
      </c>
      <c r="E107" s="11">
        <f>E103-E106</f>
        <v>29</v>
      </c>
    </row>
    <row r="108" spans="1:5" x14ac:dyDescent="0.25">
      <c r="A108" s="56" t="s">
        <v>574</v>
      </c>
      <c r="B108" s="12" t="s">
        <v>18</v>
      </c>
      <c r="C108" s="11">
        <f>COUNTIFS(RTable[[#All],[Province]],"*"&amp;$B$108&amp;"*",RTable[[#All],[Plans to Introduce Recycling Program?]],"*"&amp;C101&amp;"*",RTable[[#All],[Lab/PSC?]],"Lab")</f>
        <v>0</v>
      </c>
      <c r="D108" s="11">
        <f>COUNTIFS(RTable[[#All],[Province]],"*"&amp;$B$108&amp;"*",RTable[[#All],[Plans to Introduce Recycling Program?]],"*"&amp;D101&amp;"*",RTable[[#All],[Lab/PSC?]],"Lab")</f>
        <v>3</v>
      </c>
      <c r="E108" s="11">
        <f>COUNTIFS(RTable[[#All],[Province]],"*"&amp;$B$108&amp;"*",RTable[[#All],[Plans to Introduce Recycling Program?]],"*"&amp;E101&amp;"*",RTable[[#All],[Lab/PSC?]],"Lab")</f>
        <v>1</v>
      </c>
    </row>
    <row r="109" spans="1:5" x14ac:dyDescent="0.25">
      <c r="A109" s="56" t="s">
        <v>574</v>
      </c>
      <c r="B109" s="12" t="s">
        <v>20</v>
      </c>
      <c r="C109" s="11">
        <f>COUNTIFS(RTable[[#All],[Province]],"*"&amp;$B$109&amp;"*",RTable[[#All],[Plans to Introduce Recycling Program?]],"*"&amp;C101&amp;"*",RTable[[#All],[Lab/PSC?]],"Lab")</f>
        <v>0</v>
      </c>
      <c r="D109" s="11">
        <f>COUNTIFS(RTable[[#All],[Province]],"*"&amp;$B$109&amp;"*",RTable[[#All],[Plans to Introduce Recycling Program?]],"*"&amp;D101&amp;"*",RTable[[#All],[Lab/PSC?]],"Lab")</f>
        <v>0</v>
      </c>
      <c r="E109" s="11">
        <f>COUNTIFS(RTable[[#All],[Province]],"*"&amp;$B$109&amp;"*",RTable[[#All],[Plans to Introduce Recycling Program?]],"*"&amp;E101&amp;"*",RTable[[#All],[Lab/PSC?]],"Lab")</f>
        <v>2</v>
      </c>
    </row>
    <row r="110" spans="1:5" x14ac:dyDescent="0.25">
      <c r="A110" s="56" t="s">
        <v>574</v>
      </c>
      <c r="B110" s="12" t="s">
        <v>341</v>
      </c>
      <c r="C110" s="11">
        <f>COUNTIFS(RTable[[#All],[Location-Category]],"*"&amp;$B$110&amp;"*",RTable[[#All],[Plans to Introduce Recycling Program?]],"*"&amp;C101&amp;"*",RTable[[#All],[Lab/PSC?]],"Lab")</f>
        <v>0</v>
      </c>
      <c r="D110" s="11">
        <f>COUNTIFS(RTable[[#All],[Location-Category]],"*"&amp;$B$110&amp;"*",RTable[[#All],[Plans to Introduce Recycling Program?]],"*"&amp;D101&amp;"*",RTable[[#All],[Lab/PSC?]],"Lab")</f>
        <v>1</v>
      </c>
      <c r="E110" s="11">
        <f>COUNTIFS(RTable[[#All],[Location-Category]],"*"&amp;$B$110&amp;"*",RTable[[#All],[Plans to Introduce Recycling Program?]],"*"&amp;E101&amp;"*",RTable[[#All],[Lab/PSC?]],"Lab")</f>
        <v>0</v>
      </c>
    </row>
    <row r="111" spans="1:5" x14ac:dyDescent="0.25">
      <c r="A111" s="56" t="s">
        <v>574</v>
      </c>
      <c r="B111" s="12" t="s">
        <v>431</v>
      </c>
      <c r="C111" s="11">
        <f>C108-C110</f>
        <v>0</v>
      </c>
      <c r="D111" s="11">
        <f>D108-D110</f>
        <v>2</v>
      </c>
      <c r="E111" s="11">
        <f>E108-E110</f>
        <v>1</v>
      </c>
    </row>
    <row r="112" spans="1:5" x14ac:dyDescent="0.25">
      <c r="A112" s="56" t="s">
        <v>574</v>
      </c>
      <c r="B112" s="12" t="s">
        <v>443</v>
      </c>
      <c r="C112" s="11">
        <f>COUNTIFS(RTable[[#All],[Location-Category]],"*"&amp;$B$112&amp;"*",RTable[[#All],[Plans to Introduce Recycling Program?]],"*"&amp;C101&amp;"*",RTable[[#All],[Lab/PSC?]],"Lab")</f>
        <v>0</v>
      </c>
      <c r="D112" s="11">
        <f>COUNTIFS(RTable[[#All],[Location-Category]],"*"&amp;$B$112&amp;"*",RTable[[#All],[Plans to Introduce Recycling Program?]],"*"&amp;D101&amp;"*",RTable[[#All],[Lab/PSC?]],"Lab")</f>
        <v>0</v>
      </c>
      <c r="E112" s="11">
        <f>COUNTIFS(RTable[[#All],[Location-Category]],"*"&amp;$B$112&amp;"*",RTable[[#All],[Plans to Introduce Recycling Program?]],"*"&amp;E101&amp;"*",RTable[[#All],[Lab/PSC?]],"Lab")</f>
        <v>1</v>
      </c>
    </row>
    <row r="113" spans="1:6" x14ac:dyDescent="0.25">
      <c r="A113" s="56" t="s">
        <v>574</v>
      </c>
      <c r="B113" s="12" t="s">
        <v>444</v>
      </c>
      <c r="C113" s="11">
        <f>C109-C112</f>
        <v>0</v>
      </c>
      <c r="D113" s="11">
        <f>D109-D112</f>
        <v>0</v>
      </c>
      <c r="E113" s="11">
        <f>E109-E112</f>
        <v>1</v>
      </c>
    </row>
    <row r="117" spans="1:6" x14ac:dyDescent="0.25">
      <c r="A117" s="10" t="s">
        <v>4</v>
      </c>
    </row>
    <row r="119" spans="1:6" x14ac:dyDescent="0.25">
      <c r="A119" s="30" t="s">
        <v>573</v>
      </c>
      <c r="B119" s="64" t="s">
        <v>434</v>
      </c>
      <c r="C119" s="13" t="s">
        <v>2</v>
      </c>
      <c r="D119" s="13" t="s">
        <v>0</v>
      </c>
      <c r="E119" s="13" t="s">
        <v>41</v>
      </c>
      <c r="F119" s="13" t="s">
        <v>39</v>
      </c>
    </row>
    <row r="120" spans="1:6" x14ac:dyDescent="0.25">
      <c r="A120" s="56" t="s">
        <v>568</v>
      </c>
      <c r="B120" s="12" t="s">
        <v>18</v>
      </c>
      <c r="C120" s="28">
        <f>COUNTIFS(RTable[[#All],[Province]],"*"&amp;$B$120&amp;"*",RTable[[#All],[Recycling Program Timeframe]],"*"&amp;C119&amp;"*",RTable[[#All],[Lab/PSC?]],"PSC")</f>
        <v>4</v>
      </c>
      <c r="D120" s="28">
        <f>COUNTIFS(RTable[[#All],[Province]],"*"&amp;$B$120&amp;"*",RTable[[#All],[Recycling Program Timeframe]],"*"&amp;D119&amp;"*",RTable[[#All],[Lab/PSC?]],"PSC")</f>
        <v>6</v>
      </c>
      <c r="E120" s="28">
        <f>COUNTIFS(RTable[[#All],[Province]],"*"&amp;$B$120&amp;"*",RTable[[#All],[Recycling Program Timeframe]],"*"&amp;E119&amp;"*",RTable[[#All],[Lab/PSC?]],"PSC")</f>
        <v>1</v>
      </c>
      <c r="F120" s="28">
        <f>COUNTIFS(RTable[[#All],[Province]],"*"&amp;$B$120&amp;"*",RTable[[#All],[Recycling Program Timeframe]],"*"&amp;F119&amp;"*",RTable[[#All],[Lab/PSC?]],"PSC")</f>
        <v>89</v>
      </c>
    </row>
    <row r="121" spans="1:6" x14ac:dyDescent="0.25">
      <c r="A121" s="56" t="s">
        <v>568</v>
      </c>
      <c r="B121" s="34" t="s">
        <v>20</v>
      </c>
      <c r="C121" s="11">
        <f>COUNTIFS(RTable[[#All],[Province]],"*"&amp;$B$121&amp;"*",RTable[[#All],[Recycling Program Timeframe]],"*"&amp;C119&amp;"*",RTable[[#All],[Lab/PSC?]],"PSC")</f>
        <v>0</v>
      </c>
      <c r="D121" s="11">
        <f>COUNTIFS(RTable[[#All],[Province]],"*"&amp;$B$121&amp;"*",RTable[[#All],[Recycling Program Timeframe]],"*"&amp;D119&amp;"*",RTable[[#All],[Lab/PSC?]],"PSC")</f>
        <v>2</v>
      </c>
      <c r="E121" s="11">
        <f>COUNTIFS(RTable[[#All],[Province]],"*"&amp;$B$121&amp;"*",RTable[[#All],[Recycling Program Timeframe]],"*"&amp;E119&amp;"*",RTable[[#All],[Lab/PSC?]],"PSC")</f>
        <v>2</v>
      </c>
      <c r="F121" s="11">
        <f>COUNTIFS(RTable[[#All],[Province]],"*"&amp;$B$121&amp;"*",RTable[[#All],[Recycling Program Timeframe]],"*"&amp;F119&amp;"*",RTable[[#All],[Lab/PSC?]],"PSC")</f>
        <v>50</v>
      </c>
    </row>
    <row r="122" spans="1:6" x14ac:dyDescent="0.25">
      <c r="A122" s="56" t="s">
        <v>568</v>
      </c>
      <c r="B122" s="34" t="s">
        <v>341</v>
      </c>
      <c r="C122" s="11">
        <f>COUNTIFS(RTable[[#All],[Location-Category]],"*"&amp;$B$122&amp;"*",RTable[[#All],[Recycling Program Timeframe]],"*"&amp;C119&amp;"*",RTable[[#All],[Lab/PSC?]],"PSC")</f>
        <v>3</v>
      </c>
      <c r="D122" s="11">
        <f>COUNTIFS(RTable[[#All],[Location-Category]],"*"&amp;$B$122&amp;"*",RTable[[#All],[Recycling Program Timeframe]],"*"&amp;D119&amp;"*",RTable[[#All],[Lab/PSC?]],"PSC")</f>
        <v>1</v>
      </c>
      <c r="E122" s="11">
        <f>COUNTIFS(RTable[[#All],[Location-Category]],"*"&amp;$B$122&amp;"*",RTable[[#All],[Recycling Program Timeframe]],"*"&amp;E119&amp;"*",RTable[[#All],[Lab/PSC?]],"PSC")</f>
        <v>0</v>
      </c>
      <c r="F122" s="11">
        <f>COUNTIFS(RTable[[#All],[Location-Category]],"*"&amp;$B$122&amp;"*",RTable[[#All],[Recycling Program Timeframe]],"*"&amp;F119&amp;"*",RTable[[#All],[Lab/PSC?]],"PSC")</f>
        <v>29</v>
      </c>
    </row>
    <row r="123" spans="1:6" x14ac:dyDescent="0.25">
      <c r="A123" s="56" t="s">
        <v>568</v>
      </c>
      <c r="B123" s="12" t="s">
        <v>431</v>
      </c>
      <c r="C123" s="11">
        <f>C120-C122</f>
        <v>1</v>
      </c>
      <c r="D123" s="11">
        <f>D120-D122</f>
        <v>5</v>
      </c>
      <c r="E123" s="11">
        <f>E120-E122</f>
        <v>1</v>
      </c>
      <c r="F123" s="11">
        <f>F120-F122</f>
        <v>60</v>
      </c>
    </row>
    <row r="124" spans="1:6" x14ac:dyDescent="0.25">
      <c r="A124" s="56" t="s">
        <v>568</v>
      </c>
      <c r="B124" s="12" t="s">
        <v>443</v>
      </c>
      <c r="C124" s="28">
        <f>COUNTIFS(RTable[[#All],[Location-Category]],"*"&amp;$B$124&amp;"*",RTable[[#All],[Recycling Program Timeframe]],"*"&amp;C119&amp;"*",RTable[[#All],[Lab/PSC?]],"PSC")</f>
        <v>0</v>
      </c>
      <c r="D124" s="28">
        <f>COUNTIFS(RTable[[#All],[Location-Category]],"*"&amp;$B$124&amp;"*",RTable[[#All],[Recycling Program Timeframe]],"*"&amp;D119&amp;"*",RTable[[#All],[Lab/PSC?]],"PSC")</f>
        <v>1</v>
      </c>
      <c r="E124" s="28">
        <f>COUNTIFS(RTable[[#All],[Location-Category]],"*"&amp;$B$124&amp;"*",RTable[[#All],[Recycling Program Timeframe]],"*"&amp;E119&amp;"*",RTable[[#All],[Lab/PSC?]],"PSC")</f>
        <v>1</v>
      </c>
      <c r="F124" s="28">
        <f>COUNTIFS(RTable[[#All],[Location-Category]],"*"&amp;$B$124&amp;"*",RTable[[#All],[Recycling Program Timeframe]],"*"&amp;F119&amp;"*",RTable[[#All],[Lab/PSC?]],"PSC")</f>
        <v>12</v>
      </c>
    </row>
    <row r="125" spans="1:6" x14ac:dyDescent="0.25">
      <c r="A125" s="56" t="s">
        <v>568</v>
      </c>
      <c r="B125" s="12" t="s">
        <v>444</v>
      </c>
      <c r="C125" s="28">
        <f>C121-C124</f>
        <v>0</v>
      </c>
      <c r="D125" s="28">
        <f>D121-D124</f>
        <v>1</v>
      </c>
      <c r="E125" s="28">
        <f>E121-E124</f>
        <v>1</v>
      </c>
      <c r="F125" s="28">
        <f>F121-F124</f>
        <v>38</v>
      </c>
    </row>
    <row r="126" spans="1:6" x14ac:dyDescent="0.25">
      <c r="A126" s="56" t="s">
        <v>574</v>
      </c>
      <c r="B126" s="12" t="s">
        <v>18</v>
      </c>
      <c r="C126" s="28">
        <f>COUNTIFS(RTable[[#All],[Province]],"*"&amp;$B$126&amp;"*",RTable[[#All],[Recycling Program Timeframe]],"*"&amp;C119&amp;"*",RTable[[#All],[Lab/PSC?]],"Lab")</f>
        <v>0</v>
      </c>
      <c r="D126" s="28">
        <f>COUNTIFS(RTable[[#All],[Province]],"*"&amp;$B$126&amp;"*",RTable[[#All],[Recycling Program Timeframe]],"*"&amp;D119&amp;"*",RTable[[#All],[Lab/PSC?]],"Lab")</f>
        <v>0</v>
      </c>
      <c r="E126" s="28">
        <f>COUNTIFS(RTable[[#All],[Province]],"*"&amp;$B$126&amp;"*",RTable[[#All],[Recycling Program Timeframe]],"*"&amp;E119&amp;"*",RTable[[#All],[Lab/PSC?]],"Lab")</f>
        <v>0</v>
      </c>
      <c r="F126" s="28">
        <f>COUNTIFS(RTable[[#All],[Province]],"*"&amp;$B$126&amp;"*",RTable[[#All],[Recycling Program Timeframe]],"*"&amp;F119&amp;"*",RTable[[#All],[Lab/PSC?]],"Lab")</f>
        <v>4</v>
      </c>
    </row>
    <row r="127" spans="1:6" x14ac:dyDescent="0.25">
      <c r="A127" s="56" t="s">
        <v>574</v>
      </c>
      <c r="B127" s="34" t="s">
        <v>20</v>
      </c>
      <c r="C127" s="11">
        <f>COUNTIFS(RTable[[#All],[Province]],"*"&amp;$B$127&amp;"*",RTable[[#All],[Recycling Program Timeframe]],"*"&amp;C119&amp;"*",RTable[[#All],[Lab/PSC?]],"Lab")</f>
        <v>0</v>
      </c>
      <c r="D127" s="11">
        <f>COUNTIFS(RTable[[#All],[Province]],"*"&amp;$B$121&amp;"*",RTable[[#All],[Recycling Program Timeframe]],"*"&amp;D123&amp;"*",RTable[[#All],[Lab/PSC?]],"Lab")</f>
        <v>0</v>
      </c>
      <c r="E127" s="11">
        <f>COUNTIFS(RTable[[#All],[Province]],"*"&amp;$B$121&amp;"*",RTable[[#All],[Recycling Program Timeframe]],"*"&amp;E123&amp;"*",RTable[[#All],[Lab/PSC?]],"Lab")</f>
        <v>0</v>
      </c>
      <c r="F127" s="11">
        <f>COUNTIFS(RTable[[#All],[Province]],"*"&amp;$B$121&amp;"*",RTable[[#All],[Recycling Program Timeframe]],"*"&amp;F123&amp;"*",RTable[[#All],[Lab/PSC?]],"Lab")</f>
        <v>0</v>
      </c>
    </row>
    <row r="128" spans="1:6" x14ac:dyDescent="0.25">
      <c r="A128" s="56" t="s">
        <v>574</v>
      </c>
      <c r="B128" s="34" t="s">
        <v>341</v>
      </c>
      <c r="C128" s="11">
        <f>COUNTIFS(RTable[[#All],[Location-Category]],"*"&amp;$B$128&amp;"*",RTable[[#All],[Recycling Program Timeframe]],"*"&amp;C119&amp;"*",RTable[[#All],[Lab/PSC?]],"Lab")</f>
        <v>0</v>
      </c>
      <c r="D128" s="11">
        <f>COUNTIFS(RTable[[#All],[Location-Category]],"*"&amp;$B$128&amp;"*",RTable[[#All],[Recycling Program Timeframe]],"*"&amp;D119&amp;"*",RTable[[#All],[Lab/PSC?]],"Lab")</f>
        <v>0</v>
      </c>
      <c r="E128" s="11">
        <f>COUNTIFS(RTable[[#All],[Location-Category]],"*"&amp;$B$128&amp;"*",RTable[[#All],[Recycling Program Timeframe]],"*"&amp;E119&amp;"*",RTable[[#All],[Lab/PSC?]],"Lab")</f>
        <v>0</v>
      </c>
      <c r="F128" s="11">
        <f>COUNTIFS(RTable[[#All],[Location-Category]],"*"&amp;$B$128&amp;"*",RTable[[#All],[Recycling Program Timeframe]],"*"&amp;F119&amp;"*",RTable[[#All],[Lab/PSC?]],"Lab")</f>
        <v>1</v>
      </c>
    </row>
    <row r="129" spans="1:6" x14ac:dyDescent="0.25">
      <c r="A129" s="56" t="s">
        <v>574</v>
      </c>
      <c r="B129" s="12" t="s">
        <v>431</v>
      </c>
      <c r="C129" s="11">
        <f>C126-C128</f>
        <v>0</v>
      </c>
      <c r="D129" s="11">
        <f>D126-D128</f>
        <v>0</v>
      </c>
      <c r="E129" s="11">
        <f>E126-E128</f>
        <v>0</v>
      </c>
      <c r="F129" s="11">
        <f>F126-F128</f>
        <v>3</v>
      </c>
    </row>
    <row r="130" spans="1:6" x14ac:dyDescent="0.25">
      <c r="A130" s="56" t="s">
        <v>574</v>
      </c>
      <c r="B130" s="12" t="s">
        <v>443</v>
      </c>
      <c r="C130" s="11">
        <f>COUNTIFS(RTable[[#All],[Location-Category]],"*"&amp;$B$130&amp;"*",RTable[[#All],[Recycling Program Timeframe]],"*"&amp;C119&amp;"*",RTable[[#All],[Lab/PSC?]],"Lab")</f>
        <v>0</v>
      </c>
      <c r="D130" s="11">
        <f>COUNTIFS(RTable[[#All],[Location-Category]],"*"&amp;$B$130&amp;"*",RTable[[#All],[Recycling Program Timeframe]],"*"&amp;D119&amp;"*",RTable[[#All],[Lab/PSC?]],"Lab")</f>
        <v>0</v>
      </c>
      <c r="E130" s="11">
        <f>COUNTIFS(RTable[[#All],[Location-Category]],"*"&amp;$B$130&amp;"*",RTable[[#All],[Recycling Program Timeframe]],"*"&amp;E119&amp;"*",RTable[[#All],[Lab/PSC?]],"Lab")</f>
        <v>0</v>
      </c>
      <c r="F130" s="11">
        <f>COUNTIFS(RTable[[#All],[Location-Category]],"*"&amp;$B$130&amp;"*",RTable[[#All],[Recycling Program Timeframe]],"*"&amp;F119&amp;"*",RTable[[#All],[Lab/PSC?]],"Lab")</f>
        <v>1</v>
      </c>
    </row>
    <row r="131" spans="1:6" x14ac:dyDescent="0.25">
      <c r="A131" s="56" t="s">
        <v>574</v>
      </c>
      <c r="B131" s="12" t="s">
        <v>444</v>
      </c>
      <c r="C131" s="11">
        <f>C127-C130</f>
        <v>0</v>
      </c>
      <c r="D131" s="11">
        <f>D127-D130</f>
        <v>0</v>
      </c>
      <c r="E131" s="11">
        <f>E127-E130</f>
        <v>0</v>
      </c>
      <c r="F131" s="11">
        <f>F127-F130</f>
        <v>-1</v>
      </c>
    </row>
  </sheetData>
  <mergeCells count="4">
    <mergeCell ref="A59:I59"/>
    <mergeCell ref="A60:I60"/>
    <mergeCell ref="A61:I61"/>
    <mergeCell ref="A62:I62"/>
  </mergeCells>
  <pageMargins left="0.7" right="0.7" top="0.75" bottom="0.75" header="0.3" footer="0.3"/>
  <pageSetup orientation="portrait" r:id="rId5"/>
  <drawing r:id="rId6"/>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R171"/>
  <sheetViews>
    <sheetView topLeftCell="A151" zoomScale="85" zoomScaleNormal="85" workbookViewId="0">
      <selection activeCell="M171" sqref="M171"/>
    </sheetView>
  </sheetViews>
  <sheetFormatPr defaultRowHeight="15" x14ac:dyDescent="0.25"/>
  <cols>
    <col min="1" max="1" width="26.28515625" bestFit="1" customWidth="1"/>
    <col min="2" max="2" width="26.28515625" style="9" customWidth="1"/>
    <col min="3" max="3" width="38.140625" style="9" bestFit="1" customWidth="1"/>
    <col min="4" max="4" width="12.5703125" bestFit="1" customWidth="1"/>
    <col min="7" max="7" width="12.7109375" customWidth="1"/>
    <col min="8" max="8" width="12" customWidth="1"/>
    <col min="9" max="9" width="12.85546875" customWidth="1"/>
    <col min="10" max="10" width="14.7109375" customWidth="1"/>
    <col min="11" max="11" width="9.140625" customWidth="1"/>
    <col min="12" max="12" width="14" customWidth="1"/>
    <col min="13" max="13" width="41" bestFit="1" customWidth="1"/>
    <col min="14" max="14" width="33.85546875" bestFit="1" customWidth="1"/>
    <col min="15" max="15" width="18.85546875" customWidth="1"/>
    <col min="16" max="16" width="13.85546875" customWidth="1"/>
    <col min="17" max="17" width="42" customWidth="1"/>
    <col min="18" max="18" width="37.5703125" customWidth="1"/>
  </cols>
  <sheetData>
    <row r="1" spans="1:18" ht="25.5" x14ac:dyDescent="0.25">
      <c r="A1" s="76" t="s">
        <v>582</v>
      </c>
      <c r="B1" s="91" t="s">
        <v>461</v>
      </c>
      <c r="C1" s="91" t="s">
        <v>462</v>
      </c>
      <c r="D1" s="68" t="s">
        <v>21</v>
      </c>
      <c r="E1" s="68" t="s">
        <v>463</v>
      </c>
      <c r="F1" s="68" t="s">
        <v>464</v>
      </c>
      <c r="G1" s="68" t="s">
        <v>22</v>
      </c>
      <c r="H1" s="68" t="s">
        <v>25</v>
      </c>
      <c r="I1" s="68" t="s">
        <v>26</v>
      </c>
      <c r="J1" s="69" t="s">
        <v>27</v>
      </c>
      <c r="K1" s="70" t="s">
        <v>346</v>
      </c>
      <c r="L1" s="71" t="s">
        <v>465</v>
      </c>
      <c r="M1" s="71" t="s">
        <v>466</v>
      </c>
      <c r="N1" s="71" t="s">
        <v>467</v>
      </c>
      <c r="O1" s="72" t="s">
        <v>468</v>
      </c>
      <c r="P1" s="71" t="s">
        <v>469</v>
      </c>
      <c r="Q1" s="73" t="s">
        <v>470</v>
      </c>
    </row>
    <row r="2" spans="1:18" ht="45" x14ac:dyDescent="0.25">
      <c r="A2" s="36" t="s">
        <v>1627</v>
      </c>
      <c r="B2" s="92" t="str">
        <f>IF(ISERROR(INDEX(RTable[#All],MATCH(ActionTracker[[#All],[Lease Number]],RTable[[#All],[Lease Number]],0),1)),"",INDEX(RTable[#All],MATCH(ActionTracker[[#All],[Lease Number]],RTable[[#All],[Lease Number]],0),1))</f>
        <v>Dianna Gao</v>
      </c>
      <c r="C2" s="92" t="str">
        <f>IF(ISERROR(INDEX(RTable[#All],MATCH(ActionTracker[[#All],[Lease Number]],RTable[[#All],[Lease Number]],0),1)),"",INDEX(RTable[#All],MATCH(ActionTracker[[#All],[Lease Number]],RTable[[#All],[Lease Number]],0),2)&amp;", "&amp;INDEX(RTable[#All],MATCH(ActionTracker[[#All],[Lease Number]],RTable[[#All],[Lease Number]],0),3))</f>
        <v>19-15300 105 Avenue, Surrey, B.C. V3R 6A7</v>
      </c>
      <c r="D2" s="37"/>
      <c r="E2" s="37"/>
      <c r="F2" s="38" t="s">
        <v>471</v>
      </c>
      <c r="G2" s="37" t="s">
        <v>472</v>
      </c>
      <c r="H2" s="37"/>
      <c r="I2" s="37"/>
      <c r="J2" s="37"/>
      <c r="K2"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2" s="40" t="str">
        <f>IF(ISERROR(INDEX(ContactList[#All],MATCH(ActionTracker[[#All],[Lease Number]],ContactList[[#All],[Lease Number]],0),12)),"",INDEX(ContactList[#All],MATCH(ActionTracker[[#All],[Lease Number]],ContactList[[#All],[Lease Number]],0),12))</f>
        <v>James</v>
      </c>
      <c r="M2" s="40" t="str">
        <f>IF(ISERROR(INDEX(ContactList[#All],MATCH(ActionTracker[[#All],[Lease Number]],ContactList[[#All],[Lease Number]],0),12)),"",INDEX(ContactList[#All],MATCH(ActionTracker[[#All],[Lease Number]],ContactList[[#All],[Lease Number]],0),13))</f>
        <v>Mackenzie</v>
      </c>
      <c r="N2" s="40" t="str">
        <f>IF(ISERROR(INDEX(ContactList[#All],MATCH(ActionTracker[[#All],[Lease Number]],ContactList[[#All],[Lease Number]],0),12)),"",INDEX(ContactList[#All],MATCH(ActionTracker[[#All],[Lease Number]],ContactList[[#All],[Lease Number]],0),14))</f>
        <v>james_mackenzie@telus.net</v>
      </c>
      <c r="O2" s="40" t="str">
        <f>IF(ISERROR(INDEX(ContactList[#All],MATCH(ActionTracker[[#All],[Lease Number]],ContactList[[#All],[Lease Number]],0),12)),"",INDEX(ContactList[#All],MATCH(ActionTracker[[#All],[Lease Number]],ContactList[[#All],[Lease Number]],0),15))</f>
        <v>604 734 6695</v>
      </c>
      <c r="P2" s="11"/>
      <c r="Q2" s="107" t="s">
        <v>350</v>
      </c>
    </row>
    <row r="3" spans="1:18" ht="45" x14ac:dyDescent="0.25">
      <c r="A3" s="36" t="s">
        <v>1603</v>
      </c>
      <c r="B3" s="92" t="str">
        <f>IF(ISERROR(INDEX(RTable[#All],MATCH(ActionTracker[[#All],[Lease Number]],RTable[[#All],[Lease Number]],0),1)),"",INDEX(RTable[#All],MATCH(ActionTracker[[#All],[Lease Number]],RTable[[#All],[Lease Number]],0),1))</f>
        <v>Megan</v>
      </c>
      <c r="C3" s="92" t="str">
        <f>IF(ISERROR(INDEX(RTable[#All],MATCH(ActionTracker[[#All],[Lease Number]],RTable[[#All],[Lease Number]],0),1)),"",INDEX(RTable[#All],MATCH(ActionTracker[[#All],[Lease Number]],RTable[[#All],[Lease Number]],0),2)&amp;", "&amp;INDEX(RTable[#All],MATCH(ActionTracker[[#All],[Lease Number]],RTable[[#All],[Lease Number]],0),3))</f>
        <v>Ste R 435 North Road, Coquitlam, B.C.</v>
      </c>
      <c r="D3" s="37"/>
      <c r="E3" s="37"/>
      <c r="F3" s="37" t="s">
        <v>472</v>
      </c>
      <c r="G3" s="37" t="s">
        <v>472</v>
      </c>
      <c r="H3" s="37"/>
      <c r="I3" s="37"/>
      <c r="J3" s="41"/>
      <c r="K3"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3" s="40" t="str">
        <f>IF(ISERROR(INDEX(ContactList[#All],MATCH(ActionTracker[[#All],[Lease Number]],ContactList[[#All],[Lease Number]],0),12)),"",INDEX(ContactList[#All],MATCH(ActionTracker[[#All],[Lease Number]],ContactList[[#All],[Lease Number]],0),12))</f>
        <v>Robert</v>
      </c>
      <c r="M3" s="40" t="str">
        <f>IF(ISERROR(INDEX(ContactList[#All],MATCH(ActionTracker[[#All],[Lease Number]],ContactList[[#All],[Lease Number]],0),12)),"",INDEX(ContactList[#All],MATCH(ActionTracker[[#All],[Lease Number]],ContactList[[#All],[Lease Number]],0),13))</f>
        <v>Chang</v>
      </c>
      <c r="N3" s="40" t="str">
        <f>IF(ISERROR(INDEX(ContactList[#All],MATCH(ActionTracker[[#All],[Lease Number]],ContactList[[#All],[Lease Number]],0),12)),"",INDEX(ContactList[#All],MATCH(ActionTracker[[#All],[Lease Number]],ContactList[[#All],[Lease Number]],0),14))</f>
        <v>Robert.chang@choicereit.ca</v>
      </c>
      <c r="O3" s="40" t="str">
        <f>IF(ISERROR(INDEX(ContactList[#All],MATCH(ActionTracker[[#All],[Lease Number]],ContactList[[#All],[Lease Number]],0),12)),"",INDEX(ContactList[#All],MATCH(ActionTracker[[#All],[Lease Number]],ContactList[[#All],[Lease Number]],0),15))</f>
        <v>604 439 5404</v>
      </c>
      <c r="P3" s="11"/>
      <c r="Q3" s="107" t="s">
        <v>353</v>
      </c>
    </row>
    <row r="4" spans="1:18" ht="90" x14ac:dyDescent="0.25">
      <c r="A4" s="36" t="s">
        <v>1574</v>
      </c>
      <c r="B4" s="92" t="str">
        <f>IF(ISERROR(INDEX(RTable[#All],MATCH(ActionTracker[[#All],[Lease Number]],RTable[[#All],[Lease Number]],0),1)),"",INDEX(RTable[#All],MATCH(ActionTracker[[#All],[Lease Number]],RTable[[#All],[Lease Number]],0),1))</f>
        <v>Sandy</v>
      </c>
      <c r="C4" s="92" t="str">
        <f>IF(ISERROR(INDEX(RTable[#All],MATCH(ActionTracker[[#All],[Lease Number]],RTable[[#All],[Lease Number]],0),1)),"",INDEX(RTable[#All],MATCH(ActionTracker[[#All],[Lease Number]],RTable[[#All],[Lease Number]],0),2)&amp;", "&amp;INDEX(RTable[#All],MATCH(ActionTracker[[#All],[Lease Number]],RTable[[#All],[Lease Number]],0),3))</f>
        <v>306-1750 East 10th Avenue, Vancouver, B.C. V5N 5K4</v>
      </c>
      <c r="D4" s="38" t="s">
        <v>471</v>
      </c>
      <c r="E4" s="37"/>
      <c r="F4" s="38" t="s">
        <v>471</v>
      </c>
      <c r="G4" s="38" t="s">
        <v>471</v>
      </c>
      <c r="H4" s="38" t="s">
        <v>471</v>
      </c>
      <c r="I4" s="38" t="s">
        <v>471</v>
      </c>
      <c r="J4" s="37"/>
      <c r="K4"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4" s="40" t="str">
        <f>IF(ISERROR(INDEX(ContactList[#All],MATCH(ActionTracker[[#All],[Lease Number]],ContactList[[#All],[Lease Number]],0),12)),"",INDEX(ContactList[#All],MATCH(ActionTracker[[#All],[Lease Number]],ContactList[[#All],[Lease Number]],0),12))</f>
        <v>Irene</v>
      </c>
      <c r="M4" s="40" t="str">
        <f>IF(ISERROR(INDEX(ContactList[#All],MATCH(ActionTracker[[#All],[Lease Number]],ContactList[[#All],[Lease Number]],0),12)),"",INDEX(ContactList[#All],MATCH(ActionTracker[[#All],[Lease Number]],ContactList[[#All],[Lease Number]],0),13))</f>
        <v>Leung</v>
      </c>
      <c r="N4" s="40" t="str">
        <f>IF(ISERROR(INDEX(ContactList[#All],MATCH(ActionTracker[[#All],[Lease Number]],ContactList[[#All],[Lease Number]],0),12)),"",INDEX(ContactList[#All],MATCH(ActionTracker[[#All],[Lease Number]],ContactList[[#All],[Lease Number]],0),14))</f>
        <v>irene.leung@tpmgcapital.com</v>
      </c>
      <c r="O4" s="40" t="str">
        <f>IF(ISERROR(INDEX(ContactList[#All],MATCH(ActionTracker[[#All],[Lease Number]],ContactList[[#All],[Lease Number]],0),12)),"",INDEX(ContactList[#All],MATCH(ActionTracker[[#All],[Lease Number]],ContactList[[#All],[Lease Number]],0),15))</f>
        <v>604 742 3464</v>
      </c>
      <c r="P4" s="11"/>
      <c r="Q4" s="111" t="s">
        <v>356</v>
      </c>
    </row>
    <row r="5" spans="1:18" ht="75" x14ac:dyDescent="0.25">
      <c r="A5" s="36" t="s">
        <v>1569</v>
      </c>
      <c r="B5" s="92" t="str">
        <f>IF(ISERROR(INDEX(RTable[#All],MATCH(ActionTracker[[#All],[Lease Number]],RTable[[#All],[Lease Number]],0),1)),"",INDEX(RTable[#All],MATCH(ActionTracker[[#All],[Lease Number]],RTable[[#All],[Lease Number]],0),1))</f>
        <v>Christine Alvarez</v>
      </c>
      <c r="C5" s="92" t="str">
        <f>IF(ISERROR(INDEX(RTable[#All],MATCH(ActionTracker[[#All],[Lease Number]],RTable[[#All],[Lease Number]],0),1)),"",INDEX(RTable[#All],MATCH(ActionTracker[[#All],[Lease Number]],RTable[[#All],[Lease Number]],0),2)&amp;", "&amp;INDEX(RTable[#All],MATCH(ActionTracker[[#All],[Lease Number]],RTable[[#All],[Lease Number]],0),3))</f>
        <v>101-9656 King George Blvd., Surrey, B.C. V3T 2V4</v>
      </c>
      <c r="D5" s="37"/>
      <c r="E5" s="37"/>
      <c r="F5" s="37"/>
      <c r="G5" s="37" t="s">
        <v>472</v>
      </c>
      <c r="H5" s="37"/>
      <c r="I5" s="37"/>
      <c r="J5" s="37"/>
      <c r="K5"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5" s="40" t="str">
        <f>IF(ISERROR(INDEX(ContactList[#All],MATCH(ActionTracker[[#All],[Lease Number]],ContactList[[#All],[Lease Number]],0),12)),"",INDEX(ContactList[#All],MATCH(ActionTracker[[#All],[Lease Number]],ContactList[[#All],[Lease Number]],0),12))</f>
        <v>Rod</v>
      </c>
      <c r="M5" s="40" t="str">
        <f>IF(ISERROR(INDEX(ContactList[#All],MATCH(ActionTracker[[#All],[Lease Number]],ContactList[[#All],[Lease Number]],0),12)),"",INDEX(ContactList[#All],MATCH(ActionTracker[[#All],[Lease Number]],ContactList[[#All],[Lease Number]],0),13))</f>
        <v>Dales</v>
      </c>
      <c r="N5" s="40" t="str">
        <f>IF(ISERROR(INDEX(ContactList[#All],MATCH(ActionTracker[[#All],[Lease Number]],ContactList[[#All],[Lease Number]],0),12)),"",INDEX(ContactList[#All],MATCH(ActionTracker[[#All],[Lease Number]],ContactList[[#All],[Lease Number]],0),14))</f>
        <v>dales@telus.net</v>
      </c>
      <c r="O5" s="40" t="str">
        <f>IF(ISERROR(INDEX(ContactList[#All],MATCH(ActionTracker[[#All],[Lease Number]],ContactList[[#All],[Lease Number]],0),12)),"",INDEX(ContactList[#All],MATCH(ActionTracker[[#All],[Lease Number]],ContactList[[#All],[Lease Number]],0),15))</f>
        <v>604 644 2649</v>
      </c>
      <c r="P5" s="11"/>
      <c r="Q5" s="107" t="s">
        <v>359</v>
      </c>
    </row>
    <row r="6" spans="1:18" ht="30" x14ac:dyDescent="0.25">
      <c r="A6" s="36" t="s">
        <v>1548</v>
      </c>
      <c r="B6" s="92" t="str">
        <f>IF(ISERROR(INDEX(RTable[#All],MATCH(ActionTracker[[#All],[Lease Number]],RTable[[#All],[Lease Number]],0),1)),"",INDEX(RTable[#All],MATCH(ActionTracker[[#All],[Lease Number]],RTable[[#All],[Lease Number]],0),1))</f>
        <v/>
      </c>
      <c r="C6" s="92" t="str">
        <f>IF(ISERROR(INDEX(RTable[#All],MATCH(ActionTracker[[#All],[Lease Number]],RTable[[#All],[Lease Number]],0),1)),"",INDEX(RTable[#All],MATCH(ActionTracker[[#All],[Lease Number]],RTable[[#All],[Lease Number]],0),2)&amp;", "&amp;INDEX(RTable[#All],MATCH(ActionTracker[[#All],[Lease Number]],RTable[[#All],[Lease Number]],0),3))</f>
        <v/>
      </c>
      <c r="D6" s="37" t="s">
        <v>472</v>
      </c>
      <c r="E6" s="41" t="s">
        <v>472</v>
      </c>
      <c r="F6" s="41" t="s">
        <v>472</v>
      </c>
      <c r="G6" s="37" t="s">
        <v>472</v>
      </c>
      <c r="H6" s="41" t="s">
        <v>472</v>
      </c>
      <c r="I6" s="37"/>
      <c r="J6" s="37"/>
      <c r="K6"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6" s="40" t="str">
        <f>IF(ISERROR(INDEX(ContactList[#All],MATCH(ActionTracker[[#All],[Lease Number]],ContactList[[#All],[Lease Number]],0),12)),"",INDEX(ContactList[#All],MATCH(ActionTracker[[#All],[Lease Number]],ContactList[[#All],[Lease Number]],0),12))</f>
        <v>Jasbir</v>
      </c>
      <c r="M6" s="40" t="str">
        <f>IF(ISERROR(INDEX(ContactList[#All],MATCH(ActionTracker[[#All],[Lease Number]],ContactList[[#All],[Lease Number]],0),12)),"",INDEX(ContactList[#All],MATCH(ActionTracker[[#All],[Lease Number]],ContactList[[#All],[Lease Number]],0),13))</f>
        <v>Manku</v>
      </c>
      <c r="N6" s="46" t="str">
        <f>IF(ISERROR(INDEX(ContactList[#All],MATCH(ActionTracker[[#All],[Lease Number]],ContactList[[#All],[Lease Number]],0),12)),"",INDEX(ContactList[#All],MATCH(ActionTracker[[#All],[Lease Number]],ContactList[[#All],[Lease Number]],0),14))</f>
        <v>manku@shawbiz.ca</v>
      </c>
      <c r="O6" s="40" t="str">
        <f>IF(ISERROR(INDEX(ContactList[#All],MATCH(ActionTracker[[#All],[Lease Number]],ContactList[[#All],[Lease Number]],0),12)),"",INDEX(ContactList[#All],MATCH(ActionTracker[[#All],[Lease Number]],ContactList[[#All],[Lease Number]],0),15))</f>
        <v>604 852 5758</v>
      </c>
      <c r="P6" s="11"/>
      <c r="Q6" s="100" t="s">
        <v>362</v>
      </c>
    </row>
    <row r="7" spans="1:18" ht="30" x14ac:dyDescent="0.25">
      <c r="A7" s="36" t="s">
        <v>1527</v>
      </c>
      <c r="B7" s="92" t="str">
        <f>IF(ISERROR(INDEX(RTable[#All],MATCH(ActionTracker[[#All],[Lease Number]],RTable[[#All],[Lease Number]],0),1)),"",INDEX(RTable[#All],MATCH(ActionTracker[[#All],[Lease Number]],RTable[[#All],[Lease Number]],0),1))</f>
        <v>Anna Testa</v>
      </c>
      <c r="C7" s="92" t="str">
        <f>IF(ISERROR(INDEX(RTable[#All],MATCH(ActionTracker[[#All],[Lease Number]],RTable[[#All],[Lease Number]],0),1)),"",INDEX(RTable[#All],MATCH(ActionTracker[[#All],[Lease Number]],RTable[[#All],[Lease Number]],0),2)&amp;", "&amp;INDEX(RTable[#All],MATCH(ActionTracker[[#All],[Lease Number]],RTable[[#All],[Lease Number]],0),3))</f>
        <v>972 West King Edward, Vancouver, B.C. V5Z 2E2</v>
      </c>
      <c r="D7" s="37"/>
      <c r="E7" s="37"/>
      <c r="F7" s="37"/>
      <c r="G7" s="37" t="s">
        <v>472</v>
      </c>
      <c r="H7" s="37"/>
      <c r="I7" s="37" t="s">
        <v>472</v>
      </c>
      <c r="J7" s="37"/>
      <c r="K7"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7" s="40" t="str">
        <f>IF(ISERROR(INDEX(ContactList[#All],MATCH(ActionTracker[[#All],[Lease Number]],ContactList[[#All],[Lease Number]],0),12)),"",INDEX(ContactList[#All],MATCH(ActionTracker[[#All],[Lease Number]],ContactList[[#All],[Lease Number]],0),12))</f>
        <v>Shirley</v>
      </c>
      <c r="M7" s="40" t="str">
        <f>IF(ISERROR(INDEX(ContactList[#All],MATCH(ActionTracker[[#All],[Lease Number]],ContactList[[#All],[Lease Number]],0),12)),"",INDEX(ContactList[#All],MATCH(ActionTracker[[#All],[Lease Number]],ContactList[[#All],[Lease Number]],0),13))</f>
        <v>Lee</v>
      </c>
      <c r="N7" s="40" t="str">
        <f>IF(ISERROR(INDEX(ContactList[#All],MATCH(ActionTracker[[#All],[Lease Number]],ContactList[[#All],[Lease Number]],0),12)),"",INDEX(ContactList[#All],MATCH(ActionTracker[[#All],[Lease Number]],ContactList[[#All],[Lease Number]],0),14))</f>
        <v>slee@vml.bc.ca</v>
      </c>
      <c r="O7" s="40" t="str">
        <f>IF(ISERROR(INDEX(ContactList[#All],MATCH(ActionTracker[[#All],[Lease Number]],ContactList[[#All],[Lease Number]],0),12)),"",INDEX(ContactList[#All],MATCH(ActionTracker[[#All],[Lease Number]],ContactList[[#All],[Lease Number]],0),15))</f>
        <v>604 263 1766</v>
      </c>
      <c r="P7" s="11"/>
      <c r="Q7" s="107" t="s">
        <v>365</v>
      </c>
    </row>
    <row r="8" spans="1:18" ht="75" x14ac:dyDescent="0.25">
      <c r="A8" s="36" t="s">
        <v>1653</v>
      </c>
      <c r="B8" s="92" t="str">
        <f>IF(ISERROR(INDEX(RTable[#All],MATCH(ActionTracker[[#All],[Lease Number]],RTable[[#All],[Lease Number]],0),1)),"",INDEX(RTable[#All],MATCH(ActionTracker[[#All],[Lease Number]],RTable[[#All],[Lease Number]],0),1))</f>
        <v>Carrie Tran</v>
      </c>
      <c r="C8" s="92" t="str">
        <f>IF(ISERROR(INDEX(RTable[#All],MATCH(ActionTracker[[#All],[Lease Number]],RTable[[#All],[Lease Number]],0),1)),"",INDEX(RTable[#All],MATCH(ActionTracker[[#All],[Lease Number]],RTable[[#All],[Lease Number]],0),2)&amp;", "&amp;INDEX(RTable[#All],MATCH(ActionTracker[[#All],[Lease Number]],RTable[[#All],[Lease Number]],0),3))</f>
        <v>204 9014 152 St, Surrey, B.C. V3R 4E7</v>
      </c>
      <c r="D8" s="37"/>
      <c r="E8" s="37"/>
      <c r="F8" s="37"/>
      <c r="G8" s="37"/>
      <c r="H8" s="37"/>
      <c r="I8" s="42"/>
      <c r="J8" s="37" t="s">
        <v>472</v>
      </c>
      <c r="K8"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None</v>
      </c>
      <c r="L8" s="40" t="str">
        <f>IF(ISERROR(INDEX(ContactList[#All],MATCH(ActionTracker[[#All],[Lease Number]],ContactList[[#All],[Lease Number]],0),12)),"",INDEX(ContactList[#All],MATCH(ActionTracker[[#All],[Lease Number]],ContactList[[#All],[Lease Number]],0),12))</f>
        <v>Stuart</v>
      </c>
      <c r="M8" s="40" t="str">
        <f>IF(ISERROR(INDEX(ContactList[#All],MATCH(ActionTracker[[#All],[Lease Number]],ContactList[[#All],[Lease Number]],0),12)),"",INDEX(ContactList[#All],MATCH(ActionTracker[[#All],[Lease Number]],ContactList[[#All],[Lease Number]],0),13))</f>
        <v>Emery</v>
      </c>
      <c r="N8" s="40" t="str">
        <f>IF(ISERROR(INDEX(ContactList[#All],MATCH(ActionTracker[[#All],[Lease Number]],ContactList[[#All],[Lease Number]],0),12)),"",INDEX(ContactList[#All],MATCH(ActionTracker[[#All],[Lease Number]],ContactList[[#All],[Lease Number]],0),14))</f>
        <v>stuart.emery@telus.net</v>
      </c>
      <c r="O8" s="40" t="str">
        <f>IF(ISERROR(INDEX(ContactList[#All],MATCH(ActionTracker[[#All],[Lease Number]],ContactList[[#All],[Lease Number]],0),12)),"",INDEX(ContactList[#All],MATCH(ActionTracker[[#All],[Lease Number]],ContactList[[#All],[Lease Number]],0),15))</f>
        <v>604 730 9130</v>
      </c>
      <c r="P8" s="11"/>
      <c r="Q8" s="107" t="s">
        <v>368</v>
      </c>
    </row>
    <row r="9" spans="1:18" ht="30" x14ac:dyDescent="0.25">
      <c r="A9" s="36" t="s">
        <v>1443</v>
      </c>
      <c r="B9" s="92" t="str">
        <f>IF(ISERROR(INDEX(RTable[#All],MATCH(ActionTracker[[#All],[Lease Number]],RTable[[#All],[Lease Number]],0),1)),"",INDEX(RTable[#All],MATCH(ActionTracker[[#All],[Lease Number]],RTable[[#All],[Lease Number]],0),1))</f>
        <v>Shannon Upton</v>
      </c>
      <c r="C9" s="92" t="str">
        <f>IF(ISERROR(INDEX(RTable[#All],MATCH(ActionTracker[[#All],[Lease Number]],RTable[[#All],[Lease Number]],0),1)),"",INDEX(RTable[#All],MATCH(ActionTracker[[#All],[Lease Number]],RTable[[#All],[Lease Number]],0),2)&amp;", "&amp;INDEX(RTable[#All],MATCH(ActionTracker[[#All],[Lease Number]],RTable[[#All],[Lease Number]],0),3))</f>
        <v>227 Nelson's Crescent, New Westminster, B.C. V3L 0E3</v>
      </c>
      <c r="D9" s="36" t="s">
        <v>472</v>
      </c>
      <c r="E9" s="41" t="s">
        <v>472</v>
      </c>
      <c r="F9" s="41" t="s">
        <v>472</v>
      </c>
      <c r="G9" s="36" t="s">
        <v>472</v>
      </c>
      <c r="H9" s="41" t="s">
        <v>472</v>
      </c>
      <c r="I9" s="41" t="s">
        <v>472</v>
      </c>
      <c r="J9" s="36"/>
      <c r="K9"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Complete</v>
      </c>
      <c r="L9" s="11" t="str">
        <f>IF(ISERROR(INDEX(ContactList[#All],MATCH(ActionTracker[[#All],[Lease Number]],ContactList[[#All],[Lease Number]],0),12)),"",INDEX(ContactList[#All],MATCH(ActionTracker[[#All],[Lease Number]],ContactList[[#All],[Lease Number]],0),12))</f>
        <v>Steve</v>
      </c>
      <c r="M9" s="11" t="str">
        <f>IF(ISERROR(INDEX(ContactList[#All],MATCH(ActionTracker[[#All],[Lease Number]],ContactList[[#All],[Lease Number]],0),12)),"",INDEX(ContactList[#All],MATCH(ActionTracker[[#All],[Lease Number]],ContactList[[#All],[Lease Number]],0),13))</f>
        <v>Kochhar</v>
      </c>
      <c r="N9" s="11" t="str">
        <f>IF(ISERROR(INDEX(ContactList[#All],MATCH(ActionTracker[[#All],[Lease Number]],ContactList[[#All],[Lease Number]],0),12)),"",INDEX(ContactList[#All],MATCH(ActionTracker[[#All],[Lease Number]],ContactList[[#All],[Lease Number]],0),14))</f>
        <v>skochhar@wesgroup.ca</v>
      </c>
      <c r="O9" s="11" t="str">
        <f>IF(ISERROR(INDEX(ContactList[#All],MATCH(ActionTracker[[#All],[Lease Number]],ContactList[[#All],[Lease Number]],0),12)),"",INDEX(ContactList[#All],MATCH(ActionTracker[[#All],[Lease Number]],ContactList[[#All],[Lease Number]],0),15))</f>
        <v>604 648 1800</v>
      </c>
      <c r="P9" s="11"/>
      <c r="Q9" s="11"/>
    </row>
    <row r="10" spans="1:18" ht="30" x14ac:dyDescent="0.25">
      <c r="A10" s="36" t="s">
        <v>1669</v>
      </c>
      <c r="B10" s="92" t="str">
        <f>IF(ISERROR(INDEX(RTable[#All],MATCH(ActionTracker[[#All],[Lease Number]],RTable[[#All],[Lease Number]],0),1)),"",INDEX(RTable[#All],MATCH(ActionTracker[[#All],[Lease Number]],RTable[[#All],[Lease Number]],0),1))</f>
        <v>Carla Thebaud</v>
      </c>
      <c r="C10" s="92" t="str">
        <f>IF(ISERROR(INDEX(RTable[#All],MATCH(ActionTracker[[#All],[Lease Number]],RTable[[#All],[Lease Number]],0),1)),"",INDEX(RTable[#All],MATCH(ActionTracker[[#All],[Lease Number]],RTable[[#All],[Lease Number]],0),2)&amp;", "&amp;INDEX(RTable[#All],MATCH(ActionTracker[[#All],[Lease Number]],RTable[[#All],[Lease Number]],0),3))</f>
        <v xml:space="preserve">115-1465 Salisbury Ave, Port Coquitlam, B.C. </v>
      </c>
      <c r="D10" s="37" t="s">
        <v>472</v>
      </c>
      <c r="E10" s="37"/>
      <c r="F10" s="41" t="s">
        <v>472</v>
      </c>
      <c r="G10" s="41" t="s">
        <v>472</v>
      </c>
      <c r="H10" s="37" t="s">
        <v>472</v>
      </c>
      <c r="I10" s="37"/>
      <c r="J10" s="37"/>
      <c r="K10"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0" s="40" t="str">
        <f>IF(ISERROR(INDEX(ContactList[#All],MATCH(ActionTracker[[#All],[Lease Number]],ContactList[[#All],[Lease Number]],0),12)),"",INDEX(ContactList[#All],MATCH(ActionTracker[[#All],[Lease Number]],ContactList[[#All],[Lease Number]],0),12))</f>
        <v>Rick</v>
      </c>
      <c r="M10" s="40" t="str">
        <f>IF(ISERROR(INDEX(ContactList[#All],MATCH(ActionTracker[[#All],[Lease Number]],ContactList[[#All],[Lease Number]],0),12)),"",INDEX(ContactList[#All],MATCH(ActionTracker[[#All],[Lease Number]],ContactList[[#All],[Lease Number]],0),13))</f>
        <v>Payne</v>
      </c>
      <c r="N10" s="40" t="str">
        <f>IF(ISERROR(INDEX(ContactList[#All],MATCH(ActionTracker[[#All],[Lease Number]],ContactList[[#All],[Lease Number]],0),12)),"",INDEX(ContactList[#All],MATCH(ActionTracker[[#All],[Lease Number]],ContactList[[#All],[Lease Number]],0),14))</f>
        <v>payne_law@telus.net</v>
      </c>
      <c r="O10" s="40" t="str">
        <f>IF(ISERROR(INDEX(ContactList[#All],MATCH(ActionTracker[[#All],[Lease Number]],ContactList[[#All],[Lease Number]],0),12)),"",INDEX(ContactList[#All],MATCH(ActionTracker[[#All],[Lease Number]],ContactList[[#All],[Lease Number]],0),15))</f>
        <v>604 944 4115</v>
      </c>
      <c r="P10" s="11"/>
      <c r="Q10" s="100" t="s">
        <v>369</v>
      </c>
    </row>
    <row r="11" spans="1:18" ht="60" x14ac:dyDescent="0.25">
      <c r="A11" s="36" t="s">
        <v>1474</v>
      </c>
      <c r="B11" s="92" t="str">
        <f>IF(ISERROR(INDEX(RTable[#All],MATCH(ActionTracker[[#All],[Lease Number]],RTable[[#All],[Lease Number]],0),1)),"",INDEX(RTable[#All],MATCH(ActionTracker[[#All],[Lease Number]],RTable[[#All],[Lease Number]],0),1))</f>
        <v>Maria D'Averda</v>
      </c>
      <c r="C11" s="92" t="str">
        <f>IF(ISERROR(INDEX(RTable[#All],MATCH(ActionTracker[[#All],[Lease Number]],RTable[[#All],[Lease Number]],0),1)),"",INDEX(RTable[#All],MATCH(ActionTracker[[#All],[Lease Number]],RTable[[#All],[Lease Number]],0),2)&amp;", "&amp;INDEX(RTable[#All],MATCH(ActionTracker[[#All],[Lease Number]],RTable[[#All],[Lease Number]],0),3))</f>
        <v>2736 E. Hastings St., Vancouver, B.C. V5K 1Z9</v>
      </c>
      <c r="D11" s="37"/>
      <c r="E11" s="37"/>
      <c r="F11" s="37"/>
      <c r="G11" s="37" t="s">
        <v>472</v>
      </c>
      <c r="H11" s="37"/>
      <c r="I11" s="37"/>
      <c r="J11" s="37"/>
      <c r="K11"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1" s="40" t="str">
        <f>IF(ISERROR(INDEX(ContactList[#All],MATCH(ActionTracker[[#All],[Lease Number]],ContactList[[#All],[Lease Number]],0),12)),"",INDEX(ContactList[#All],MATCH(ActionTracker[[#All],[Lease Number]],ContactList[[#All],[Lease Number]],0),12))</f>
        <v>Kingsley</v>
      </c>
      <c r="M11" s="40" t="str">
        <f>IF(ISERROR(INDEX(ContactList[#All],MATCH(ActionTracker[[#All],[Lease Number]],ContactList[[#All],[Lease Number]],0),12)),"",INDEX(ContactList[#All],MATCH(ActionTracker[[#All],[Lease Number]],ContactList[[#All],[Lease Number]],0),13))</f>
        <v>Yeung</v>
      </c>
      <c r="N11" s="40" t="str">
        <f>IF(ISERROR(INDEX(ContactList[#All],MATCH(ActionTracker[[#All],[Lease Number]],ContactList[[#All],[Lease Number]],0),12)),"",INDEX(ContactList[#All],MATCH(ActionTracker[[#All],[Lease Number]],ContactList[[#All],[Lease Number]],0),14))</f>
        <v>kingsley@yandc.ca</v>
      </c>
      <c r="O11" s="40" t="str">
        <f>IF(ISERROR(INDEX(ContactList[#All],MATCH(ActionTracker[[#All],[Lease Number]],ContactList[[#All],[Lease Number]],0),12)),"",INDEX(ContactList[#All],MATCH(ActionTracker[[#All],[Lease Number]],ContactList[[#All],[Lease Number]],0),15))</f>
        <v>604 873 4309</v>
      </c>
      <c r="P11" s="11"/>
      <c r="Q11" s="112" t="s">
        <v>372</v>
      </c>
    </row>
    <row r="12" spans="1:18" ht="45" x14ac:dyDescent="0.25">
      <c r="A12" s="36" t="s">
        <v>1663</v>
      </c>
      <c r="B12" s="92" t="str">
        <f>IF(ISERROR(INDEX(RTable[#All],MATCH(ActionTracker[[#All],[Lease Number]],RTable[[#All],[Lease Number]],0),1)),"",INDEX(RTable[#All],MATCH(ActionTracker[[#All],[Lease Number]],RTable[[#All],[Lease Number]],0),1))</f>
        <v>Gladys Gomez Young</v>
      </c>
      <c r="C12" s="92" t="str">
        <f>IF(ISERROR(INDEX(RTable[#All],MATCH(ActionTracker[[#All],[Lease Number]],RTable[[#All],[Lease Number]],0),1)),"",INDEX(RTable[#All],MATCH(ActionTracker[[#All],[Lease Number]],RTable[[#All],[Lease Number]],0),2)&amp;", "&amp;INDEX(RTable[#All],MATCH(ActionTracker[[#All],[Lease Number]],RTable[[#All],[Lease Number]],0),3))</f>
        <v>136 Davie Street , Vancouver, B.C. V6Z 2Y1</v>
      </c>
      <c r="D12" s="42" t="s">
        <v>472</v>
      </c>
      <c r="E12" s="43" t="s">
        <v>472</v>
      </c>
      <c r="F12" s="43" t="s">
        <v>472</v>
      </c>
      <c r="G12" s="37" t="s">
        <v>472</v>
      </c>
      <c r="H12" s="37"/>
      <c r="I12" s="38" t="s">
        <v>471</v>
      </c>
      <c r="J12" s="37"/>
      <c r="K12"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12" s="40" t="str">
        <f>IF(ISERROR(INDEX(ContactList[#All],MATCH(ActionTracker[[#All],[Lease Number]],ContactList[[#All],[Lease Number]],0),12)),"",INDEX(ContactList[#All],MATCH(ActionTracker[[#All],[Lease Number]],ContactList[[#All],[Lease Number]],0),12))</f>
        <v>Jeff</v>
      </c>
      <c r="M12" s="40" t="str">
        <f>IF(ISERROR(INDEX(ContactList[#All],MATCH(ActionTracker[[#All],[Lease Number]],ContactList[[#All],[Lease Number]],0),12)),"",INDEX(ContactList[#All],MATCH(ActionTracker[[#All],[Lease Number]],ContactList[[#All],[Lease Number]],0),13))</f>
        <v>Gelfer</v>
      </c>
      <c r="N12" s="40" t="str">
        <f>IF(ISERROR(INDEX(ContactList[#All],MATCH(ActionTracker[[#All],[Lease Number]],ContactList[[#All],[Lease Number]],0),12)),"",INDEX(ContactList[#All],MATCH(ActionTracker[[#All],[Lease Number]],ContactList[[#All],[Lease Number]],0),14))</f>
        <v>jgelfer@ranchogroup.com</v>
      </c>
      <c r="O12" s="40" t="str">
        <f>IF(ISERROR(INDEX(ContactList[#All],MATCH(ActionTracker[[#All],[Lease Number]],ContactList[[#All],[Lease Number]],0),12)),"",INDEX(ContactList[#All],MATCH(ActionTracker[[#All],[Lease Number]],ContactList[[#All],[Lease Number]],0),15))</f>
        <v>604 684 4508</v>
      </c>
      <c r="P12" s="11"/>
      <c r="Q12" s="100" t="s">
        <v>375</v>
      </c>
    </row>
    <row r="13" spans="1:18" ht="60" x14ac:dyDescent="0.25">
      <c r="A13" s="36" t="s">
        <v>1472</v>
      </c>
      <c r="B13" s="92" t="str">
        <f>IF(ISERROR(INDEX(RTable[#All],MATCH(ActionTracker[[#All],[Lease Number]],RTable[[#All],[Lease Number]],0),1)),"",INDEX(RTable[#All],MATCH(ActionTracker[[#All],[Lease Number]],RTable[[#All],[Lease Number]],0),1))</f>
        <v>Cheryl Mcearchern</v>
      </c>
      <c r="C13" s="92" t="str">
        <f>IF(ISERROR(INDEX(RTable[#All],MATCH(ActionTracker[[#All],[Lease Number]],RTable[[#All],[Lease Number]],0),1)),"",INDEX(RTable[#All],MATCH(ActionTracker[[#All],[Lease Number]],RTable[[#All],[Lease Number]],0),2)&amp;", "&amp;INDEX(RTable[#All],MATCH(ActionTracker[[#All],[Lease Number]],RTable[[#All],[Lease Number]],0),3))</f>
        <v>203-6542 East Hastings St., Burnaby, B.C. V5B 1S2</v>
      </c>
      <c r="D13" s="37"/>
      <c r="E13" s="37"/>
      <c r="F13" s="37"/>
      <c r="G13" s="37" t="s">
        <v>472</v>
      </c>
      <c r="H13" s="37"/>
      <c r="I13" s="37" t="s">
        <v>472</v>
      </c>
      <c r="J13" s="37"/>
      <c r="K13"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3" s="40" t="str">
        <f>IF(ISERROR(INDEX(ContactList[#All],MATCH(ActionTracker[[#All],[Lease Number]],ContactList[[#All],[Lease Number]],0),12)),"",INDEX(ContactList[#All],MATCH(ActionTracker[[#All],[Lease Number]],ContactList[[#All],[Lease Number]],0),12))</f>
        <v>Daniel</v>
      </c>
      <c r="M13" s="40" t="str">
        <f>IF(ISERROR(INDEX(ContactList[#All],MATCH(ActionTracker[[#All],[Lease Number]],ContactList[[#All],[Lease Number]],0),12)),"",INDEX(ContactList[#All],MATCH(ActionTracker[[#All],[Lease Number]],ContactList[[#All],[Lease Number]],0),13))</f>
        <v>Mak</v>
      </c>
      <c r="N13" s="40" t="str">
        <f>IF(ISERROR(INDEX(ContactList[#All],MATCH(ActionTracker[[#All],[Lease Number]],ContactList[[#All],[Lease Number]],0),12)),"",INDEX(ContactList[#All],MATCH(ActionTracker[[#All],[Lease Number]],ContactList[[#All],[Lease Number]],0),14))</f>
        <v>daniel.mak@colliers.com</v>
      </c>
      <c r="O13" s="40" t="str">
        <f>IF(ISERROR(INDEX(ContactList[#All],MATCH(ActionTracker[[#All],[Lease Number]],ContactList[[#All],[Lease Number]],0),12)),"",INDEX(ContactList[#All],MATCH(ActionTracker[[#All],[Lease Number]],ContactList[[#All],[Lease Number]],0),15))</f>
        <v>604 662 2687</v>
      </c>
      <c r="P13" s="11"/>
      <c r="Q13" s="100" t="s">
        <v>378</v>
      </c>
    </row>
    <row r="14" spans="1:18" ht="180" x14ac:dyDescent="0.25">
      <c r="A14" s="36" t="s">
        <v>1478</v>
      </c>
      <c r="B14" s="92" t="str">
        <f>IF(ISERROR(INDEX(RTable[#All],MATCH(ActionTracker[[#All],[Lease Number]],RTable[[#All],[Lease Number]],0),1)),"",INDEX(RTable[#All],MATCH(ActionTracker[[#All],[Lease Number]],RTable[[#All],[Lease Number]],0),1))</f>
        <v>Sabrina Charley</v>
      </c>
      <c r="C14" s="92" t="str">
        <f>IF(ISERROR(INDEX(RTable[#All],MATCH(ActionTracker[[#All],[Lease Number]],RTable[[#All],[Lease Number]],0),1)),"",INDEX(RTable[#All],MATCH(ActionTracker[[#All],[Lease Number]],RTable[[#All],[Lease Number]],0),2)&amp;", "&amp;INDEX(RTable[#All],MATCH(ActionTracker[[#All],[Lease Number]],RTable[[#All],[Lease Number]],0),3))</f>
        <v>103 4012 Hastings Street, Burnaby, B.C. V5C 2J2</v>
      </c>
      <c r="D14" s="37"/>
      <c r="E14" s="37"/>
      <c r="F14" s="37"/>
      <c r="G14" s="37" t="s">
        <v>472</v>
      </c>
      <c r="H14" s="37"/>
      <c r="I14" s="37"/>
      <c r="J14" s="37"/>
      <c r="K14"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4" s="40" t="str">
        <f>IF(ISERROR(INDEX(ContactList[#All],MATCH(ActionTracker[[#All],[Lease Number]],ContactList[[#All],[Lease Number]],0),12)),"",INDEX(ContactList[#All],MATCH(ActionTracker[[#All],[Lease Number]],ContactList[[#All],[Lease Number]],0),12))</f>
        <v>Alfred</v>
      </c>
      <c r="M14" s="40" t="str">
        <f>IF(ISERROR(INDEX(ContactList[#All],MATCH(ActionTracker[[#All],[Lease Number]],ContactList[[#All],[Lease Number]],0),12)),"",INDEX(ContactList[#All],MATCH(ActionTracker[[#All],[Lease Number]],ContactList[[#All],[Lease Number]],0),13))</f>
        <v>Marchi</v>
      </c>
      <c r="N14" s="40" t="str">
        <f>IF(ISERROR(INDEX(ContactList[#All],MATCH(ActionTracker[[#All],[Lease Number]],ContactList[[#All],[Lease Number]],0),12)),"",INDEX(ContactList[#All],MATCH(ActionTracker[[#All],[Lease Number]],ContactList[[#All],[Lease Number]],0),14))</f>
        <v>alfmarchi@paragonrealty.ca</v>
      </c>
      <c r="O14" s="40" t="str">
        <f>IF(ISERROR(INDEX(ContactList[#All],MATCH(ActionTracker[[#All],[Lease Number]],ContactList[[#All],[Lease Number]],0),12)),"",INDEX(ContactList[#All],MATCH(ActionTracker[[#All],[Lease Number]],ContactList[[#All],[Lease Number]],0),15))</f>
        <v>604 576 3813</v>
      </c>
      <c r="P14" s="11"/>
      <c r="Q14" s="100" t="s">
        <v>499</v>
      </c>
      <c r="R14" s="110" t="s">
        <v>500</v>
      </c>
    </row>
    <row r="15" spans="1:18" ht="30" x14ac:dyDescent="0.25">
      <c r="A15" s="36" t="s">
        <v>1589</v>
      </c>
      <c r="B15" s="92" t="str">
        <f>IF(ISERROR(INDEX(RTable[#All],MATCH(ActionTracker[[#All],[Lease Number]],RTable[[#All],[Lease Number]],0),1)),"",INDEX(RTable[#All],MATCH(ActionTracker[[#All],[Lease Number]],RTable[[#All],[Lease Number]],0),1))</f>
        <v/>
      </c>
      <c r="C15" s="92" t="str">
        <f>IF(ISERROR(INDEX(RTable[#All],MATCH(ActionTracker[[#All],[Lease Number]],RTable[[#All],[Lease Number]],0),1)),"",INDEX(RTable[#All],MATCH(ActionTracker[[#All],[Lease Number]],RTable[[#All],[Lease Number]],0),2)&amp;", "&amp;INDEX(RTable[#All],MATCH(ActionTracker[[#All],[Lease Number]],RTable[[#All],[Lease Number]],0),3))</f>
        <v/>
      </c>
      <c r="D15" s="37"/>
      <c r="E15" s="37"/>
      <c r="F15" s="37"/>
      <c r="G15" s="37" t="s">
        <v>472</v>
      </c>
      <c r="H15" s="37"/>
      <c r="I15" s="37"/>
      <c r="J15" s="37"/>
      <c r="K15"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5" s="40" t="str">
        <f>IF(ISERROR(INDEX(ContactList[#All],MATCH(ActionTracker[[#All],[Lease Number]],ContactList[[#All],[Lease Number]],0),12)),"",INDEX(ContactList[#All],MATCH(ActionTracker[[#All],[Lease Number]],ContactList[[#All],[Lease Number]],0),12))</f>
        <v>Janet</v>
      </c>
      <c r="M15" s="40" t="str">
        <f>IF(ISERROR(INDEX(ContactList[#All],MATCH(ActionTracker[[#All],[Lease Number]],ContactList[[#All],[Lease Number]],0),12)),"",INDEX(ContactList[#All],MATCH(ActionTracker[[#All],[Lease Number]],ContactList[[#All],[Lease Number]],0),13))</f>
        <v>Fisher</v>
      </c>
      <c r="N15" s="40" t="str">
        <f>IF(ISERROR(INDEX(ContactList[#All],MATCH(ActionTracker[[#All],[Lease Number]],ContactList[[#All],[Lease Number]],0),12)),"",INDEX(ContactList[#All],MATCH(ActionTracker[[#All],[Lease Number]],ContactList[[#All],[Lease Number]],0),14))</f>
        <v>janet.fisher@primetimeliving.ca</v>
      </c>
      <c r="O15" s="40" t="str">
        <f>IF(ISERROR(INDEX(ContactList[#All],MATCH(ActionTracker[[#All],[Lease Number]],ContactList[[#All],[Lease Number]],0),12)),"",INDEX(ContactList[#All],MATCH(ActionTracker[[#All],[Lease Number]],ContactList[[#All],[Lease Number]],0),15))</f>
        <v>604 536 2855</v>
      </c>
      <c r="P15" s="11"/>
      <c r="Q15" s="107" t="s">
        <v>505</v>
      </c>
    </row>
    <row r="16" spans="1:18" ht="75" x14ac:dyDescent="0.25">
      <c r="A16" s="45" t="s">
        <v>1458</v>
      </c>
      <c r="B16" s="93" t="str">
        <f>IF(ISERROR(INDEX(RTable[#All],MATCH(ActionTracker[[#All],[Lease Number]],RTable[[#All],[Lease Number]],0),1)),"",INDEX(RTable[#All],MATCH(ActionTracker[[#All],[Lease Number]],RTable[[#All],[Lease Number]],0),1))</f>
        <v>Chris Yakabuski</v>
      </c>
      <c r="C16" s="93" t="str">
        <f>IF(ISERROR(INDEX(RTable[#All],MATCH(ActionTracker[[#All],[Lease Number]],RTable[[#All],[Lease Number]],0),1)),"",INDEX(RTable[#All],MATCH(ActionTracker[[#All],[Lease Number]],RTable[[#All],[Lease Number]],0),2)&amp;", "&amp;INDEX(RTable[#All],MATCH(ActionTracker[[#All],[Lease Number]],RTable[[#All],[Lease Number]],0),3))</f>
        <v>130-19653 Willowbrook Drive, Langley, B.C. V3S</v>
      </c>
      <c r="D16" s="45"/>
      <c r="E16" s="45"/>
      <c r="F16" s="45"/>
      <c r="G16" s="45" t="s">
        <v>472</v>
      </c>
      <c r="H16" s="45"/>
      <c r="I16" s="39"/>
      <c r="J16" s="11"/>
      <c r="K16"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6" s="40" t="str">
        <f>IF(ISERROR(INDEX(ContactList[#All],MATCH(ActionTracker[[#All],[Lease Number]],ContactList[[#All],[Lease Number]],0),12)),"",INDEX(ContactList[#All],MATCH(ActionTracker[[#All],[Lease Number]],ContactList[[#All],[Lease Number]],0),12))</f>
        <v>Chris</v>
      </c>
      <c r="M16" s="40" t="str">
        <f>IF(ISERROR(INDEX(ContactList[#All],MATCH(ActionTracker[[#All],[Lease Number]],ContactList[[#All],[Lease Number]],0),12)),"",INDEX(ContactList[#All],MATCH(ActionTracker[[#All],[Lease Number]],ContactList[[#All],[Lease Number]],0),13))</f>
        <v>Yakabuski</v>
      </c>
      <c r="N16" s="46" t="str">
        <f>IF(ISERROR(INDEX(ContactList[#All],MATCH(ActionTracker[[#All],[Lease Number]],ContactList[[#All],[Lease Number]],0),12)),"",INDEX(ContactList[#All],MATCH(ActionTracker[[#All],[Lease Number]],ContactList[[#All],[Lease Number]],0),14))</f>
        <v>cyakabuski@berezan.ca</v>
      </c>
      <c r="O16" s="40" t="str">
        <f>IF(ISERROR(INDEX(ContactList[#All],MATCH(ActionTracker[[#All],[Lease Number]],ContactList[[#All],[Lease Number]],0),12)),"",INDEX(ContactList[#All],MATCH(ActionTracker[[#All],[Lease Number]],ContactList[[#All],[Lease Number]],0),15))</f>
        <v>604 882 0808</v>
      </c>
      <c r="P16" s="11"/>
      <c r="Q16" s="100" t="s">
        <v>383</v>
      </c>
    </row>
    <row r="17" spans="1:17" ht="90" x14ac:dyDescent="0.25">
      <c r="A17" s="47" t="s">
        <v>1489</v>
      </c>
      <c r="B17" s="94" t="str">
        <f>IF(ISERROR(INDEX(RTable[#All],MATCH(ActionTracker[[#All],[Lease Number]],RTable[[#All],[Lease Number]],0),1)),"",INDEX(RTable[#All],MATCH(ActionTracker[[#All],[Lease Number]],RTable[[#All],[Lease Number]],0),1))</f>
        <v>Shari Webb</v>
      </c>
      <c r="C17" s="93" t="str">
        <f>IF(ISERROR(INDEX(RTable[#All],MATCH(ActionTracker[[#All],[Lease Number]],RTable[[#All],[Lease Number]],0),1)),"",INDEX(RTable[#All],MATCH(ActionTracker[[#All],[Lease Number]],RTable[[#All],[Lease Number]],0),2)&amp;", "&amp;INDEX(RTable[#All],MATCH(ActionTracker[[#All],[Lease Number]],RTable[[#All],[Lease Number]],0),3))</f>
        <v>#102, 20995-88th Ave, Langley, B.C. V1M 2C9</v>
      </c>
      <c r="D17" s="48"/>
      <c r="E17" s="48"/>
      <c r="F17" s="48"/>
      <c r="G17" s="48" t="s">
        <v>472</v>
      </c>
      <c r="H17" s="48"/>
      <c r="I17" s="45" t="s">
        <v>472</v>
      </c>
      <c r="J17" s="45"/>
      <c r="K17"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7" s="40" t="str">
        <f>IF(ISERROR(INDEX(ContactList[#All],MATCH(ActionTracker[[#All],[Lease Number]],ContactList[[#All],[Lease Number]],0),12)),"",INDEX(ContactList[#All],MATCH(ActionTracker[[#All],[Lease Number]],ContactList[[#All],[Lease Number]],0),12))</f>
        <v>Shari</v>
      </c>
      <c r="M17" s="40" t="str">
        <f>IF(ISERROR(INDEX(ContactList[#All],MATCH(ActionTracker[[#All],[Lease Number]],ContactList[[#All],[Lease Number]],0),12)),"",INDEX(ContactList[#All],MATCH(ActionTracker[[#All],[Lease Number]],ContactList[[#All],[Lease Number]],0),13))</f>
        <v>Webb</v>
      </c>
      <c r="N17" s="40" t="str">
        <f>IF(ISERROR(INDEX(ContactList[#All],MATCH(ActionTracker[[#All],[Lease Number]],ContactList[[#All],[Lease Number]],0),12)),"",INDEX(ContactList[#All],MATCH(ActionTracker[[#All],[Lease Number]],ContactList[[#All],[Lease Number]],0),14))</f>
        <v>shari@youronlycall.ca</v>
      </c>
      <c r="O17" s="40" t="str">
        <f>IF(ISERROR(INDEX(ContactList[#All],MATCH(ActionTracker[[#All],[Lease Number]],ContactList[[#All],[Lease Number]],0),12)),"",INDEX(ContactList[#All],MATCH(ActionTracker[[#All],[Lease Number]],ContactList[[#All],[Lease Number]],0),15))</f>
        <v>604 921 1841</v>
      </c>
      <c r="P17" s="11"/>
      <c r="Q17" s="100" t="s">
        <v>386</v>
      </c>
    </row>
    <row r="18" spans="1:17" ht="45" x14ac:dyDescent="0.25">
      <c r="A18" s="47" t="s">
        <v>1517</v>
      </c>
      <c r="B18" s="94" t="str">
        <f>IF(ISERROR(INDEX(RTable[#All],MATCH(ActionTracker[[#All],[Lease Number]],RTable[[#All],[Lease Number]],0),1)),"",INDEX(RTable[#All],MATCH(ActionTracker[[#All],[Lease Number]],RTable[[#All],[Lease Number]],0),1))</f>
        <v>Haney Professional Building</v>
      </c>
      <c r="C18" s="93" t="str">
        <f>IF(ISERROR(INDEX(RTable[#All],MATCH(ActionTracker[[#All],[Lease Number]],RTable[[#All],[Lease Number]],0),1)),"",INDEX(RTable[#All],MATCH(ActionTracker[[#All],[Lease Number]],RTable[[#All],[Lease Number]],0),2)&amp;", "&amp;INDEX(RTable[#All],MATCH(ActionTracker[[#All],[Lease Number]],RTable[[#All],[Lease Number]],0),3))</f>
        <v>11743 224th St., Maple Ridge, B.C. V2X 6A2</v>
      </c>
      <c r="D18" s="48" t="s">
        <v>472</v>
      </c>
      <c r="E18" s="48"/>
      <c r="F18" s="48" t="s">
        <v>472</v>
      </c>
      <c r="G18" s="45" t="s">
        <v>472</v>
      </c>
      <c r="H18" s="48"/>
      <c r="I18" s="45" t="s">
        <v>472</v>
      </c>
      <c r="J18" s="45"/>
      <c r="K18"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8" s="11" t="str">
        <f>IF(ISERROR(INDEX(ContactList[#All],MATCH(ActionTracker[[#All],[Lease Number]],ContactList[[#All],[Lease Number]],0),12)),"",INDEX(ContactList[#All],MATCH(ActionTracker[[#All],[Lease Number]],ContactList[[#All],[Lease Number]],0),12))</f>
        <v>Mohamud</v>
      </c>
      <c r="M18" s="11" t="str">
        <f>IF(ISERROR(INDEX(ContactList[#All],MATCH(ActionTracker[[#All],[Lease Number]],ContactList[[#All],[Lease Number]],0),12)),"",INDEX(ContactList[#All],MATCH(ActionTracker[[#All],[Lease Number]],ContactList[[#All],[Lease Number]],0),13))</f>
        <v>Karim</v>
      </c>
      <c r="N18" s="11" t="str">
        <f>IF(ISERROR(INDEX(ContactList[#All],MATCH(ActionTracker[[#All],[Lease Number]],ContactList[[#All],[Lease Number]],0),12)),"",INDEX(ContactList[#All],MATCH(ActionTracker[[#All],[Lease Number]],ContactList[[#All],[Lease Number]],0),14))</f>
        <v>makarim@telus.net</v>
      </c>
      <c r="O18" s="11" t="str">
        <f>IF(ISERROR(INDEX(ContactList[#All],MATCH(ActionTracker[[#All],[Lease Number]],ContactList[[#All],[Lease Number]],0),12)),"",INDEX(ContactList[#All],MATCH(ActionTracker[[#All],[Lease Number]],ContactList[[#All],[Lease Number]],0),15))</f>
        <v>604 562 2796</v>
      </c>
      <c r="P18" s="11"/>
      <c r="Q18" s="100" t="s">
        <v>387</v>
      </c>
    </row>
    <row r="19" spans="1:17" ht="90" x14ac:dyDescent="0.25">
      <c r="A19" s="47" t="s">
        <v>1594</v>
      </c>
      <c r="B19" s="94" t="str">
        <f>IF(ISERROR(INDEX(RTable[#All],MATCH(ActionTracker[[#All],[Lease Number]],RTable[[#All],[Lease Number]],0),1)),"",INDEX(RTable[#All],MATCH(ActionTracker[[#All],[Lease Number]],RTable[[#All],[Lease Number]],0),1))</f>
        <v>Mike Wester</v>
      </c>
      <c r="C19" s="93" t="str">
        <f>IF(ISERROR(INDEX(RTable[#All],MATCH(ActionTracker[[#All],[Lease Number]],RTable[[#All],[Lease Number]],0),1)),"",INDEX(RTable[#All],MATCH(ActionTracker[[#All],[Lease Number]],RTable[[#All],[Lease Number]],0),2)&amp;", "&amp;INDEX(RTable[#All],MATCH(ActionTracker[[#All],[Lease Number]],RTable[[#All],[Lease Number]],0),3))</f>
        <v>2151 McCallum Road Abbotsford, Abbotsford, B.C. V2S</v>
      </c>
      <c r="D19" s="48" t="s">
        <v>472</v>
      </c>
      <c r="E19" s="48" t="s">
        <v>472</v>
      </c>
      <c r="F19" s="48" t="s">
        <v>472</v>
      </c>
      <c r="G19" s="48" t="s">
        <v>472</v>
      </c>
      <c r="H19" s="48" t="s">
        <v>472</v>
      </c>
      <c r="I19" s="39"/>
      <c r="J19" s="11"/>
      <c r="K19"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19" s="40" t="str">
        <f>IF(ISERROR(INDEX(ContactList[#All],MATCH(ActionTracker[[#All],[Lease Number]],ContactList[[#All],[Lease Number]],0),12)),"",INDEX(ContactList[#All],MATCH(ActionTracker[[#All],[Lease Number]],ContactList[[#All],[Lease Number]],0),12))</f>
        <v>Mike</v>
      </c>
      <c r="M19" s="40" t="str">
        <f>IF(ISERROR(INDEX(ContactList[#All],MATCH(ActionTracker[[#All],[Lease Number]],ContactList[[#All],[Lease Number]],0),12)),"",INDEX(ContactList[#All],MATCH(ActionTracker[[#All],[Lease Number]],ContactList[[#All],[Lease Number]],0),13))</f>
        <v>Wester</v>
      </c>
      <c r="N19" s="40" t="str">
        <f>IF(ISERROR(INDEX(ContactList[#All],MATCH(ActionTracker[[#All],[Lease Number]],ContactList[[#All],[Lease Number]],0),12)),"",INDEX(ContactList[#All],MATCH(ActionTracker[[#All],[Lease Number]],ContactList[[#All],[Lease Number]],0),14))</f>
        <v>mike.mtm@live.com</v>
      </c>
      <c r="O19" s="40" t="str">
        <f>IF(ISERROR(INDEX(ContactList[#All],MATCH(ActionTracker[[#All],[Lease Number]],ContactList[[#All],[Lease Number]],0),12)),"",INDEX(ContactList[#All],MATCH(ActionTracker[[#All],[Lease Number]],ContactList[[#All],[Lease Number]],0),15))</f>
        <v>604 853 2800</v>
      </c>
      <c r="P19" s="11"/>
      <c r="Q19" s="100" t="s">
        <v>390</v>
      </c>
    </row>
    <row r="20" spans="1:17" ht="90" x14ac:dyDescent="0.25">
      <c r="A20" s="47" t="s">
        <v>1635</v>
      </c>
      <c r="B20" s="94" t="str">
        <f>IF(ISERROR(INDEX(RTable[#All],MATCH(ActionTracker[[#All],[Lease Number]],RTable[[#All],[Lease Number]],0),1)),"",INDEX(RTable[#All],MATCH(ActionTracker[[#All],[Lease Number]],RTable[[#All],[Lease Number]],0),1))</f>
        <v>Wayne Sasaki</v>
      </c>
      <c r="C20" s="93" t="str">
        <f>IF(ISERROR(INDEX(RTable[#All],MATCH(ActionTracker[[#All],[Lease Number]],RTable[[#All],[Lease Number]],0),1)),"",INDEX(RTable[#All],MATCH(ActionTracker[[#All],[Lease Number]],RTable[[#All],[Lease Number]],0),2)&amp;", "&amp;INDEX(RTable[#All],MATCH(ActionTracker[[#All],[Lease Number]],RTable[[#All],[Lease Number]],0),3))</f>
        <v>8425 - 120th St., Delta, B.C. V4C 6R2</v>
      </c>
      <c r="D20" s="47" t="s">
        <v>472</v>
      </c>
      <c r="E20" s="47" t="s">
        <v>472</v>
      </c>
      <c r="F20" s="47" t="s">
        <v>472</v>
      </c>
      <c r="G20" s="47" t="s">
        <v>472</v>
      </c>
      <c r="H20" s="47" t="s">
        <v>472</v>
      </c>
      <c r="I20" s="49"/>
      <c r="J20" s="11"/>
      <c r="K20"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20" s="40" t="str">
        <f>IF(ISERROR(INDEX(ContactList[#All],MATCH(ActionTracker[[#All],[Lease Number]],ContactList[[#All],[Lease Number]],0),12)),"",INDEX(ContactList[#All],MATCH(ActionTracker[[#All],[Lease Number]],ContactList[[#All],[Lease Number]],0),12))</f>
        <v>Wayne</v>
      </c>
      <c r="M20" s="40" t="str">
        <f>IF(ISERROR(INDEX(ContactList[#All],MATCH(ActionTracker[[#All],[Lease Number]],ContactList[[#All],[Lease Number]],0),12)),"",INDEX(ContactList[#All],MATCH(ActionTracker[[#All],[Lease Number]],ContactList[[#All],[Lease Number]],0),13))</f>
        <v>Sasaki</v>
      </c>
      <c r="N20" s="40" t="str">
        <f>IF(ISERROR(INDEX(ContactList[#All],MATCH(ActionTracker[[#All],[Lease Number]],ContactList[[#All],[Lease Number]],0),12)),"",INDEX(ContactList[#All],MATCH(ActionTracker[[#All],[Lease Number]],ContactList[[#All],[Lease Number]],0),14))</f>
        <v>wsasaki@stratawest.com</v>
      </c>
      <c r="O20" s="40" t="str">
        <f>IF(ISERROR(INDEX(ContactList[#All],MATCH(ActionTracker[[#All],[Lease Number]],ContactList[[#All],[Lease Number]],0),12)),"",INDEX(ContactList[#All],MATCH(ActionTracker[[#All],[Lease Number]],ContactList[[#All],[Lease Number]],0),15))</f>
        <v>604 904 9595</v>
      </c>
      <c r="P20" s="11"/>
      <c r="Q20" s="113" t="s">
        <v>391</v>
      </c>
    </row>
    <row r="21" spans="1:17" ht="228" x14ac:dyDescent="0.25">
      <c r="A21" s="47" t="s">
        <v>1677</v>
      </c>
      <c r="B21" s="94" t="str">
        <f>IF(ISERROR(INDEX(RTable[#All],MATCH(ActionTracker[[#All],[Lease Number]],RTable[[#All],[Lease Number]],0),1)),"",INDEX(RTable[#All],MATCH(ActionTracker[[#All],[Lease Number]],RTable[[#All],[Lease Number]],0),1))</f>
        <v>Archie  Parhar</v>
      </c>
      <c r="C21" s="93" t="str">
        <f>IF(ISERROR(INDEX(RTable[#All],MATCH(ActionTracker[[#All],[Lease Number]],RTable[[#All],[Lease Number]],0),1)),"",INDEX(RTable[#All],MATCH(ActionTracker[[#All],[Lease Number]],RTable[[#All],[Lease Number]],0),2)&amp;", "&amp;INDEX(RTable[#All],MATCH(ActionTracker[[#All],[Lease Number]],RTable[[#All],[Lease Number]],0),3))</f>
        <v>104-7885 6th  Street   , Burnaby, B.C. V3N 3N4</v>
      </c>
      <c r="D21" s="11"/>
      <c r="E21" s="47"/>
      <c r="F21" s="47" t="s">
        <v>472</v>
      </c>
      <c r="G21" s="47" t="s">
        <v>472</v>
      </c>
      <c r="H21" s="47"/>
      <c r="I21" s="47"/>
      <c r="J21" s="11"/>
      <c r="K21"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21" s="40" t="str">
        <f>IF(ISERROR(INDEX(ContactList[#All],MATCH(ActionTracker[[#All],[Lease Number]],ContactList[[#All],[Lease Number]],0),12)),"",INDEX(ContactList[#All],MATCH(ActionTracker[[#All],[Lease Number]],ContactList[[#All],[Lease Number]],0),12))</f>
        <v>Archie</v>
      </c>
      <c r="M21" s="40" t="str">
        <f>IF(ISERROR(INDEX(ContactList[#All],MATCH(ActionTracker[[#All],[Lease Number]],ContactList[[#All],[Lease Number]],0),12)),"",INDEX(ContactList[#All],MATCH(ActionTracker[[#All],[Lease Number]],ContactList[[#All],[Lease Number]],0),13))</f>
        <v>Parhar</v>
      </c>
      <c r="N21" s="40" t="str">
        <f>IF(ISERROR(INDEX(ContactList[#All],MATCH(ActionTracker[[#All],[Lease Number]],ContactList[[#All],[Lease Number]],0),12)),"",INDEX(ContactList[#All],MATCH(ActionTracker[[#All],[Lease Number]],ContactList[[#All],[Lease Number]],0),14))</f>
        <v>operations@coremedicalcentre.ca</v>
      </c>
      <c r="O21" s="40" t="str">
        <f>IF(ISERROR(INDEX(ContactList[#All],MATCH(ActionTracker[[#All],[Lease Number]],ContactList[[#All],[Lease Number]],0),12)),"",INDEX(ContactList[#All],MATCH(ActionTracker[[#All],[Lease Number]],ContactList[[#All],[Lease Number]],0),15))</f>
        <v>604 525 8657</v>
      </c>
      <c r="P21" s="44" t="s">
        <v>516</v>
      </c>
      <c r="Q21" s="114" t="s">
        <v>394</v>
      </c>
    </row>
    <row r="22" spans="1:17" ht="30" x14ac:dyDescent="0.25">
      <c r="A22" s="47" t="s">
        <v>1501</v>
      </c>
      <c r="B22" s="94" t="str">
        <f>IF(ISERROR(INDEX(RTable[#All],MATCH(ActionTracker[[#All],[Lease Number]],RTable[[#All],[Lease Number]],0),1)),"",INDEX(RTable[#All],MATCH(ActionTracker[[#All],[Lease Number]],RTable[[#All],[Lease Number]],0),1))</f>
        <v>Aberdeen Centre</v>
      </c>
      <c r="C22" s="93" t="str">
        <f>IF(ISERROR(INDEX(RTable[#All],MATCH(ActionTracker[[#All],[Lease Number]],RTable[[#All],[Lease Number]],0),1)),"",INDEX(RTable[#All],MATCH(ActionTracker[[#All],[Lease Number]],RTable[[#All],[Lease Number]],0),2)&amp;", "&amp;INDEX(RTable[#All],MATCH(ActionTracker[[#All],[Lease Number]],RTable[[#All],[Lease Number]],0),3))</f>
        <v>4151 Hazelbridge Way, Richmond, B.C., Richmond, B.C. V6X 0A4</v>
      </c>
      <c r="D22" s="47" t="s">
        <v>472</v>
      </c>
      <c r="E22" s="47" t="s">
        <v>472</v>
      </c>
      <c r="F22" s="47" t="s">
        <v>472</v>
      </c>
      <c r="G22" s="47" t="s">
        <v>472</v>
      </c>
      <c r="H22" s="47"/>
      <c r="I22" s="47" t="s">
        <v>472</v>
      </c>
      <c r="J22" s="11"/>
      <c r="K22"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22" s="11" t="str">
        <f>IF(ISERROR(INDEX(ContactList[#All],MATCH(ActionTracker[[#All],[Lease Number]],ContactList[[#All],[Lease Number]],0),12)),"",INDEX(ContactList[#All],MATCH(ActionTracker[[#All],[Lease Number]],ContactList[[#All],[Lease Number]],0),12))</f>
        <v>Luther</v>
      </c>
      <c r="M22" s="11" t="str">
        <f>IF(ISERROR(INDEX(ContactList[#All],MATCH(ActionTracker[[#All],[Lease Number]],ContactList[[#All],[Lease Number]],0),12)),"",INDEX(ContactList[#All],MATCH(ActionTracker[[#All],[Lease Number]],ContactList[[#All],[Lease Number]],0),13))</f>
        <v>Lau</v>
      </c>
      <c r="N22" s="11" t="str">
        <f>IF(ISERROR(INDEX(ContactList[#All],MATCH(ActionTracker[[#All],[Lease Number]],ContactList[[#All],[Lease Number]],0),12)),"",INDEX(ContactList[#All],MATCH(ActionTracker[[#All],[Lease Number]],ContactList[[#All],[Lease Number]],0),14))</f>
        <v>luther@aberdeenpml.com</v>
      </c>
      <c r="O22" s="11" t="str">
        <f>IF(ISERROR(INDEX(ContactList[#All],MATCH(ActionTracker[[#All],[Lease Number]],ContactList[[#All],[Lease Number]],0),12)),"",INDEX(ContactList[#All],MATCH(ActionTracker[[#All],[Lease Number]],ContactList[[#All],[Lease Number]],0),15))</f>
        <v>604 273 1234</v>
      </c>
      <c r="P22" s="11"/>
      <c r="Q22" s="11"/>
    </row>
    <row r="23" spans="1:17" ht="180" x14ac:dyDescent="0.25">
      <c r="A23" s="47" t="s">
        <v>1599</v>
      </c>
      <c r="B23" s="94" t="str">
        <f>IF(ISERROR(INDEX(RTable[#All],MATCH(ActionTracker[[#All],[Lease Number]],RTable[[#All],[Lease Number]],0),1)),"",INDEX(RTable[#All],MATCH(ActionTracker[[#All],[Lease Number]],RTable[[#All],[Lease Number]],0),1))</f>
        <v>Pharmtech Enterprises Ltd.</v>
      </c>
      <c r="C23" s="93" t="str">
        <f>IF(ISERROR(INDEX(RTable[#All],MATCH(ActionTracker[[#All],[Lease Number]],RTable[[#All],[Lease Number]],0),1)),"",INDEX(RTable[#All],MATCH(ActionTracker[[#All],[Lease Number]],RTable[[#All],[Lease Number]],0),2)&amp;", "&amp;INDEX(RTable[#All],MATCH(ActionTracker[[#All],[Lease Number]],RTable[[#All],[Lease Number]],0),3))</f>
        <v>7343 Hurd St., Mission, B.C. V2V 3H5</v>
      </c>
      <c r="D23" s="42" t="s">
        <v>472</v>
      </c>
      <c r="E23" s="47"/>
      <c r="F23" s="47"/>
      <c r="G23" s="47" t="s">
        <v>472</v>
      </c>
      <c r="H23" s="47"/>
      <c r="I23" s="47"/>
      <c r="J23" s="11"/>
      <c r="K23"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23" s="40" t="str">
        <f>IF(ISERROR(INDEX(ContactList[#All],MATCH(ActionTracker[[#All],[Lease Number]],ContactList[[#All],[Lease Number]],0),12)),"",INDEX(ContactList[#All],MATCH(ActionTracker[[#All],[Lease Number]],ContactList[[#All],[Lease Number]],0),12))</f>
        <v>Joe</v>
      </c>
      <c r="M23" s="40" t="str">
        <f>IF(ISERROR(INDEX(ContactList[#All],MATCH(ActionTracker[[#All],[Lease Number]],ContactList[[#All],[Lease Number]],0),12)),"",INDEX(ContactList[#All],MATCH(ActionTracker[[#All],[Lease Number]],ContactList[[#All],[Lease Number]],0),13))</f>
        <v>Milic</v>
      </c>
      <c r="N23" s="40" t="str">
        <f>IF(ISERROR(INDEX(ContactList[#All],MATCH(ActionTracker[[#All],[Lease Number]],ContactList[[#All],[Lease Number]],0),12)),"",INDEX(ContactList[#All],MATCH(ActionTracker[[#All],[Lease Number]],ContactList[[#All],[Lease Number]],0),14))</f>
        <v>pharmtechmanager@gmail.com</v>
      </c>
      <c r="O23" s="40" t="str">
        <f>IF(ISERROR(INDEX(ContactList[#All],MATCH(ActionTracker[[#All],[Lease Number]],ContactList[[#All],[Lease Number]],0),12)),"",INDEX(ContactList[#All],MATCH(ActionTracker[[#All],[Lease Number]],ContactList[[#All],[Lease Number]],0),15))</f>
        <v>778 689 1830</v>
      </c>
      <c r="P23" s="11"/>
      <c r="Q23" s="107" t="s">
        <v>397</v>
      </c>
    </row>
    <row r="24" spans="1:17" ht="30" x14ac:dyDescent="0.25">
      <c r="A24" s="50" t="s">
        <v>1643</v>
      </c>
      <c r="B24" s="95" t="str">
        <f>IF(ISERROR(INDEX(RTable[#All],MATCH(ActionTracker[[#All],[Lease Number]],RTable[[#All],[Lease Number]],0),1)),"",INDEX(RTable[#All],MATCH(ActionTracker[[#All],[Lease Number]],RTable[[#All],[Lease Number]],0),1))</f>
        <v>Caitlin Preston</v>
      </c>
      <c r="C24" s="95" t="str">
        <f>IF(ISERROR(INDEX(RTable[#All],MATCH(ActionTracker[[#All],[Lease Number]],RTable[[#All],[Lease Number]],0),1)),"",INDEX(RTable[#All],MATCH(ActionTracker[[#All],[Lease Number]],RTable[[#All],[Lease Number]],0),2)&amp;", "&amp;INDEX(RTable[#All],MATCH(ActionTracker[[#All],[Lease Number]],RTable[[#All],[Lease Number]],0),3))</f>
        <v>9200 Mary Street, Chilliwack, B.C.</v>
      </c>
      <c r="D24" s="51" t="s">
        <v>472</v>
      </c>
      <c r="E24" s="51" t="s">
        <v>472</v>
      </c>
      <c r="F24" s="51" t="s">
        <v>472</v>
      </c>
      <c r="G24" s="51" t="s">
        <v>472</v>
      </c>
      <c r="H24" s="51" t="s">
        <v>472</v>
      </c>
      <c r="I24" s="52"/>
      <c r="J24" s="51"/>
      <c r="K24"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24" s="40" t="str">
        <f>IF(ISERROR(INDEX(ContactList[#All],MATCH(ActionTracker[[#All],[Lease Number]],ContactList[[#All],[Lease Number]],0),12)),"",INDEX(ContactList[#All],MATCH(ActionTracker[[#All],[Lease Number]],ContactList[[#All],[Lease Number]],0),12))</f>
        <v>Caitlin</v>
      </c>
      <c r="M24" s="40" t="str">
        <f>IF(ISERROR(INDEX(ContactList[#All],MATCH(ActionTracker[[#All],[Lease Number]],ContactList[[#All],[Lease Number]],0),12)),"",INDEX(ContactList[#All],MATCH(ActionTracker[[#All],[Lease Number]],ContactList[[#All],[Lease Number]],0),13))</f>
        <v>Preston</v>
      </c>
      <c r="N24" s="40" t="str">
        <f>IF(ISERROR(INDEX(ContactList[#All],MATCH(ActionTracker[[#All],[Lease Number]],ContactList[[#All],[Lease Number]],0),12)),"",INDEX(ContactList[#All],MATCH(ActionTracker[[#All],[Lease Number]],ContactList[[#All],[Lease Number]],0),14))</f>
        <v>cpreston@hgpmc.com</v>
      </c>
      <c r="O24" s="40" t="str">
        <f>IF(ISERROR(INDEX(ContactList[#All],MATCH(ActionTracker[[#All],[Lease Number]],ContactList[[#All],[Lease Number]],0),12)),"",INDEX(ContactList[#All],MATCH(ActionTracker[[#All],[Lease Number]],ContactList[[#All],[Lease Number]],0),15))</f>
        <v>604 858 7368</v>
      </c>
      <c r="P24" s="11"/>
      <c r="Q24" s="115" t="s">
        <v>398</v>
      </c>
    </row>
    <row r="25" spans="1:17" ht="30" x14ac:dyDescent="0.25">
      <c r="A25" s="50" t="s">
        <v>1564</v>
      </c>
      <c r="B25" s="95" t="str">
        <f>IF(ISERROR(INDEX(RTable[#All],MATCH(ActionTracker[[#All],[Lease Number]],RTable[[#All],[Lease Number]],0),1)),"",INDEX(RTable[#All],MATCH(ActionTracker[[#All],[Lease Number]],RTable[[#All],[Lease Number]],0),1))</f>
        <v>LR</v>
      </c>
      <c r="C25" s="95" t="str">
        <f>IF(ISERROR(INDEX(RTable[#All],MATCH(ActionTracker[[#All],[Lease Number]],RTable[[#All],[Lease Number]],0),1)),"",INDEX(RTable[#All],MATCH(ActionTracker[[#All],[Lease Number]],RTable[[#All],[Lease Number]],0),2)&amp;", "&amp;INDEX(RTable[#All],MATCH(ActionTracker[[#All],[Lease Number]],RTable[[#All],[Lease Number]],0),3))</f>
        <v>2626 St Johns Street, Port Moody, B.C. V3H 2B6</v>
      </c>
      <c r="D25" s="51" t="s">
        <v>472</v>
      </c>
      <c r="E25" s="51" t="s">
        <v>472</v>
      </c>
      <c r="F25" s="51" t="s">
        <v>472</v>
      </c>
      <c r="G25" s="51" t="s">
        <v>472</v>
      </c>
      <c r="H25" s="51" t="s">
        <v>472</v>
      </c>
      <c r="I25" s="51"/>
      <c r="J25" s="51"/>
      <c r="K25"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25" s="40" t="str">
        <f>IF(ISERROR(INDEX(ContactList[#All],MATCH(ActionTracker[[#All],[Lease Number]],ContactList[[#All],[Lease Number]],0),12)),"",INDEX(ContactList[#All],MATCH(ActionTracker[[#All],[Lease Number]],ContactList[[#All],[Lease Number]],0),12))</f>
        <v>Lui</v>
      </c>
      <c r="M25" s="40" t="str">
        <f>IF(ISERROR(INDEX(ContactList[#All],MATCH(ActionTracker[[#All],[Lease Number]],ContactList[[#All],[Lease Number]],0),12)),"",INDEX(ContactList[#All],MATCH(ActionTracker[[#All],[Lease Number]],ContactList[[#All],[Lease Number]],0),13))</f>
        <v>Rinaldo</v>
      </c>
      <c r="N25" s="40" t="str">
        <f>IF(ISERROR(INDEX(ContactList[#All],MATCH(ActionTracker[[#All],[Lease Number]],ContactList[[#All],[Lease Number]],0),12)),"",INDEX(ContactList[#All],MATCH(ActionTracker[[#All],[Lease Number]],ContactList[[#All],[Lease Number]],0),14))</f>
        <v>cabomac91@gmail.com</v>
      </c>
      <c r="O25" s="40" t="str">
        <f>IF(ISERROR(INDEX(ContactList[#All],MATCH(ActionTracker[[#All],[Lease Number]],ContactList[[#All],[Lease Number]],0),12)),"",INDEX(ContactList[#All],MATCH(ActionTracker[[#All],[Lease Number]],ContactList[[#All],[Lease Number]],0),15))</f>
        <v>604 298 8775</v>
      </c>
      <c r="P25" s="11"/>
      <c r="Q25" s="11" t="s">
        <v>401</v>
      </c>
    </row>
    <row r="26" spans="1:17" ht="60" x14ac:dyDescent="0.25">
      <c r="A26" s="50" t="s">
        <v>1496</v>
      </c>
      <c r="B26" s="95" t="str">
        <f>IF(ISERROR(INDEX(RTable[#All],MATCH(ActionTracker[[#All],[Lease Number]],RTable[[#All],[Lease Number]],0),1)),"",INDEX(RTable[#All],MATCH(ActionTracker[[#All],[Lease Number]],RTable[[#All],[Lease Number]],0),1))</f>
        <v>Wonju Aschenbrenner</v>
      </c>
      <c r="C26" s="95" t="str">
        <f>IF(ISERROR(INDEX(RTable[#All],MATCH(ActionTracker[[#All],[Lease Number]],RTable[[#All],[Lease Number]],0),1)),"",INDEX(RTable[#All],MATCH(ActionTracker[[#All],[Lease Number]],RTable[[#All],[Lease Number]],0),2)&amp;", "&amp;INDEX(RTable[#All],MATCH(ActionTracker[[#All],[Lease Number]],RTable[[#All],[Lease Number]],0),3))</f>
        <v>112, 15252 32 Avenue, Surrey, B.C. V3S 0R7</v>
      </c>
      <c r="D26" s="51" t="s">
        <v>472</v>
      </c>
      <c r="E26" s="51" t="s">
        <v>472</v>
      </c>
      <c r="F26" s="51" t="s">
        <v>472</v>
      </c>
      <c r="G26" s="51" t="s">
        <v>472</v>
      </c>
      <c r="H26" s="51" t="s">
        <v>472</v>
      </c>
      <c r="I26" s="51" t="s">
        <v>472</v>
      </c>
      <c r="J26" s="51"/>
      <c r="K26"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Complete</v>
      </c>
      <c r="L26" s="40" t="str">
        <f>IF(ISERROR(INDEX(ContactList[#All],MATCH(ActionTracker[[#All],[Lease Number]],ContactList[[#All],[Lease Number]],0),12)),"",INDEX(ContactList[#All],MATCH(ActionTracker[[#All],[Lease Number]],ContactList[[#All],[Lease Number]],0),12))</f>
        <v>Denise</v>
      </c>
      <c r="M26" s="40" t="str">
        <f>IF(ISERROR(INDEX(ContactList[#All],MATCH(ActionTracker[[#All],[Lease Number]],ContactList[[#All],[Lease Number]],0),12)),"",INDEX(ContactList[#All],MATCH(ActionTracker[[#All],[Lease Number]],ContactList[[#All],[Lease Number]],0),13))</f>
        <v>Barker</v>
      </c>
      <c r="N26" s="40" t="str">
        <f>IF(ISERROR(INDEX(ContactList[#All],MATCH(ActionTracker[[#All],[Lease Number]],ContactList[[#All],[Lease Number]],0),12)),"",INDEX(ContactList[#All],MATCH(ActionTracker[[#All],[Lease Number]],ContactList[[#All],[Lease Number]],0),14))</f>
        <v>denise@hughmckinnon.com</v>
      </c>
      <c r="O26" s="40" t="str">
        <f>IF(ISERROR(INDEX(ContactList[#All],MATCH(ActionTracker[[#All],[Lease Number]],ContactList[[#All],[Lease Number]],0),12)),"",INDEX(ContactList[#All],MATCH(ActionTracker[[#All],[Lease Number]],ContactList[[#All],[Lease Number]],0),15))</f>
        <v>604 531 1909</v>
      </c>
      <c r="P26" s="11"/>
      <c r="Q26" s="100" t="s">
        <v>404</v>
      </c>
    </row>
    <row r="27" spans="1:17" ht="60" x14ac:dyDescent="0.25">
      <c r="A27" s="50" t="s">
        <v>1541</v>
      </c>
      <c r="B27" s="95" t="str">
        <f>IF(ISERROR(INDEX(RTable[#All],MATCH(ActionTracker[[#All],[Lease Number]],RTable[[#All],[Lease Number]],0),1)),"",INDEX(RTable[#All],MATCH(ActionTracker[[#All],[Lease Number]],RTable[[#All],[Lease Number]],0),1))</f>
        <v>Balkar  Saran</v>
      </c>
      <c r="C27" s="95" t="str">
        <f>IF(ISERROR(INDEX(RTable[#All],MATCH(ActionTracker[[#All],[Lease Number]],RTable[[#All],[Lease Number]],0),1)),"",INDEX(RTable[#All],MATCH(ActionTracker[[#All],[Lease Number]],RTable[[#All],[Lease Number]],0),2)&amp;", "&amp;INDEX(RTable[#All],MATCH(ActionTracker[[#All],[Lease Number]],RTable[[#All],[Lease Number]],0),3))</f>
        <v>6345 120  St., Delta, B.C. V4E 1C8</v>
      </c>
      <c r="D27" s="51"/>
      <c r="E27" s="51"/>
      <c r="F27" s="51" t="s">
        <v>472</v>
      </c>
      <c r="G27" s="51" t="s">
        <v>472</v>
      </c>
      <c r="H27" s="51"/>
      <c r="I27" s="51"/>
      <c r="J27" s="51"/>
      <c r="K27"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27" s="40" t="str">
        <f>IF(ISERROR(INDEX(ContactList[#All],MATCH(ActionTracker[[#All],[Lease Number]],ContactList[[#All],[Lease Number]],0),12)),"",INDEX(ContactList[#All],MATCH(ActionTracker[[#All],[Lease Number]],ContactList[[#All],[Lease Number]],0),12))</f>
        <v>Balkar</v>
      </c>
      <c r="M27" s="40" t="str">
        <f>IF(ISERROR(INDEX(ContactList[#All],MATCH(ActionTracker[[#All],[Lease Number]],ContactList[[#All],[Lease Number]],0),12)),"",INDEX(ContactList[#All],MATCH(ActionTracker[[#All],[Lease Number]],ContactList[[#All],[Lease Number]],0),13))</f>
        <v>Saran</v>
      </c>
      <c r="N27" s="40" t="str">
        <f>IF(ISERROR(INDEX(ContactList[#All],MATCH(ActionTracker[[#All],[Lease Number]],ContactList[[#All],[Lease Number]],0),12)),"",INDEX(ContactList[#All],MATCH(ActionTracker[[#All],[Lease Number]],ContactList[[#All],[Lease Number]],0),14))</f>
        <v>balkar_saran@hotmail.com</v>
      </c>
      <c r="O27" s="40" t="str">
        <f>IF(ISERROR(INDEX(ContactList[#All],MATCH(ActionTracker[[#All],[Lease Number]],ContactList[[#All],[Lease Number]],0),12)),"",INDEX(ContactList[#All],MATCH(ActionTracker[[#All],[Lease Number]],ContactList[[#All],[Lease Number]],0),15))</f>
        <v>604 572 5117</v>
      </c>
      <c r="P27" s="11"/>
      <c r="Q27" s="107" t="s">
        <v>407</v>
      </c>
    </row>
    <row r="28" spans="1:17" ht="105" x14ac:dyDescent="0.25">
      <c r="A28" s="50" t="s">
        <v>1584</v>
      </c>
      <c r="B28" s="95" t="str">
        <f>IF(ISERROR(INDEX(RTable[#All],MATCH(ActionTracker[[#All],[Lease Number]],RTable[[#All],[Lease Number]],0),1)),"",INDEX(RTable[#All],MATCH(ActionTracker[[#All],[Lease Number]],RTable[[#All],[Lease Number]],0),1))</f>
        <v>Kevin Ozga</v>
      </c>
      <c r="C28" s="95" t="str">
        <f>IF(ISERROR(INDEX(RTable[#All],MATCH(ActionTracker[[#All],[Lease Number]],RTable[[#All],[Lease Number]],0),1)),"",INDEX(RTable[#All],MATCH(ActionTracker[[#All],[Lease Number]],RTable[[#All],[Lease Number]],0),2)&amp;", "&amp;INDEX(RTable[#All],MATCH(ActionTracker[[#All],[Lease Number]],RTable[[#All],[Lease Number]],0),3))</f>
        <v>207 - 2825 Clearbrook Road, Abbotsford, B.C. V2T 6S3</v>
      </c>
      <c r="D28" s="51" t="s">
        <v>472</v>
      </c>
      <c r="E28" s="51" t="s">
        <v>472</v>
      </c>
      <c r="F28" s="51" t="s">
        <v>472</v>
      </c>
      <c r="G28" s="51" t="s">
        <v>472</v>
      </c>
      <c r="H28" s="51" t="s">
        <v>472</v>
      </c>
      <c r="I28" s="42"/>
      <c r="J28" s="51"/>
      <c r="K28"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28" s="40" t="str">
        <f>IF(ISERROR(INDEX(ContactList[#All],MATCH(ActionTracker[[#All],[Lease Number]],ContactList[[#All],[Lease Number]],0),12)),"",INDEX(ContactList[#All],MATCH(ActionTracker[[#All],[Lease Number]],ContactList[[#All],[Lease Number]],0),12))</f>
        <v>Henry</v>
      </c>
      <c r="M28" s="40" t="str">
        <f>IF(ISERROR(INDEX(ContactList[#All],MATCH(ActionTracker[[#All],[Lease Number]],ContactList[[#All],[Lease Number]],0),12)),"",INDEX(ContactList[#All],MATCH(ActionTracker[[#All],[Lease Number]],ContactList[[#All],[Lease Number]],0),13))</f>
        <v>Martens</v>
      </c>
      <c r="N28" s="40"/>
      <c r="O28" s="40" t="str">
        <f>IF(ISERROR(INDEX(ContactList[#All],MATCH(ActionTracker[[#All],[Lease Number]],ContactList[[#All],[Lease Number]],0),12)),"",INDEX(ContactList[#All],MATCH(ActionTracker[[#All],[Lease Number]],ContactList[[#All],[Lease Number]],0),15))</f>
        <v>604 853 5532</v>
      </c>
      <c r="P28" s="11"/>
      <c r="Q28" s="113" t="s">
        <v>409</v>
      </c>
    </row>
    <row r="29" spans="1:17" ht="90" x14ac:dyDescent="0.25">
      <c r="A29" s="50" t="s">
        <v>1609</v>
      </c>
      <c r="B29" s="95" t="str">
        <f>IF(ISERROR(INDEX(RTable[#All],MATCH(ActionTracker[[#All],[Lease Number]],RTable[[#All],[Lease Number]],0),1)),"",INDEX(RTable[#All],MATCH(ActionTracker[[#All],[Lease Number]],RTable[[#All],[Lease Number]],0),1))</f>
        <v>Anne Lee</v>
      </c>
      <c r="C29" s="95" t="str">
        <f>IF(ISERROR(INDEX(RTable[#All],MATCH(ActionTracker[[#All],[Lease Number]],RTable[[#All],[Lease Number]],0),1)),"",INDEX(RTable[#All],MATCH(ActionTracker[[#All],[Lease Number]],RTable[[#All],[Lease Number]],0),2)&amp;", "&amp;INDEX(RTable[#All],MATCH(ActionTracker[[#All],[Lease Number]],RTable[[#All],[Lease Number]],0),3))</f>
        <v>20103 40th Ave, Langley, B.C. V3A</v>
      </c>
      <c r="D29" s="38" t="s">
        <v>471</v>
      </c>
      <c r="E29" s="51"/>
      <c r="F29" s="51" t="s">
        <v>472</v>
      </c>
      <c r="G29" s="38" t="s">
        <v>471</v>
      </c>
      <c r="H29" s="51"/>
      <c r="I29" s="51"/>
      <c r="J29" s="51"/>
      <c r="K29"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29" s="40" t="str">
        <f>IF(ISERROR(INDEX(ContactList[#All],MATCH(ActionTracker[[#All],[Lease Number]],ContactList[[#All],[Lease Number]],0),12)),"",INDEX(ContactList[#All],MATCH(ActionTracker[[#All],[Lease Number]],ContactList[[#All],[Lease Number]],0),12))</f>
        <v>John</v>
      </c>
      <c r="M29" s="40" t="str">
        <f>IF(ISERROR(INDEX(ContactList[#All],MATCH(ActionTracker[[#All],[Lease Number]],ContactList[[#All],[Lease Number]],0),12)),"",INDEX(ContactList[#All],MATCH(ActionTracker[[#All],[Lease Number]],ContactList[[#All],[Lease Number]],0),13))</f>
        <v>Hippner</v>
      </c>
      <c r="N29" s="40"/>
      <c r="O29" s="40" t="str">
        <f>IF(ISERROR(INDEX(ContactList[#All],MATCH(ActionTracker[[#All],[Lease Number]],ContactList[[#All],[Lease Number]],0),12)),"",INDEX(ContactList[#All],MATCH(ActionTracker[[#All],[Lease Number]],ContactList[[#All],[Lease Number]],0),15))</f>
        <v>604 534 6739</v>
      </c>
      <c r="P29" s="11"/>
      <c r="Q29" s="100" t="s">
        <v>530</v>
      </c>
    </row>
    <row r="30" spans="1:17" x14ac:dyDescent="0.25">
      <c r="A30" s="50" t="s">
        <v>1465</v>
      </c>
      <c r="B30" s="95" t="str">
        <f>IF(ISERROR(INDEX(RTable[#All],MATCH(ActionTracker[[#All],[Lease Number]],RTable[[#All],[Lease Number]],0),1)),"",INDEX(RTable[#All],MATCH(ActionTracker[[#All],[Lease Number]],RTable[[#All],[Lease Number]],0),1))</f>
        <v>Anka Coruea</v>
      </c>
      <c r="C30" s="95" t="str">
        <f>IF(ISERROR(INDEX(RTable[#All],MATCH(ActionTracker[[#All],[Lease Number]],RTable[[#All],[Lease Number]],0),1)),"",INDEX(RTable[#All],MATCH(ActionTracker[[#All],[Lease Number]],RTable[[#All],[Lease Number]],0),2)&amp;", "&amp;INDEX(RTable[#All],MATCH(ActionTracker[[#All],[Lease Number]],RTable[[#All],[Lease Number]],0),3))</f>
        <v>202-16088 84th Ave, Surrey, B.C. V4N 0V9</v>
      </c>
      <c r="D30" s="51" t="s">
        <v>472</v>
      </c>
      <c r="E30" s="51" t="s">
        <v>472</v>
      </c>
      <c r="F30" s="51" t="s">
        <v>472</v>
      </c>
      <c r="G30" s="51" t="s">
        <v>472</v>
      </c>
      <c r="H30" s="51" t="s">
        <v>472</v>
      </c>
      <c r="I30" s="51"/>
      <c r="J30" s="51"/>
      <c r="K30"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30" s="40" t="str">
        <f>IF(ISERROR(INDEX(ContactList[#All],MATCH(ActionTracker[[#All],[Lease Number]],ContactList[[#All],[Lease Number]],0),12)),"",INDEX(ContactList[#All],MATCH(ActionTracker[[#All],[Lease Number]],ContactList[[#All],[Lease Number]],0),12))</f>
        <v>Anka</v>
      </c>
      <c r="M30" s="40" t="str">
        <f>IF(ISERROR(INDEX(ContactList[#All],MATCH(ActionTracker[[#All],[Lease Number]],ContactList[[#All],[Lease Number]],0),12)),"",INDEX(ContactList[#All],MATCH(ActionTracker[[#All],[Lease Number]],ContactList[[#All],[Lease Number]],0),13))</f>
        <v>Cornea</v>
      </c>
      <c r="N30" s="46" t="str">
        <f>IF(ISERROR(INDEX(ContactList[#All],MATCH(ActionTracker[[#All],[Lease Number]],ContactList[[#All],[Lease Number]],0),12)),"",INDEX(ContactList[#All],MATCH(ActionTracker[[#All],[Lease Number]],ContactList[[#All],[Lease Number]],0),14))</f>
        <v>acornea@larkgroup.com</v>
      </c>
      <c r="O30" s="40" t="str">
        <f>IF(ISERROR(INDEX(ContactList[#All],MATCH(ActionTracker[[#All],[Lease Number]],ContactList[[#All],[Lease Number]],0),12)),"",INDEX(ContactList[#All],MATCH(ActionTracker[[#All],[Lease Number]],ContactList[[#All],[Lease Number]],0),15))</f>
        <v>604 576 2935</v>
      </c>
      <c r="P30" s="11"/>
      <c r="Q30" s="11" t="s">
        <v>413</v>
      </c>
    </row>
    <row r="31" spans="1:17" ht="71.25" x14ac:dyDescent="0.25">
      <c r="A31" s="50" t="s">
        <v>1578</v>
      </c>
      <c r="B31" s="95" t="str">
        <f>IF(ISERROR(INDEX(RTable[#All],MATCH(ActionTracker[[#All],[Lease Number]],RTable[[#All],[Lease Number]],0),1)),"",INDEX(RTable[#All],MATCH(ActionTracker[[#All],[Lease Number]],RTable[[#All],[Lease Number]],0),1))</f>
        <v/>
      </c>
      <c r="C31" s="95" t="str">
        <f>IF(ISERROR(INDEX(RTable[#All],MATCH(ActionTracker[[#All],[Lease Number]],RTable[[#All],[Lease Number]],0),1)),"",INDEX(RTable[#All],MATCH(ActionTracker[[#All],[Lease Number]],RTable[[#All],[Lease Number]],0),2)&amp;", "&amp;INDEX(RTable[#All],MATCH(ActionTracker[[#All],[Lease Number]],RTable[[#All],[Lease Number]],0),3))</f>
        <v/>
      </c>
      <c r="D31" s="51"/>
      <c r="E31" s="51" t="s">
        <v>472</v>
      </c>
      <c r="F31" s="51" t="s">
        <v>472</v>
      </c>
      <c r="G31" s="51" t="s">
        <v>472</v>
      </c>
      <c r="H31" s="51"/>
      <c r="I31" s="42"/>
      <c r="J31" s="51"/>
      <c r="K31"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31" s="40" t="str">
        <f>IF(ISERROR(INDEX(ContactList[#All],MATCH(ActionTracker[[#All],[Lease Number]],ContactList[[#All],[Lease Number]],0),12)),"",INDEX(ContactList[#All],MATCH(ActionTracker[[#All],[Lease Number]],ContactList[[#All],[Lease Number]],0),12))</f>
        <v>Ron</v>
      </c>
      <c r="M31" s="40" t="str">
        <f>IF(ISERROR(INDEX(ContactList[#All],MATCH(ActionTracker[[#All],[Lease Number]],ContactList[[#All],[Lease Number]],0),12)),"",INDEX(ContactList[#All],MATCH(ActionTracker[[#All],[Lease Number]],ContactList[[#All],[Lease Number]],0),13))</f>
        <v>Madsen</v>
      </c>
      <c r="N31" s="40" t="str">
        <f>IF(ISERROR(INDEX(ContactList[#All],MATCH(ActionTracker[[#All],[Lease Number]],ContactList[[#All],[Lease Number]],0),12)),"",INDEX(ContactList[#All],MATCH(ActionTracker[[#All],[Lease Number]],ContactList[[#All],[Lease Number]],0),14))</f>
        <v>ron@rdmenterprises.com</v>
      </c>
      <c r="O31" s="40" t="str">
        <f>IF(ISERROR(INDEX(ContactList[#All],MATCH(ActionTracker[[#All],[Lease Number]],ContactList[[#All],[Lease Number]],0),12)),"",INDEX(ContactList[#All],MATCH(ActionTracker[[#All],[Lease Number]],ContactList[[#All],[Lease Number]],0),15))</f>
        <v>604 530 6310</v>
      </c>
      <c r="P31" s="11"/>
      <c r="Q31" s="108" t="s">
        <v>416</v>
      </c>
    </row>
    <row r="32" spans="1:17" ht="105" x14ac:dyDescent="0.25">
      <c r="A32" s="50" t="s">
        <v>1427</v>
      </c>
      <c r="B32" s="95" t="str">
        <f>IF(ISERROR(INDEX(RTable[#All],MATCH(ActionTracker[[#All],[Lease Number]],RTable[[#All],[Lease Number]],0),1)),"",INDEX(RTable[#All],MATCH(ActionTracker[[#All],[Lease Number]],RTable[[#All],[Lease Number]],0),1))</f>
        <v>Richard Vickers</v>
      </c>
      <c r="C32" s="95" t="str">
        <f>IF(ISERROR(INDEX(RTable[#All],MATCH(ActionTracker[[#All],[Lease Number]],RTable[[#All],[Lease Number]],0),1)),"",INDEX(RTable[#All],MATCH(ActionTracker[[#All],[Lease Number]],RTable[[#All],[Lease Number]],0),2)&amp;", "&amp;INDEX(RTable[#All],MATCH(ActionTracker[[#All],[Lease Number]],RTable[[#All],[Lease Number]],0),3))</f>
        <v>508-625 5th Avenue, New Westminster, B.C. V3M 1X4</v>
      </c>
      <c r="D32" s="51" t="s">
        <v>472</v>
      </c>
      <c r="E32" s="51" t="s">
        <v>472</v>
      </c>
      <c r="F32" s="51" t="s">
        <v>472</v>
      </c>
      <c r="G32" s="51" t="s">
        <v>472</v>
      </c>
      <c r="H32" s="51" t="s">
        <v>472</v>
      </c>
      <c r="I32" s="42"/>
      <c r="J32" s="51"/>
      <c r="K32"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32" s="40" t="str">
        <f>IF(ISERROR(INDEX(ContactList[#All],MATCH(ActionTracker[[#All],[Lease Number]],ContactList[[#All],[Lease Number]],0),12)),"",INDEX(ContactList[#All],MATCH(ActionTracker[[#All],[Lease Number]],ContactList[[#All],[Lease Number]],0),12))</f>
        <v>Enzo</v>
      </c>
      <c r="M32" s="40" t="str">
        <f>IF(ISERROR(INDEX(ContactList[#All],MATCH(ActionTracker[[#All],[Lease Number]],ContactList[[#All],[Lease Number]],0),12)),"",INDEX(ContactList[#All],MATCH(ActionTracker[[#All],[Lease Number]],ContactList[[#All],[Lease Number]],0),13))</f>
        <v>Marino</v>
      </c>
      <c r="N32" s="40" t="str">
        <f>IF(ISERROR(INDEX(ContactList[#All],MATCH(ActionTracker[[#All],[Lease Number]],ContactList[[#All],[Lease Number]],0),12)),"",INDEX(ContactList[#All],MATCH(ActionTracker[[#All],[Lease Number]],ContactList[[#All],[Lease Number]],0),14))</f>
        <v>emarino@bosaproperties.com</v>
      </c>
      <c r="O32" s="40" t="str">
        <f>IF(ISERROR(INDEX(ContactList[#All],MATCH(ActionTracker[[#All],[Lease Number]],ContactList[[#All],[Lease Number]],0),12)),"",INDEX(ContactList[#All],MATCH(ActionTracker[[#All],[Lease Number]],ContactList[[#All],[Lease Number]],0),15))</f>
        <v>604 299 1363</v>
      </c>
      <c r="P32" s="11"/>
      <c r="Q32" s="113" t="s">
        <v>419</v>
      </c>
    </row>
    <row r="33" spans="1:17" ht="57" x14ac:dyDescent="0.25">
      <c r="A33" s="50" t="s">
        <v>1558</v>
      </c>
      <c r="B33" s="95" t="str">
        <f>IF(ISERROR(INDEX(RTable[#All],MATCH(ActionTracker[[#All],[Lease Number]],RTable[[#All],[Lease Number]],0),1)),"",INDEX(RTable[#All],MATCH(ActionTracker[[#All],[Lease Number]],RTable[[#All],[Lease Number]],0),1))</f>
        <v>Linda McCabe</v>
      </c>
      <c r="C33" s="95" t="str">
        <f>IF(ISERROR(INDEX(RTable[#All],MATCH(ActionTracker[[#All],[Lease Number]],RTable[[#All],[Lease Number]],0),1)),"",INDEX(RTable[#All],MATCH(ActionTracker[[#All],[Lease Number]],RTable[[#All],[Lease Number]],0),2)&amp;", "&amp;INDEX(RTable[#All],MATCH(ActionTracker[[#All],[Lease Number]],RTable[[#All],[Lease Number]],0),3))</f>
        <v>101-10166 King George Blvd. , Surrey, B.C. V3T 2W4</v>
      </c>
      <c r="D33" s="51"/>
      <c r="E33" s="51"/>
      <c r="F33" s="51"/>
      <c r="G33" s="51"/>
      <c r="H33" s="51"/>
      <c r="I33" s="51"/>
      <c r="J33" s="51" t="s">
        <v>472</v>
      </c>
      <c r="K33"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None</v>
      </c>
      <c r="L33" s="40" t="str">
        <f>IF(ISERROR(INDEX(ContactList[#All],MATCH(ActionTracker[[#All],[Lease Number]],ContactList[[#All],[Lease Number]],0),12)),"",INDEX(ContactList[#All],MATCH(ActionTracker[[#All],[Lease Number]],ContactList[[#All],[Lease Number]],0),12))</f>
        <v>Linda</v>
      </c>
      <c r="M33" s="40" t="str">
        <f>IF(ISERROR(INDEX(ContactList[#All],MATCH(ActionTracker[[#All],[Lease Number]],ContactList[[#All],[Lease Number]],0),12)),"",INDEX(ContactList[#All],MATCH(ActionTracker[[#All],[Lease Number]],ContactList[[#All],[Lease Number]],0),13))</f>
        <v>McCabe</v>
      </c>
      <c r="N33" s="40" t="str">
        <f>IF(ISERROR(INDEX(ContactList[#All],MATCH(ActionTracker[[#All],[Lease Number]],ContactList[[#All],[Lease Number]],0),12)),"",INDEX(ContactList[#All],MATCH(ActionTracker[[#All],[Lease Number]],ContactList[[#All],[Lease Number]],0),14))</f>
        <v>linda@valueindustries.com</v>
      </c>
      <c r="O33" s="40" t="str">
        <f>IF(ISERROR(INDEX(ContactList[#All],MATCH(ActionTracker[[#All],[Lease Number]],ContactList[[#All],[Lease Number]],0),12)),"",INDEX(ContactList[#All],MATCH(ActionTracker[[#All],[Lease Number]],ContactList[[#All],[Lease Number]],0),15))</f>
        <v>604 606 7010</v>
      </c>
      <c r="P33" s="44" t="s">
        <v>538</v>
      </c>
      <c r="Q33" s="89" t="s">
        <v>422</v>
      </c>
    </row>
    <row r="34" spans="1:17" ht="116.25" x14ac:dyDescent="0.25">
      <c r="A34" s="50" t="s">
        <v>589</v>
      </c>
      <c r="B34" s="95" t="str">
        <f>IF(ISERROR(INDEX(RTable[#All],MATCH(ActionTracker[[#All],[Lease Number]],RTable[[#All],[Lease Number]],0),1)),"",INDEX(RTable[#All],MATCH(ActionTracker[[#All],[Lease Number]],RTable[[#All],[Lease Number]],0),1))</f>
        <v>Stephen Fan</v>
      </c>
      <c r="C34" s="88" t="str">
        <f>IF(ISERROR(INDEX(RTable[#All],MATCH(ActionTracker[[#All],[Lease Number]],RTable[[#All],[Lease Number]],0),1)),"",INDEX(RTable[#All],MATCH(ActionTracker[[#All],[Lease Number]],RTable[[#All],[Lease Number]],0),2)&amp;", "&amp;INDEX(RTable[#All],MATCH(ActionTracker[[#All],[Lease Number]],RTable[[#All],[Lease Number]],0),3))</f>
        <v>208-1200 Burrard Street, Vancouver, B.C.  V6Z 1Z5</v>
      </c>
      <c r="D34" s="38" t="s">
        <v>471</v>
      </c>
      <c r="E34" s="51"/>
      <c r="F34" s="51" t="s">
        <v>472</v>
      </c>
      <c r="G34" s="51" t="s">
        <v>472</v>
      </c>
      <c r="H34" s="51"/>
      <c r="I34" s="51" t="s">
        <v>472</v>
      </c>
      <c r="J34" s="51"/>
      <c r="K34"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34" s="40" t="str">
        <f>IF(ISERROR(INDEX(ContactList[#All],MATCH(ActionTracker[[#All],[Lease Number]],ContactList[[#All],[Lease Number]],0),12)),"",INDEX(ContactList[#All],MATCH(ActionTracker[[#All],[Lease Number]],ContactList[[#All],[Lease Number]],0),12))</f>
        <v>Stephen</v>
      </c>
      <c r="M34" s="40" t="str">
        <f>IF(ISERROR(INDEX(ContactList[#All],MATCH(ActionTracker[[#All],[Lease Number]],ContactList[[#All],[Lease Number]],0),12)),"",INDEX(ContactList[#All],MATCH(ActionTracker[[#All],[Lease Number]],ContactList[[#All],[Lease Number]],0),13))</f>
        <v>Fan</v>
      </c>
      <c r="N34" s="40" t="str">
        <f>IF(ISERROR(INDEX(ContactList[#All],MATCH(ActionTracker[[#All],[Lease Number]],ContactList[[#All],[Lease Number]],0),12)),"",INDEX(ContactList[#All],MATCH(ActionTracker[[#All],[Lease Number]],ContactList[[#All],[Lease Number]],0),14))</f>
        <v>stephenfan@rogers.com</v>
      </c>
      <c r="O34" s="40" t="str">
        <f>IF(ISERROR(INDEX(ContactList[#All],MATCH(ActionTracker[[#All],[Lease Number]],ContactList[[#All],[Lease Number]],0),12)),"",INDEX(ContactList[#All],MATCH(ActionTracker[[#All],[Lease Number]],ContactList[[#All],[Lease Number]],0),15))</f>
        <v>604 687 8817</v>
      </c>
      <c r="P34" s="44"/>
      <c r="Q34" s="116" t="s">
        <v>539</v>
      </c>
    </row>
    <row r="35" spans="1:17" ht="57" x14ac:dyDescent="0.25">
      <c r="A35" s="50" t="s">
        <v>1454</v>
      </c>
      <c r="B35" s="95" t="str">
        <f>IF(ISERROR(INDEX(RTable[#All],MATCH(ActionTracker[[#All],[Lease Number]],RTable[[#All],[Lease Number]],0),1)),"",INDEX(RTable[#All],MATCH(ActionTracker[[#All],[Lease Number]],RTable[[#All],[Lease Number]],0),1))</f>
        <v>Karin</v>
      </c>
      <c r="C35" s="89" t="str">
        <f>IF(ISERROR(INDEX(RTable[#All],MATCH(ActionTracker[[#All],[Lease Number]],RTable[[#All],[Lease Number]],0),1)),"",INDEX(RTable[#All],MATCH(ActionTracker[[#All],[Lease Number]],RTable[[#All],[Lease Number]],0),2)&amp;", "&amp;INDEX(RTable[#All],MATCH(ActionTracker[[#All],[Lease Number]],RTable[[#All],[Lease Number]],0),3))</f>
        <v>13745 72nd Avenue, Surrey, B.C. V3W 2P2</v>
      </c>
      <c r="D35" s="51"/>
      <c r="E35" s="51"/>
      <c r="F35" s="51" t="s">
        <v>472</v>
      </c>
      <c r="G35" s="51" t="s">
        <v>472</v>
      </c>
      <c r="H35" s="51"/>
      <c r="I35" s="51"/>
      <c r="J35" s="51"/>
      <c r="K35"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35" s="40" t="str">
        <f>IF(ISERROR(INDEX(ContactList[#All],MATCH(ActionTracker[[#All],[Lease Number]],ContactList[[#All],[Lease Number]],0),12)),"",INDEX(ContactList[#All],MATCH(ActionTracker[[#All],[Lease Number]],ContactList[[#All],[Lease Number]],0),12))</f>
        <v>Karin</v>
      </c>
      <c r="M35" s="40" t="str">
        <f>IF(ISERROR(INDEX(ContactList[#All],MATCH(ActionTracker[[#All],[Lease Number]],ContactList[[#All],[Lease Number]],0),12)),"",INDEX(ContactList[#All],MATCH(ActionTracker[[#All],[Lease Number]],ContactList[[#All],[Lease Number]],0),13))</f>
        <v>Fung</v>
      </c>
      <c r="N35" s="40" t="str">
        <f>IF(ISERROR(INDEX(ContactList[#All],MATCH(ActionTracker[[#All],[Lease Number]],ContactList[[#All],[Lease Number]],0),12)),"",INDEX(ContactList[#All],MATCH(ActionTracker[[#All],[Lease Number]],ContactList[[#All],[Lease Number]],0),14))</f>
        <v>kfung@warringtonpci.com</v>
      </c>
      <c r="O35" s="40" t="str">
        <f>IF(ISERROR(INDEX(ContactList[#All],MATCH(ActionTracker[[#All],[Lease Number]],ContactList[[#All],[Lease Number]],0),12)),"",INDEX(ContactList[#All],MATCH(ActionTracker[[#All],[Lease Number]],ContactList[[#All],[Lease Number]],0),15))</f>
        <v>604 602 1887</v>
      </c>
      <c r="P35" s="44"/>
      <c r="Q35" s="89" t="s">
        <v>425</v>
      </c>
    </row>
    <row r="36" spans="1:17" ht="142.5" x14ac:dyDescent="0.25">
      <c r="A36" s="50" t="s">
        <v>1511</v>
      </c>
      <c r="B36" s="95" t="str">
        <f>IF(ISERROR(INDEX(RTable[#All],MATCH(ActionTracker[[#All],[Lease Number]],RTable[[#All],[Lease Number]],0),1)),"",INDEX(RTable[#All],MATCH(ActionTracker[[#All],[Lease Number]],RTable[[#All],[Lease Number]],0),1))</f>
        <v/>
      </c>
      <c r="C36" s="89" t="str">
        <f>IF(ISERROR(INDEX(RTable[#All],MATCH(ActionTracker[[#All],[Lease Number]],RTable[[#All],[Lease Number]],0),1)),"",INDEX(RTable[#All],MATCH(ActionTracker[[#All],[Lease Number]],RTable[[#All],[Lease Number]],0),2)&amp;", "&amp;INDEX(RTable[#All],MATCH(ActionTracker[[#All],[Lease Number]],RTable[[#All],[Lease Number]],0),3))</f>
        <v/>
      </c>
      <c r="D36" s="38" t="s">
        <v>471</v>
      </c>
      <c r="E36" s="38" t="s">
        <v>471</v>
      </c>
      <c r="F36" s="38" t="s">
        <v>471</v>
      </c>
      <c r="G36" s="38" t="s">
        <v>471</v>
      </c>
      <c r="H36" s="38" t="s">
        <v>471</v>
      </c>
      <c r="I36" s="51"/>
      <c r="J36" s="51"/>
      <c r="K36"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36" s="40" t="str">
        <f>IF(ISERROR(INDEX(ContactList[#All],MATCH(ActionTracker[[#All],[Lease Number]],ContactList[[#All],[Lease Number]],0),12)),"",INDEX(ContactList[#All],MATCH(ActionTracker[[#All],[Lease Number]],ContactList[[#All],[Lease Number]],0),12))</f>
        <v>Allan</v>
      </c>
      <c r="M36" s="40" t="str">
        <f>IF(ISERROR(INDEX(ContactList[#All],MATCH(ActionTracker[[#All],[Lease Number]],ContactList[[#All],[Lease Number]],0),12)),"",INDEX(ContactList[#All],MATCH(ActionTracker[[#All],[Lease Number]],ContactList[[#All],[Lease Number]],0),13))</f>
        <v>Olson</v>
      </c>
      <c r="N36" s="40" t="str">
        <f>IF(ISERROR(INDEX(ContactList[#All],MATCH(ActionTracker[[#All],[Lease Number]],ContactList[[#All],[Lease Number]],0),12)),"",INDEX(ContactList[#All],MATCH(ActionTracker[[#All],[Lease Number]],ContactList[[#All],[Lease Number]],0),14))</f>
        <v>aeolson@shaw.ca</v>
      </c>
      <c r="O36" s="40" t="str">
        <f>IF(ISERROR(INDEX(ContactList[#All],MATCH(ActionTracker[[#All],[Lease Number]],ContactList[[#All],[Lease Number]],0),12)),"",INDEX(ContactList[#All],MATCH(ActionTracker[[#All],[Lease Number]],ContactList[[#All],[Lease Number]],0),15))</f>
        <v>604 793 5668</v>
      </c>
      <c r="P36" s="44"/>
      <c r="Q36" s="89" t="s">
        <v>547</v>
      </c>
    </row>
    <row r="37" spans="1:17" ht="28.5" x14ac:dyDescent="0.25">
      <c r="A37" s="50" t="s">
        <v>1540</v>
      </c>
      <c r="B37" s="95" t="str">
        <f>IF(ISERROR(INDEX(RTable[#All],MATCH(ActionTracker[[#All],[Lease Number]],RTable[[#All],[Lease Number]],0),1)),"",INDEX(RTable[#All],MATCH(ActionTracker[[#All],[Lease Number]],RTable[[#All],[Lease Number]],0),1))</f>
        <v>5000 Kingsway Ltd.</v>
      </c>
      <c r="C37" s="89" t="str">
        <f>IF(ISERROR(INDEX(RTable[#All],MATCH(ActionTracker[[#All],[Lease Number]],RTable[[#All],[Lease Number]],0),1)),"",INDEX(RTable[#All],MATCH(ActionTracker[[#All],[Lease Number]],RTable[[#All],[Lease Number]],0),2)&amp;", "&amp;INDEX(RTable[#All],MATCH(ActionTracker[[#All],[Lease Number]],RTable[[#All],[Lease Number]],0),3))</f>
        <v>200-4980 Kingsway, Burnaby, B.C. V5H 2E2</v>
      </c>
      <c r="D37" s="51" t="s">
        <v>472</v>
      </c>
      <c r="E37" s="51" t="s">
        <v>472</v>
      </c>
      <c r="F37" s="51" t="s">
        <v>472</v>
      </c>
      <c r="G37" s="51" t="s">
        <v>472</v>
      </c>
      <c r="H37" s="51" t="s">
        <v>472</v>
      </c>
      <c r="I37" s="51" t="s">
        <v>472</v>
      </c>
      <c r="J37" s="51"/>
      <c r="K37"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Complete</v>
      </c>
      <c r="L37" s="40" t="str">
        <f>IF(ISERROR(INDEX(ContactList[#All],MATCH(ActionTracker[[#All],[Lease Number]],ContactList[[#All],[Lease Number]],0),12)),"",INDEX(ContactList[#All],MATCH(ActionTracker[[#All],[Lease Number]],ContactList[[#All],[Lease Number]],0),12))</f>
        <v>William</v>
      </c>
      <c r="M37" s="40" t="str">
        <f>IF(ISERROR(INDEX(ContactList[#All],MATCH(ActionTracker[[#All],[Lease Number]],ContactList[[#All],[Lease Number]],0),12)),"",INDEX(ContactList[#All],MATCH(ActionTracker[[#All],[Lease Number]],ContactList[[#All],[Lease Number]],0),13))</f>
        <v>McCarthy</v>
      </c>
      <c r="N37" s="40" t="str">
        <f>IF(ISERROR(INDEX(ContactList[#All],MATCH(ActionTracker[[#All],[Lease Number]],ContactList[[#All],[Lease Number]],0),12)),"",INDEX(ContactList[#All],MATCH(ActionTracker[[#All],[Lease Number]],ContactList[[#All],[Lease Number]],0),14))</f>
        <v>wpjm@wpjmccarthy.com</v>
      </c>
      <c r="O37" s="40" t="str">
        <f>IF(ISERROR(INDEX(ContactList[#All],MATCH(ActionTracker[[#All],[Lease Number]],ContactList[[#All],[Lease Number]],0),12)),"",INDEX(ContactList[#All],MATCH(ActionTracker[[#All],[Lease Number]],ContactList[[#All],[Lease Number]],0),15))</f>
        <v>604 437 6334</v>
      </c>
      <c r="P37" s="44"/>
      <c r="Q37" s="89"/>
    </row>
    <row r="38" spans="1:17" ht="57" x14ac:dyDescent="0.25">
      <c r="A38" s="50" t="s">
        <v>1554</v>
      </c>
      <c r="B38" s="95" t="str">
        <f>IF(ISERROR(INDEX(RTable[#All],MATCH(ActionTracker[[#All],[Lease Number]],RTable[[#All],[Lease Number]],0),1)),"",INDEX(RTable[#All],MATCH(ActionTracker[[#All],[Lease Number]],RTable[[#All],[Lease Number]],0),1))</f>
        <v/>
      </c>
      <c r="C38" s="89" t="str">
        <f>IF(ISERROR(INDEX(RTable[#All],MATCH(ActionTracker[[#All],[Lease Number]],RTable[[#All],[Lease Number]],0),1)),"",INDEX(RTable[#All],MATCH(ActionTracker[[#All],[Lease Number]],RTable[[#All],[Lease Number]],0),2)&amp;", "&amp;INDEX(RTable[#All],MATCH(ActionTracker[[#All],[Lease Number]],RTable[[#All],[Lease Number]],0),3))</f>
        <v/>
      </c>
      <c r="D38" s="51" t="s">
        <v>472</v>
      </c>
      <c r="E38" s="51" t="s">
        <v>472</v>
      </c>
      <c r="F38" s="51" t="s">
        <v>472</v>
      </c>
      <c r="G38" s="51" t="s">
        <v>472</v>
      </c>
      <c r="H38" s="51" t="s">
        <v>472</v>
      </c>
      <c r="I38" s="51"/>
      <c r="J38" s="51"/>
      <c r="K38"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38" s="40" t="str">
        <f>IF(ISERROR(INDEX(ContactList[#All],MATCH(ActionTracker[[#All],[Lease Number]],ContactList[[#All],[Lease Number]],0),12)),"",INDEX(ContactList[#All],MATCH(ActionTracker[[#All],[Lease Number]],ContactList[[#All],[Lease Number]],0),12))</f>
        <v>Julie</v>
      </c>
      <c r="M38" s="40" t="str">
        <f>IF(ISERROR(INDEX(ContactList[#All],MATCH(ActionTracker[[#All],[Lease Number]],ContactList[[#All],[Lease Number]],0),12)),"",INDEX(ContactList[#All],MATCH(ActionTracker[[#All],[Lease Number]],ContactList[[#All],[Lease Number]],0),13))</f>
        <v>Lacasse</v>
      </c>
      <c r="N38" s="46" t="str">
        <f>IF(ISERROR(INDEX(ContactList[#All],MATCH(ActionTracker[[#All],[Lease Number]],ContactList[[#All],[Lease Number]],0),12)),"",INDEX(ContactList[#All],MATCH(ActionTracker[[#All],[Lease Number]],ContactList[[#All],[Lease Number]],0),14))</f>
        <v>jlacasse@bentallkennedy.com</v>
      </c>
      <c r="O38" s="40" t="str">
        <f>IF(ISERROR(INDEX(ContactList[#All],MATCH(ActionTracker[[#All],[Lease Number]],ContactList[[#All],[Lease Number]],0),12)),"",INDEX(ContactList[#All],MATCH(ActionTracker[[#All],[Lease Number]],ContactList[[#All],[Lease Number]],0),15))</f>
        <v>604 661 5674</v>
      </c>
      <c r="P38" s="44"/>
      <c r="Q38" s="109" t="s">
        <v>556</v>
      </c>
    </row>
    <row r="39" spans="1:17" x14ac:dyDescent="0.25">
      <c r="A39" s="50" t="s">
        <v>1221</v>
      </c>
      <c r="B39" s="95" t="str">
        <f>IF(ISERROR(INDEX(RTable[#All],MATCH(ActionTracker[[#All],[Lease Number]],RTable[[#All],[Lease Number]],0),1)),"",INDEX(RTable[#All],MATCH(ActionTracker[[#All],[Lease Number]],RTable[[#All],[Lease Number]],0),1))</f>
        <v/>
      </c>
      <c r="C39" s="90" t="str">
        <f>IF(ISERROR(INDEX(RTable[#All],MATCH(ActionTracker[[#All],[Lease Number]],RTable[[#All],[Lease Number]],0),1)),"",INDEX(RTable[#All],MATCH(ActionTracker[[#All],[Lease Number]],RTable[[#All],[Lease Number]],0),2)&amp;", "&amp;INDEX(RTable[#All],MATCH(ActionTracker[[#All],[Lease Number]],RTable[[#All],[Lease Number]],0),3))</f>
        <v/>
      </c>
      <c r="D39" s="51"/>
      <c r="E39" s="51"/>
      <c r="F39" s="51"/>
      <c r="G39" s="51"/>
      <c r="H39" s="51"/>
      <c r="I39" s="51"/>
      <c r="J39" s="51"/>
      <c r="K39"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None</v>
      </c>
      <c r="L39" s="40" t="str">
        <f>IF(ISERROR(INDEX(ContactList[#All],MATCH(ActionTracker[[#All],[Lease Number]],ContactList[[#All],[Lease Number]],0),12)),"",INDEX(ContactList[#All],MATCH(ActionTracker[[#All],[Lease Number]],ContactList[[#All],[Lease Number]],0),12))</f>
        <v>Quan Bich</v>
      </c>
      <c r="M39" s="40" t="str">
        <f>IF(ISERROR(INDEX(ContactList[#All],MATCH(ActionTracker[[#All],[Lease Number]],ContactList[[#All],[Lease Number]],0),12)),"",INDEX(ContactList[#All],MATCH(ActionTracker[[#All],[Lease Number]],ContactList[[#All],[Lease Number]],0),13))</f>
        <v>Tran</v>
      </c>
      <c r="N39" s="46" t="str">
        <f>IF(ISERROR(INDEX(ContactList[#All],MATCH(ActionTracker[[#All],[Lease Number]],ContactList[[#All],[Lease Number]],0),12)),"",INDEX(ContactList[#All],MATCH(ActionTracker[[#All],[Lease Number]],ContactList[[#All],[Lease Number]],0),14))</f>
        <v>newamsterdambakery@gmail.com</v>
      </c>
      <c r="O39" s="40" t="str">
        <f>IF(ISERROR(INDEX(ContactList[#All],MATCH(ActionTracker[[#All],[Lease Number]],ContactList[[#All],[Lease Number]],0),12)),"",INDEX(ContactList[#All],MATCH(ActionTracker[[#All],[Lease Number]],ContactList[[#All],[Lease Number]],0),15))</f>
        <v>778 321 2911</v>
      </c>
      <c r="P39" s="44"/>
      <c r="Q39" s="89" t="s">
        <v>562</v>
      </c>
    </row>
    <row r="40" spans="1:17" ht="28.5" x14ac:dyDescent="0.25">
      <c r="A40" s="50" t="s">
        <v>1484</v>
      </c>
      <c r="B40" s="95" t="str">
        <f>IF(ISERROR(INDEX(RTable[#All],MATCH(ActionTracker[[#All],[Lease Number]],RTable[[#All],[Lease Number]],0),1)),"",INDEX(RTable[#All],MATCH(ActionTracker[[#All],[Lease Number]],RTable[[#All],[Lease Number]],0),1))</f>
        <v>Sharon Lim</v>
      </c>
      <c r="C40" s="44" t="str">
        <f>IF(ISERROR(INDEX(RTable[#All],MATCH(ActionTracker[[#All],[Lease Number]],RTable[[#All],[Lease Number]],0),1)),"",INDEX(RTable[#All],MATCH(ActionTracker[[#All],[Lease Number]],RTable[[#All],[Lease Number]],0),2)&amp;", "&amp;INDEX(RTable[#All],MATCH(ActionTracker[[#All],[Lease Number]],RTable[[#All],[Lease Number]],0),3))</f>
        <v>102-12195 Harris Rd, Pitt Meadows, B.C. V3Y 2E9</v>
      </c>
      <c r="D40" s="51" t="s">
        <v>472</v>
      </c>
      <c r="E40" s="51" t="s">
        <v>472</v>
      </c>
      <c r="F40" s="51" t="s">
        <v>472</v>
      </c>
      <c r="G40" s="51" t="s">
        <v>472</v>
      </c>
      <c r="H40" s="51" t="s">
        <v>472</v>
      </c>
      <c r="I40" s="51" t="s">
        <v>472</v>
      </c>
      <c r="J40" s="51"/>
      <c r="K40"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Complete</v>
      </c>
      <c r="L40" s="40" t="str">
        <f>IF(ISERROR(INDEX(ContactList[#All],MATCH(ActionTracker[[#All],[Lease Number]],ContactList[[#All],[Lease Number]],0),12)),"",INDEX(ContactList[#All],MATCH(ActionTracker[[#All],[Lease Number]],ContactList[[#All],[Lease Number]],0),12))</f>
        <v>Sharon</v>
      </c>
      <c r="M40" s="40" t="str">
        <f>IF(ISERROR(INDEX(ContactList[#All],MATCH(ActionTracker[[#All],[Lease Number]],ContactList[[#All],[Lease Number]],0),12)),"",INDEX(ContactList[#All],MATCH(ActionTracker[[#All],[Lease Number]],ContactList[[#All],[Lease Number]],0),13))</f>
        <v>Lim</v>
      </c>
      <c r="N40" s="40" t="str">
        <f>IF(ISERROR(INDEX(ContactList[#All],MATCH(ActionTracker[[#All],[Lease Number]],ContactList[[#All],[Lease Number]],0),12)),"",INDEX(ContactList[#All],MATCH(ActionTracker[[#All],[Lease Number]],ContactList[[#All],[Lease Number]],0),14))</f>
        <v>sharonlim@shaw.ca</v>
      </c>
      <c r="O40" s="40" t="str">
        <f>IF(ISERROR(INDEX(ContactList[#All],MATCH(ActionTracker[[#All],[Lease Number]],ContactList[[#All],[Lease Number]],0),12)),"",INDEX(ContactList[#All],MATCH(ActionTracker[[#All],[Lease Number]],ContactList[[#All],[Lease Number]],0),15))</f>
        <v>604 465 3565</v>
      </c>
      <c r="P40" s="44"/>
      <c r="Q40" s="89"/>
    </row>
    <row r="41" spans="1:17" ht="28.5" x14ac:dyDescent="0.25">
      <c r="A41" s="86" t="s">
        <v>620</v>
      </c>
      <c r="B41" s="96" t="str">
        <f>IF(ISERROR(INDEX(RTable[#All],MATCH(ActionTracker[[#All],[Lease Number]],RTable[[#All],[Lease Number]],0),1)),"",INDEX(RTable[#All],MATCH(ActionTracker[[#All],[Lease Number]],RTable[[#All],[Lease Number]],0),1))</f>
        <v>Wayne Keiver</v>
      </c>
      <c r="C41" s="98" t="str">
        <f>IF(ISERROR(INDEX(RTable[#All],MATCH(ActionTracker[[#All],[Lease Number]],RTable[[#All],[Lease Number]],0),1)),"",INDEX(RTable[#All],MATCH(ActionTracker[[#All],[Lease Number]],RTable[[#All],[Lease Number]],0),2)&amp;", "&amp;INDEX(RTable[#All],MATCH(ActionTracker[[#All],[Lease Number]],RTable[[#All],[Lease Number]],0),3))</f>
        <v>260 - 4th Avenue, Kimberley B.C.  V1A 2R6</v>
      </c>
      <c r="D41" s="51" t="str">
        <f>IF(ISNUMBER(SEARCH($D$1,INDEX(RTable[#All],MATCH(ActionTracker[[#All],[Lease Number]],RTable[[#All],[Lease Number]],0),5))),"x","")</f>
        <v>x</v>
      </c>
      <c r="E41" s="51" t="str">
        <f>IF(ISNUMBER(SEARCH($E$1,INDEX(RTable[#All],MATCH(ActionTracker[[#All],[Lease Number]],RTable[[#All],[Lease Number]],0),5))),"x","")</f>
        <v/>
      </c>
      <c r="F41" s="51" t="str">
        <f>IF(ISNUMBER(SEARCH($F$1,INDEX(RTable[#All],MATCH(ActionTracker[[#All],[Lease Number]],RTable[[#All],[Lease Number]],0),5))),"x","")</f>
        <v>x</v>
      </c>
      <c r="G41" s="51" t="str">
        <f>IF(ISNUMBER(SEARCH($G$1,INDEX(RTable[#All],MATCH(ActionTracker[[#All],[Lease Number]],RTable[[#All],[Lease Number]],0),5))),"x","")</f>
        <v>x</v>
      </c>
      <c r="H41" s="51" t="str">
        <f>IF(ISNUMBER(SEARCH($H$1,INDEX(RTable[#All],MATCH(ActionTracker[[#All],[Lease Number]],RTable[[#All],[Lease Number]],0),5))),"x","")</f>
        <v/>
      </c>
      <c r="I41" s="51" t="str">
        <f>IF(ISNUMBER(SEARCH($I$1,INDEX(RTable[#All],MATCH(ActionTracker[[#All],[Lease Number]],RTable[[#All],[Lease Number]],0),5))),"x","")</f>
        <v/>
      </c>
      <c r="J41" s="51" t="str">
        <f>IF(ISNUMBER(SEARCH($J$1,INDEX(RTable[#All],MATCH(ActionTracker[[#All],[Lease Number]],RTable[[#All],[Lease Number]],0),5))),"x","")</f>
        <v/>
      </c>
      <c r="K41"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41" s="99" t="str">
        <f>IF(ISERROR(INDEX(ContactList[#All],MATCH(ActionTracker[[#All],[Lease Number]],ContactList[[#All],[Lease Number]],0),12)),"",INDEX(ContactList[#All],MATCH(ActionTracker[[#All],[Lease Number]],ContactList[[#All],[Lease Number]],0),12))</f>
        <v>Jack</v>
      </c>
      <c r="M41" s="99" t="str">
        <f>IF(ISERROR(INDEX(ContactList[#All],MATCH(ActionTracker[[#All],[Lease Number]],ContactList[[#All],[Lease Number]],0),12)),"",INDEX(ContactList[#All],MATCH(ActionTracker[[#All],[Lease Number]],ContactList[[#All],[Lease Number]],0),13))</f>
        <v>Ratcliffe</v>
      </c>
      <c r="N41" s="99"/>
      <c r="O41" s="99" t="str">
        <f>IF(ISERROR(INDEX(ContactList[#All],MATCH(ActionTracker[[#All],[Lease Number]],ContactList[[#All],[Lease Number]],0),12)),"",INDEX(ContactList[#All],MATCH(ActionTracker[[#All],[Lease Number]],ContactList[[#All],[Lease Number]],0),15))</f>
        <v>250 427 4281</v>
      </c>
      <c r="P41" s="87"/>
      <c r="Q41" s="98"/>
    </row>
    <row r="42" spans="1:17" x14ac:dyDescent="0.25">
      <c r="A42" s="86" t="s">
        <v>626</v>
      </c>
      <c r="B42" s="96" t="str">
        <f>IF(ISERROR(INDEX(RTable[#All],MATCH(ActionTracker[[#All],[Lease Number]],RTable[[#All],[Lease Number]],0),1)),"",INDEX(RTable[#All],MATCH(ActionTracker[[#All],[Lease Number]],RTable[[#All],[Lease Number]],0),1))</f>
        <v>Doug Bryan</v>
      </c>
      <c r="C42" s="98" t="str">
        <f>IF(ISERROR(INDEX(RTable[#All],MATCH(ActionTracker[[#All],[Lease Number]],RTable[[#All],[Lease Number]],0),1)),"",INDEX(RTable[#All],MATCH(ActionTracker[[#All],[Lease Number]],RTable[[#All],[Lease Number]],0),2)&amp;", "&amp;INDEX(RTable[#All],MATCH(ActionTracker[[#All],[Lease Number]],RTable[[#All],[Lease Number]],0),3))</f>
        <v xml:space="preserve">#101-5531 Inlet Ave, Sechelt, B.C </v>
      </c>
      <c r="D42" s="117" t="str">
        <f>IF(ISNUMBER(SEARCH($D$1,INDEX(RTable[#All],MATCH(ActionTracker[[#All],[Lease Number]],RTable[[#All],[Lease Number]],0),5))),"x","")</f>
        <v>x</v>
      </c>
      <c r="E42" s="117" t="str">
        <f>IF(ISNUMBER(SEARCH($E$1,INDEX(RTable[#All],MATCH(ActionTracker[[#All],[Lease Number]],RTable[[#All],[Lease Number]],0),5))),"x","")</f>
        <v/>
      </c>
      <c r="F42" s="117" t="str">
        <f>IF(ISNUMBER(SEARCH($F$1,INDEX(RTable[#All],MATCH(ActionTracker[[#All],[Lease Number]],RTable[[#All],[Lease Number]],0),5))),"x","")</f>
        <v>x</v>
      </c>
      <c r="G42" s="117" t="str">
        <f>IF(ISNUMBER(SEARCH($G$1,INDEX(RTable[#All],MATCH(ActionTracker[[#All],[Lease Number]],RTable[[#All],[Lease Number]],0),5))),"x","")</f>
        <v>x</v>
      </c>
      <c r="H42" s="117" t="str">
        <f>IF(ISNUMBER(SEARCH($H$1,INDEX(RTable[#All],MATCH(ActionTracker[[#All],[Lease Number]],RTable[[#All],[Lease Number]],0),5))),"x","")</f>
        <v>x</v>
      </c>
      <c r="I42" s="117" t="str">
        <f>IF(ISNUMBER(SEARCH($I$1,INDEX(RTable[#All],MATCH(ActionTracker[[#All],[Lease Number]],RTable[[#All],[Lease Number]],0),5))),"x","")</f>
        <v/>
      </c>
      <c r="J42" s="117" t="str">
        <f>IF(ISNUMBER(SEARCH($J$1,INDEX(RTable[#All],MATCH(ActionTracker[[#All],[Lease Number]],RTable[[#All],[Lease Number]],0),5))),"x","")</f>
        <v/>
      </c>
      <c r="K42"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42" s="99" t="str">
        <f>IF(ISERROR(INDEX(ContactList[#All],MATCH(ActionTracker[[#All],[Lease Number]],ContactList[[#All],[Lease Number]],0),12)),"",INDEX(ContactList[#All],MATCH(ActionTracker[[#All],[Lease Number]],ContactList[[#All],[Lease Number]],0),12))</f>
        <v>Carey</v>
      </c>
      <c r="M42" s="99" t="str">
        <f>IF(ISERROR(INDEX(ContactList[#All],MATCH(ActionTracker[[#All],[Lease Number]],ContactList[[#All],[Lease Number]],0),12)),"",INDEX(ContactList[#All],MATCH(ActionTracker[[#All],[Lease Number]],ContactList[[#All],[Lease Number]],0),13))</f>
        <v>Threlkeld</v>
      </c>
      <c r="N42" s="99" t="str">
        <f>IF(ISERROR(INDEX(ContactList[#All],MATCH(ActionTracker[[#All],[Lease Number]],ContactList[[#All],[Lease Number]],0),12)),"",INDEX(ContactList[#All],MATCH(ActionTracker[[#All],[Lease Number]],ContactList[[#All],[Lease Number]],0),14))</f>
        <v>careyt@telus.net</v>
      </c>
      <c r="O42" s="99" t="str">
        <f>IF(ISERROR(INDEX(ContactList[#All],MATCH(ActionTracker[[#All],[Lease Number]],ContactList[[#All],[Lease Number]],0),12)),"",INDEX(ContactList[#All],MATCH(ActionTracker[[#All],[Lease Number]],ContactList[[#All],[Lease Number]],0),15))</f>
        <v>604 741 8147</v>
      </c>
      <c r="P42" s="87"/>
      <c r="Q42" s="98"/>
    </row>
    <row r="43" spans="1:17" ht="28.5" x14ac:dyDescent="0.25">
      <c r="A43" s="86" t="s">
        <v>630</v>
      </c>
      <c r="B43" s="96" t="str">
        <f>IF(ISERROR(INDEX(RTable[#All],MATCH(ActionTracker[[#All],[Lease Number]],RTable[[#All],[Lease Number]],0),1)),"",INDEX(RTable[#All],MATCH(ActionTracker[[#All],[Lease Number]],RTable[[#All],[Lease Number]],0),1))</f>
        <v>Peter Bradburne</v>
      </c>
      <c r="C43" s="98" t="str">
        <f>IF(ISERROR(INDEX(RTable[#All],MATCH(ActionTracker[[#All],[Lease Number]],RTable[[#All],[Lease Number]],0),1)),"",INDEX(RTable[#All],MATCH(ActionTracker[[#All],[Lease Number]],RTable[[#All],[Lease Number]],0),2)&amp;", "&amp;INDEX(RTable[#All],MATCH(ActionTracker[[#All],[Lease Number]],RTable[[#All],[Lease Number]],0),3))</f>
        <v>489 Alberni Hwy, Parksville, B.C. V9P 1K1</v>
      </c>
      <c r="D43" s="51" t="str">
        <f>IF(ISNUMBER(SEARCH($D$1,INDEX(RTable[#All],MATCH(ActionTracker[[#All],[Lease Number]],RTable[[#All],[Lease Number]],0),5))),"x","")</f>
        <v>x</v>
      </c>
      <c r="E43" s="51" t="str">
        <f>IF(ISNUMBER(SEARCH($E$1,INDEX(RTable[#All],MATCH(ActionTracker[[#All],[Lease Number]],RTable[[#All],[Lease Number]],0),5))),"x","")</f>
        <v/>
      </c>
      <c r="F43" s="51" t="str">
        <f>IF(ISNUMBER(SEARCH($F$1,INDEX(RTable[#All],MATCH(ActionTracker[[#All],[Lease Number]],RTable[[#All],[Lease Number]],0),5))),"x","")</f>
        <v>x</v>
      </c>
      <c r="G43" s="51" t="str">
        <f>IF(ISNUMBER(SEARCH($G$1,INDEX(RTable[#All],MATCH(ActionTracker[[#All],[Lease Number]],RTable[[#All],[Lease Number]],0),5))),"x","")</f>
        <v>x</v>
      </c>
      <c r="H43" s="51" t="str">
        <f>IF(ISNUMBER(SEARCH($H$1,INDEX(RTable[#All],MATCH(ActionTracker[[#All],[Lease Number]],RTable[[#All],[Lease Number]],0),5))),"x","")</f>
        <v/>
      </c>
      <c r="I43" s="51" t="str">
        <f>IF(ISNUMBER(SEARCH($I$1,INDEX(RTable[#All],MATCH(ActionTracker[[#All],[Lease Number]],RTable[[#All],[Lease Number]],0),5))),"x","")</f>
        <v/>
      </c>
      <c r="J43" s="51" t="str">
        <f>IF(ISNUMBER(SEARCH($J$1,INDEX(RTable[#All],MATCH(ActionTracker[[#All],[Lease Number]],RTable[[#All],[Lease Number]],0),5))),"x","")</f>
        <v/>
      </c>
      <c r="K43"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43" s="99" t="str">
        <f>IF(ISERROR(INDEX(ContactList[#All],MATCH(ActionTracker[[#All],[Lease Number]],ContactList[[#All],[Lease Number]],0),12)),"",INDEX(ContactList[#All],MATCH(ActionTracker[[#All],[Lease Number]],ContactList[[#All],[Lease Number]],0),12))</f>
        <v>Chris</v>
      </c>
      <c r="M43" s="99" t="str">
        <f>IF(ISERROR(INDEX(ContactList[#All],MATCH(ActionTracker[[#All],[Lease Number]],ContactList[[#All],[Lease Number]],0),12)),"",INDEX(ContactList[#All],MATCH(ActionTracker[[#All],[Lease Number]],ContactList[[#All],[Lease Number]],0),13))</f>
        <v>Sullivan</v>
      </c>
      <c r="N43" s="99" t="str">
        <f>IF(ISERROR(INDEX(ContactList[#All],MATCH(ActionTracker[[#All],[Lease Number]],ContactList[[#All],[Lease Number]],0),12)),"",INDEX(ContactList[#All],MATCH(ActionTracker[[#All],[Lease Number]],ContactList[[#All],[Lease Number]],0),14))</f>
        <v>chris.sullivan@viha.ca</v>
      </c>
      <c r="O43" s="99" t="str">
        <f>IF(ISERROR(INDEX(ContactList[#All],MATCH(ActionTracker[[#All],[Lease Number]],ContactList[[#All],[Lease Number]],0),12)),"",INDEX(ContactList[#All],MATCH(ActionTracker[[#All],[Lease Number]],ContactList[[#All],[Lease Number]],0),15))</f>
        <v>250 370 8912</v>
      </c>
      <c r="P43" s="87"/>
      <c r="Q43" s="98"/>
    </row>
    <row r="44" spans="1:17" ht="28.5" x14ac:dyDescent="0.25">
      <c r="A44" s="86" t="s">
        <v>591</v>
      </c>
      <c r="B44" s="96" t="str">
        <f>IF(ISERROR(INDEX(RTable[#All],MATCH(ActionTracker[[#All],[Lease Number]],RTable[[#All],[Lease Number]],0),1)),"",INDEX(RTable[#All],MATCH(ActionTracker[[#All],[Lease Number]],RTable[[#All],[Lease Number]],0),1))</f>
        <v>Sing Yu</v>
      </c>
      <c r="C44" s="98" t="str">
        <f>IF(ISERROR(INDEX(RTable[#All],MATCH(ActionTracker[[#All],[Lease Number]],RTable[[#All],[Lease Number]],0),1)),"",INDEX(RTable[#All],MATCH(ActionTracker[[#All],[Lease Number]],RTable[[#All],[Lease Number]],0),2)&amp;", "&amp;INDEX(RTable[#All],MATCH(ActionTracker[[#All],[Lease Number]],RTable[[#All],[Lease Number]],0),3))</f>
        <v>180 Keefer Street, Vancouver, B.C. V6A 1X4</v>
      </c>
      <c r="D44" s="51" t="str">
        <f>IF(ISNUMBER(SEARCH($D$1,INDEX(RTable[#All],MATCH(ActionTracker[[#All],[Lease Number]],RTable[[#All],[Lease Number]],0),5))),"x","")</f>
        <v>x</v>
      </c>
      <c r="E44" s="51" t="str">
        <f>IF(ISNUMBER(SEARCH($E$1,INDEX(RTable[#All],MATCH(ActionTracker[[#All],[Lease Number]],RTable[[#All],[Lease Number]],0),5))),"x","")</f>
        <v>x</v>
      </c>
      <c r="F44" s="51" t="str">
        <f>IF(ISNUMBER(SEARCH($F$1,INDEX(RTable[#All],MATCH(ActionTracker[[#All],[Lease Number]],RTable[[#All],[Lease Number]],0),5))),"x","")</f>
        <v>x</v>
      </c>
      <c r="G44" s="51" t="str">
        <f>IF(ISNUMBER(SEARCH($G$1,INDEX(RTable[#All],MATCH(ActionTracker[[#All],[Lease Number]],RTable[[#All],[Lease Number]],0),5))),"x","")</f>
        <v>x</v>
      </c>
      <c r="H44" s="51" t="str">
        <f>IF(ISNUMBER(SEARCH($H$1,INDEX(RTable[#All],MATCH(ActionTracker[[#All],[Lease Number]],RTable[[#All],[Lease Number]],0),5))),"x","")</f>
        <v>x</v>
      </c>
      <c r="I44" s="51" t="str">
        <f>IF(ISNUMBER(SEARCH($I$1,INDEX(RTable[#All],MATCH(ActionTracker[[#All],[Lease Number]],RTable[[#All],[Lease Number]],0),5))),"x","")</f>
        <v>x</v>
      </c>
      <c r="J44" s="51" t="str">
        <f>IF(ISNUMBER(SEARCH($J$1,INDEX(RTable[#All],MATCH(ActionTracker[[#All],[Lease Number]],RTable[[#All],[Lease Number]],0),5))),"x","")</f>
        <v/>
      </c>
      <c r="K44"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Complete</v>
      </c>
      <c r="L44" s="99" t="str">
        <f>IF(ISERROR(INDEX(ContactList[#All],MATCH(ActionTracker[[#All],[Lease Number]],ContactList[[#All],[Lease Number]],0),12)),"",INDEX(ContactList[#All],MATCH(ActionTracker[[#All],[Lease Number]],ContactList[[#All],[Lease Number]],0),12))</f>
        <v>Sing</v>
      </c>
      <c r="M44" s="99" t="str">
        <f>IF(ISERROR(INDEX(ContactList[#All],MATCH(ActionTracker[[#All],[Lease Number]],ContactList[[#All],[Lease Number]],0),12)),"",INDEX(ContactList[#All],MATCH(ActionTracker[[#All],[Lease Number]],ContactList[[#All],[Lease Number]],0),13))</f>
        <v>Yu</v>
      </c>
      <c r="N44" s="99" t="str">
        <f>IF(ISERROR(INDEX(ContactList[#All],MATCH(ActionTracker[[#All],[Lease Number]],ContactList[[#All],[Lease Number]],0),12)),"",INDEX(ContactList[#All],MATCH(ActionTracker[[#All],[Lease Number]],ContactList[[#All],[Lease Number]],0),14))</f>
        <v>yuksyu@hotmail.com</v>
      </c>
      <c r="O44" s="99" t="str">
        <f>IF(ISERROR(INDEX(ContactList[#All],MATCH(ActionTracker[[#All],[Lease Number]],ContactList[[#All],[Lease Number]],0),12)),"",INDEX(ContactList[#All],MATCH(ActionTracker[[#All],[Lease Number]],ContactList[[#All],[Lease Number]],0),15))</f>
        <v>604 861 7362</v>
      </c>
      <c r="P44" s="87"/>
      <c r="Q44" s="98"/>
    </row>
    <row r="45" spans="1:17" ht="28.5" x14ac:dyDescent="0.25">
      <c r="A45" s="86" t="s">
        <v>633</v>
      </c>
      <c r="B45" s="96" t="str">
        <f>IF(ISERROR(INDEX(RTable[#All],MATCH(ActionTracker[[#All],[Lease Number]],RTable[[#All],[Lease Number]],0),1)),"",INDEX(RTable[#All],MATCH(ActionTracker[[#All],[Lease Number]],RTable[[#All],[Lease Number]],0),1))</f>
        <v>John Sullivan</v>
      </c>
      <c r="C45" s="98" t="str">
        <f>IF(ISERROR(INDEX(RTable[#All],MATCH(ActionTracker[[#All],[Lease Number]],RTable[[#All],[Lease Number]],0),1)),"",INDEX(RTable[#All],MATCH(ActionTracker[[#All],[Lease Number]],RTable[[#All],[Lease Number]],0),2)&amp;", "&amp;INDEX(RTable[#All],MATCH(ActionTracker[[#All],[Lease Number]],RTable[[#All],[Lease Number]],0),3))</f>
        <v>2184 W. Broadway, Vancouver, B.C. V6K</v>
      </c>
      <c r="D45" s="51" t="str">
        <f>IF(ISNUMBER(SEARCH($D$1,INDEX(RTable[#All],MATCH(ActionTracker[[#All],[Lease Number]],RTable[[#All],[Lease Number]],0),5))),"x","")</f>
        <v>x</v>
      </c>
      <c r="E45" s="51" t="str">
        <f>IF(ISNUMBER(SEARCH($E$1,INDEX(RTable[#All],MATCH(ActionTracker[[#All],[Lease Number]],RTable[[#All],[Lease Number]],0),5))),"x","")</f>
        <v>x</v>
      </c>
      <c r="F45" s="51" t="str">
        <f>IF(ISNUMBER(SEARCH($F$1,INDEX(RTable[#All],MATCH(ActionTracker[[#All],[Lease Number]],RTable[[#All],[Lease Number]],0),5))),"x","")</f>
        <v>x</v>
      </c>
      <c r="G45" s="51" t="str">
        <f>IF(ISNUMBER(SEARCH($G$1,INDEX(RTable[#All],MATCH(ActionTracker[[#All],[Lease Number]],RTable[[#All],[Lease Number]],0),5))),"x","")</f>
        <v>x</v>
      </c>
      <c r="H45" s="51" t="str">
        <f>IF(ISNUMBER(SEARCH($H$1,INDEX(RTable[#All],MATCH(ActionTracker[[#All],[Lease Number]],RTable[[#All],[Lease Number]],0),5))),"x","")</f>
        <v>x</v>
      </c>
      <c r="I45" s="51" t="str">
        <f>IF(ISNUMBER(SEARCH($I$1,INDEX(RTable[#All],MATCH(ActionTracker[[#All],[Lease Number]],RTable[[#All],[Lease Number]],0),5))),"x","")</f>
        <v>x</v>
      </c>
      <c r="J45" s="51" t="str">
        <f>IF(ISNUMBER(SEARCH($J$1,INDEX(RTable[#All],MATCH(ActionTracker[[#All],[Lease Number]],RTable[[#All],[Lease Number]],0),5))),"x","")</f>
        <v/>
      </c>
      <c r="K45"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Complete</v>
      </c>
      <c r="L45" s="99" t="str">
        <f>IF(ISERROR(INDEX(ContactList[#All],MATCH(ActionTracker[[#All],[Lease Number]],ContactList[[#All],[Lease Number]],0),12)),"",INDEX(ContactList[#All],MATCH(ActionTracker[[#All],[Lease Number]],ContactList[[#All],[Lease Number]],0),12))</f>
        <v>Irene</v>
      </c>
      <c r="M45" s="99" t="str">
        <f>IF(ISERROR(INDEX(ContactList[#All],MATCH(ActionTracker[[#All],[Lease Number]],ContactList[[#All],[Lease Number]],0),12)),"",INDEX(ContactList[#All],MATCH(ActionTracker[[#All],[Lease Number]],ContactList[[#All],[Lease Number]],0),13))</f>
        <v>Leung</v>
      </c>
      <c r="N45" s="99" t="str">
        <f>IF(ISERROR(INDEX(ContactList[#All],MATCH(ActionTracker[[#All],[Lease Number]],ContactList[[#All],[Lease Number]],0),12)),"",INDEX(ContactList[#All],MATCH(ActionTracker[[#All],[Lease Number]],ContactList[[#All],[Lease Number]],0),14))</f>
        <v>irene.leung@tpmgonline.ca</v>
      </c>
      <c r="O45" s="99" t="str">
        <f>IF(ISERROR(INDEX(ContactList[#All],MATCH(ActionTracker[[#All],[Lease Number]],ContactList[[#All],[Lease Number]],0),12)),"",INDEX(ContactList[#All],MATCH(ActionTracker[[#All],[Lease Number]],ContactList[[#All],[Lease Number]],0),15))</f>
        <v>604 742-3464</v>
      </c>
      <c r="P45" s="87"/>
      <c r="Q45" s="98"/>
    </row>
    <row r="46" spans="1:17" ht="28.5" x14ac:dyDescent="0.25">
      <c r="A46" s="86" t="s">
        <v>593</v>
      </c>
      <c r="B46" s="96" t="str">
        <f>IF(ISERROR(INDEX(RTable[#All],MATCH(ActionTracker[[#All],[Lease Number]],RTable[[#All],[Lease Number]],0),1)),"",INDEX(RTable[#All],MATCH(ActionTracker[[#All],[Lease Number]],RTable[[#All],[Lease Number]],0),1))</f>
        <v>Bill Trafford</v>
      </c>
      <c r="C46" s="98" t="str">
        <f>IF(ISERROR(INDEX(RTable[#All],MATCH(ActionTracker[[#All],[Lease Number]],RTable[[#All],[Lease Number]],0),1)),"",INDEX(RTable[#All],MATCH(ActionTracker[[#All],[Lease Number]],RTable[[#All],[Lease Number]],0),2)&amp;", "&amp;INDEX(RTable[#All],MATCH(ActionTracker[[#All],[Lease Number]],RTable[[#All],[Lease Number]],0),3))</f>
        <v>3540 W41st Ave.. #112, Vancouver, B.C. V6N</v>
      </c>
      <c r="D46" s="51" t="str">
        <f>IF(ISNUMBER(SEARCH($D$1,INDEX(RTable[#All],MATCH(ActionTracker[[#All],[Lease Number]],RTable[[#All],[Lease Number]],0),5))),"x","")</f>
        <v>x</v>
      </c>
      <c r="E46" s="51" t="str">
        <f>IF(ISNUMBER(SEARCH($E$1,INDEX(RTable[#All],MATCH(ActionTracker[[#All],[Lease Number]],RTable[[#All],[Lease Number]],0),5))),"x","")</f>
        <v>x</v>
      </c>
      <c r="F46" s="51" t="str">
        <f>IF(ISNUMBER(SEARCH($F$1,INDEX(RTable[#All],MATCH(ActionTracker[[#All],[Lease Number]],RTable[[#All],[Lease Number]],0),5))),"x","")</f>
        <v>x</v>
      </c>
      <c r="G46" s="51" t="str">
        <f>IF(ISNUMBER(SEARCH($G$1,INDEX(RTable[#All],MATCH(ActionTracker[[#All],[Lease Number]],RTable[[#All],[Lease Number]],0),5))),"x","")</f>
        <v>x</v>
      </c>
      <c r="H46" s="51" t="str">
        <f>IF(ISNUMBER(SEARCH($H$1,INDEX(RTable[#All],MATCH(ActionTracker[[#All],[Lease Number]],RTable[[#All],[Lease Number]],0),5))),"x","")</f>
        <v>x</v>
      </c>
      <c r="I46" s="51" t="str">
        <f>IF(ISNUMBER(SEARCH($I$1,INDEX(RTable[#All],MATCH(ActionTracker[[#All],[Lease Number]],RTable[[#All],[Lease Number]],0),5))),"x","")</f>
        <v>x</v>
      </c>
      <c r="J46" s="51" t="str">
        <f>IF(ISNUMBER(SEARCH($J$1,INDEX(RTable[#All],MATCH(ActionTracker[[#All],[Lease Number]],RTable[[#All],[Lease Number]],0),5))),"x","")</f>
        <v>x</v>
      </c>
      <c r="K46"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Complete</v>
      </c>
      <c r="L46" s="99" t="str">
        <f>IF(ISERROR(INDEX(ContactList[#All],MATCH(ActionTracker[[#All],[Lease Number]],ContactList[[#All],[Lease Number]],0),12)),"",INDEX(ContactList[#All],MATCH(ActionTracker[[#All],[Lease Number]],ContactList[[#All],[Lease Number]],0),12))</f>
        <v>Stephen</v>
      </c>
      <c r="M46" s="99" t="str">
        <f>IF(ISERROR(INDEX(ContactList[#All],MATCH(ActionTracker[[#All],[Lease Number]],ContactList[[#All],[Lease Number]],0),12)),"",INDEX(ContactList[#All],MATCH(ActionTracker[[#All],[Lease Number]],ContactList[[#All],[Lease Number]],0),13))</f>
        <v>Allan</v>
      </c>
      <c r="N46" s="99"/>
      <c r="O46" s="99" t="str">
        <f>IF(ISERROR(INDEX(ContactList[#All],MATCH(ActionTracker[[#All],[Lease Number]],ContactList[[#All],[Lease Number]],0),12)),"",INDEX(ContactList[#All],MATCH(ActionTracker[[#All],[Lease Number]],ContactList[[#All],[Lease Number]],0),15))</f>
        <v>604 739 6188</v>
      </c>
      <c r="P46" s="87"/>
      <c r="Q46" s="98"/>
    </row>
    <row r="47" spans="1:17" x14ac:dyDescent="0.25">
      <c r="A47" s="86"/>
      <c r="B47" s="100" t="s">
        <v>53</v>
      </c>
      <c r="C47" s="100" t="s">
        <v>1726</v>
      </c>
      <c r="D47" s="51" t="str">
        <f>IF(ISNUMBER(SEARCH($D$1,INDEX(RTable[#All],MATCH(ActionTracker[[#All],[Lease Number]],RTable[[#All],[Lease Number]],0),5))),"x","")</f>
        <v/>
      </c>
      <c r="E47" s="51" t="str">
        <f>IF(ISNUMBER(SEARCH($E$1,INDEX(RTable[#All],MATCH(ActionTracker[[#All],[Lease Number]],RTable[[#All],[Lease Number]],0),5))),"x","")</f>
        <v/>
      </c>
      <c r="F47" s="51" t="str">
        <f>IF(ISNUMBER(SEARCH($F$1,INDEX(RTable[#All],MATCH(ActionTracker[[#All],[Lease Number]],RTable[[#All],[Lease Number]],0),5))),"x","")</f>
        <v/>
      </c>
      <c r="G47" s="51" t="str">
        <f>IF(ISNUMBER(SEARCH($G$1,INDEX(RTable[#All],MATCH(ActionTracker[[#All],[Lease Number]],RTable[[#All],[Lease Number]],0),5))),"x","")</f>
        <v/>
      </c>
      <c r="H47" s="51" t="str">
        <f>IF(ISNUMBER(SEARCH($H$1,INDEX(RTable[#All],MATCH(ActionTracker[[#All],[Lease Number]],RTable[[#All],[Lease Number]],0),5))),"x","")</f>
        <v/>
      </c>
      <c r="I47" s="51" t="str">
        <f>IF(ISNUMBER(SEARCH($I$1,INDEX(RTable[#All],MATCH(ActionTracker[[#All],[Lease Number]],RTable[[#All],[Lease Number]],0),5))),"x","")</f>
        <v/>
      </c>
      <c r="J47" s="51" t="str">
        <f>IF(ISNUMBER(SEARCH($J$1,INDEX(RTable[#All],MATCH(ActionTracker[[#All],[Lease Number]],RTable[[#All],[Lease Number]],0),5))),"x","")</f>
        <v/>
      </c>
      <c r="K47"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None</v>
      </c>
      <c r="L47" s="99" t="str">
        <f>IF(ISERROR(INDEX(ContactList[#All],MATCH(ActionTracker[[#All],[Lease Number]],ContactList[[#All],[Lease Number]],0),12)),"",INDEX(ContactList[#All],MATCH(ActionTracker[[#All],[Lease Number]],ContactList[[#All],[Lease Number]],0),12))</f>
        <v/>
      </c>
      <c r="M47" s="99" t="str">
        <f>IF(ISERROR(INDEX(ContactList[#All],MATCH(ActionTracker[[#All],[Lease Number]],ContactList[[#All],[Lease Number]],0),12)),"",INDEX(ContactList[#All],MATCH(ActionTracker[[#All],[Lease Number]],ContactList[[#All],[Lease Number]],0),13))</f>
        <v/>
      </c>
      <c r="N47" s="99" t="str">
        <f>IF(ISERROR(INDEX(ContactList[#All],MATCH(ActionTracker[[#All],[Lease Number]],ContactList[[#All],[Lease Number]],0),12)),"",INDEX(ContactList[#All],MATCH(ActionTracker[[#All],[Lease Number]],ContactList[[#All],[Lease Number]],0),14))</f>
        <v/>
      </c>
      <c r="O47" s="99" t="str">
        <f>IF(ISERROR(INDEX(ContactList[#All],MATCH(ActionTracker[[#All],[Lease Number]],ContactList[[#All],[Lease Number]],0),12)),"",INDEX(ContactList[#All],MATCH(ActionTracker[[#All],[Lease Number]],ContactList[[#All],[Lease Number]],0),15))</f>
        <v/>
      </c>
      <c r="P47" s="87"/>
      <c r="Q47" s="98"/>
    </row>
    <row r="48" spans="1:17" ht="28.5" x14ac:dyDescent="0.25">
      <c r="A48" s="86" t="s">
        <v>605</v>
      </c>
      <c r="B48" s="96" t="str">
        <f>IF(ISERROR(INDEX(RTable[#All],MATCH(ActionTracker[[#All],[Lease Number]],RTable[[#All],[Lease Number]],0),1)),"",INDEX(RTable[#All],MATCH(ActionTracker[[#All],[Lease Number]],RTable[[#All],[Lease Number]],0),1))</f>
        <v>David Price</v>
      </c>
      <c r="C48" s="98" t="str">
        <f>IF(ISERROR(INDEX(RTable[#All],MATCH(ActionTracker[[#All],[Lease Number]],RTable[[#All],[Lease Number]],0),1)),"",INDEX(RTable[#All],MATCH(ActionTracker[[#All],[Lease Number]],RTable[[#All],[Lease Number]],0),2)&amp;", "&amp;INDEX(RTable[#All],MATCH(ActionTracker[[#All],[Lease Number]],RTable[[#All],[Lease Number]],0),3))</f>
        <v>1105 Pandora Ave , #100, Victoria, B.C. V8V 3P9</v>
      </c>
      <c r="D48" s="51" t="str">
        <f>IF(ISNUMBER(SEARCH($D$1,INDEX(RTable[#All],MATCH(ActionTracker[[#All],[Lease Number]],RTable[[#All],[Lease Number]],0),5))),"x","")</f>
        <v/>
      </c>
      <c r="E48" s="51" t="str">
        <f>IF(ISNUMBER(SEARCH($E$1,INDEX(RTable[#All],MATCH(ActionTracker[[#All],[Lease Number]],RTable[[#All],[Lease Number]],0),5))),"x","")</f>
        <v/>
      </c>
      <c r="F48" s="51" t="str">
        <f>IF(ISNUMBER(SEARCH($F$1,INDEX(RTable[#All],MATCH(ActionTracker[[#All],[Lease Number]],RTable[[#All],[Lease Number]],0),5))),"x","")</f>
        <v>x</v>
      </c>
      <c r="G48" s="51" t="str">
        <f>IF(ISNUMBER(SEARCH($G$1,INDEX(RTable[#All],MATCH(ActionTracker[[#All],[Lease Number]],RTable[[#All],[Lease Number]],0),5))),"x","")</f>
        <v>x</v>
      </c>
      <c r="H48" s="51" t="str">
        <f>IF(ISNUMBER(SEARCH($H$1,INDEX(RTable[#All],MATCH(ActionTracker[[#All],[Lease Number]],RTable[[#All],[Lease Number]],0),5))),"x","")</f>
        <v/>
      </c>
      <c r="I48" s="51" t="str">
        <f>IF(ISNUMBER(SEARCH($I$1,INDEX(RTable[#All],MATCH(ActionTracker[[#All],[Lease Number]],RTable[[#All],[Lease Number]],0),5))),"x","")</f>
        <v>x</v>
      </c>
      <c r="J48" s="51" t="str">
        <f>IF(ISNUMBER(SEARCH($J$1,INDEX(RTable[#All],MATCH(ActionTracker[[#All],[Lease Number]],RTable[[#All],[Lease Number]],0),5))),"x","")</f>
        <v/>
      </c>
      <c r="K48"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48" s="99" t="str">
        <f>IF(ISERROR(INDEX(ContactList[#All],MATCH(ActionTracker[[#All],[Lease Number]],ContactList[[#All],[Lease Number]],0),12)),"",INDEX(ContactList[#All],MATCH(ActionTracker[[#All],[Lease Number]],ContactList[[#All],[Lease Number]],0),12))</f>
        <v>David</v>
      </c>
      <c r="M48" s="99" t="str">
        <f>IF(ISERROR(INDEX(ContactList[#All],MATCH(ActionTracker[[#All],[Lease Number]],ContactList[[#All],[Lease Number]],0),12)),"",INDEX(ContactList[#All],MATCH(ActionTracker[[#All],[Lease Number]],ContactList[[#All],[Lease Number]],0),13))</f>
        <v>Price</v>
      </c>
      <c r="N48" s="99" t="str">
        <f>IF(ISERROR(INDEX(ContactList[#All],MATCH(ActionTracker[[#All],[Lease Number]],ContactList[[#All],[Lease Number]],0),12)),"",INDEX(ContactList[#All],MATCH(ActionTracker[[#All],[Lease Number]],ContactList[[#All],[Lease Number]],0),14))</f>
        <v>dprice@westwater.ca</v>
      </c>
      <c r="O48" s="99" t="str">
        <f>IF(ISERROR(INDEX(ContactList[#All],MATCH(ActionTracker[[#All],[Lease Number]],ContactList[[#All],[Lease Number]],0),12)),"",INDEX(ContactList[#All],MATCH(ActionTracker[[#All],[Lease Number]],ContactList[[#All],[Lease Number]],0),15))</f>
        <v>250 383 6363</v>
      </c>
      <c r="P48" s="87"/>
      <c r="Q48" s="98"/>
    </row>
    <row r="49" spans="1:17" ht="30" x14ac:dyDescent="0.25">
      <c r="A49" s="86" t="s">
        <v>1725</v>
      </c>
      <c r="B49" s="96" t="str">
        <f>IF(ISERROR(INDEX(RTable[#All],MATCH(ActionTracker[[#All],[Lease Number]],RTable[[#All],[Lease Number]],0),1)),"",INDEX(RTable[#All],MATCH(ActionTracker[[#All],[Lease Number]],RTable[[#All],[Lease Number]],0),1))</f>
        <v>prince Georeg Enterprises Ltd</v>
      </c>
      <c r="C49" s="98" t="str">
        <f>IF(ISERROR(INDEX(RTable[#All],MATCH(ActionTracker[[#All],[Lease Number]],RTable[[#All],[Lease Number]],0),1)),"",INDEX(RTable[#All],MATCH(ActionTracker[[#All],[Lease Number]],RTable[[#All],[Lease Number]],0),2)&amp;", "&amp;INDEX(RTable[#All],MATCH(ActionTracker[[#All],[Lease Number]],RTable[[#All],[Lease Number]],0),3))</f>
        <v>1669 Victoria St, Prince George, B.C. V2L 2L3</v>
      </c>
      <c r="D49" s="51" t="str">
        <f>IF(ISNUMBER(SEARCH($D$1,INDEX(RTable[#All],MATCH(ActionTracker[[#All],[Lease Number]],RTable[[#All],[Lease Number]],0),5))),"x","")</f>
        <v/>
      </c>
      <c r="E49" s="51" t="str">
        <f>IF(ISNUMBER(SEARCH($E$1,INDEX(RTable[#All],MATCH(ActionTracker[[#All],[Lease Number]],RTable[[#All],[Lease Number]],0),5))),"x","")</f>
        <v/>
      </c>
      <c r="F49" s="51" t="str">
        <f>IF(ISNUMBER(SEARCH($F$1,INDEX(RTable[#All],MATCH(ActionTracker[[#All],[Lease Number]],RTable[[#All],[Lease Number]],0),5))),"x","")</f>
        <v/>
      </c>
      <c r="G49" s="51" t="str">
        <f>IF(ISNUMBER(SEARCH($G$1,INDEX(RTable[#All],MATCH(ActionTracker[[#All],[Lease Number]],RTable[[#All],[Lease Number]],0),5))),"x","")</f>
        <v>x</v>
      </c>
      <c r="H49" s="51" t="str">
        <f>IF(ISNUMBER(SEARCH($H$1,INDEX(RTable[#All],MATCH(ActionTracker[[#All],[Lease Number]],RTable[[#All],[Lease Number]],0),5))),"x","")</f>
        <v/>
      </c>
      <c r="I49" s="51" t="str">
        <f>IF(ISNUMBER(SEARCH($I$1,INDEX(RTable[#All],MATCH(ActionTracker[[#All],[Lease Number]],RTable[[#All],[Lease Number]],0),5))),"x","")</f>
        <v/>
      </c>
      <c r="J49" s="51" t="str">
        <f>IF(ISNUMBER(SEARCH($J$1,INDEX(RTable[#All],MATCH(ActionTracker[[#All],[Lease Number]],RTable[[#All],[Lease Number]],0),5))),"x","")</f>
        <v/>
      </c>
      <c r="K49"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49" s="99" t="str">
        <f>IF(ISERROR(INDEX(ContactList[#All],MATCH(ActionTracker[[#All],[Lease Number]],ContactList[[#All],[Lease Number]],0),12)),"",INDEX(ContactList[#All],MATCH(ActionTracker[[#All],[Lease Number]],ContactList[[#All],[Lease Number]],0),12))</f>
        <v/>
      </c>
      <c r="M49" s="99" t="str">
        <f>IF(ISERROR(INDEX(ContactList[#All],MATCH(ActionTracker[[#All],[Lease Number]],ContactList[[#All],[Lease Number]],0),12)),"",INDEX(ContactList[#All],MATCH(ActionTracker[[#All],[Lease Number]],ContactList[[#All],[Lease Number]],0),13))</f>
        <v/>
      </c>
      <c r="N49" s="99" t="str">
        <f>IF(ISERROR(INDEX(ContactList[#All],MATCH(ActionTracker[[#All],[Lease Number]],ContactList[[#All],[Lease Number]],0),12)),"",INDEX(ContactList[#All],MATCH(ActionTracker[[#All],[Lease Number]],ContactList[[#All],[Lease Number]],0),14))</f>
        <v/>
      </c>
      <c r="O49" s="99" t="str">
        <f>IF(ISERROR(INDEX(ContactList[#All],MATCH(ActionTracker[[#All],[Lease Number]],ContactList[[#All],[Lease Number]],0),12)),"",INDEX(ContactList[#All],MATCH(ActionTracker[[#All],[Lease Number]],ContactList[[#All],[Lease Number]],0),15))</f>
        <v/>
      </c>
      <c r="P49" s="87"/>
      <c r="Q49" s="98"/>
    </row>
    <row r="50" spans="1:17" ht="28.5" x14ac:dyDescent="0.25">
      <c r="A50" s="86" t="s">
        <v>629</v>
      </c>
      <c r="B50" s="96" t="str">
        <f>IF(ISERROR(INDEX(RTable[#All],MATCH(ActionTracker[[#All],[Lease Number]],RTable[[#All],[Lease Number]],0),1)),"",INDEX(RTable[#All],MATCH(ActionTracker[[#All],[Lease Number]],RTable[[#All],[Lease Number]],0),1))</f>
        <v>Jay Simpson</v>
      </c>
      <c r="C50" s="98" t="str">
        <f>IF(ISERROR(INDEX(RTable[#All],MATCH(ActionTracker[[#All],[Lease Number]],RTable[[#All],[Lease Number]],0),1)),"",INDEX(RTable[#All],MATCH(ActionTracker[[#All],[Lease Number]],RTable[[#All],[Lease Number]],0),2)&amp;", "&amp;INDEX(RTable[#All],MATCH(ActionTracker[[#All],[Lease Number]],RTable[[#All],[Lease Number]],0),3))</f>
        <v>3874 Squilax-Anglemont Rd #2, Scotch Creek, B.C. V0E 1M5</v>
      </c>
      <c r="D50" s="51" t="str">
        <f>IF(ISNUMBER(SEARCH($D$1,INDEX(RTable[#All],MATCH(ActionTracker[[#All],[Lease Number]],RTable[[#All],[Lease Number]],0),5))),"x","")</f>
        <v/>
      </c>
      <c r="E50" s="51" t="str">
        <f>IF(ISNUMBER(SEARCH($E$1,INDEX(RTable[#All],MATCH(ActionTracker[[#All],[Lease Number]],RTable[[#All],[Lease Number]],0),5))),"x","")</f>
        <v/>
      </c>
      <c r="F50" s="51" t="str">
        <f>IF(ISNUMBER(SEARCH($F$1,INDEX(RTable[#All],MATCH(ActionTracker[[#All],[Lease Number]],RTable[[#All],[Lease Number]],0),5))),"x","")</f>
        <v/>
      </c>
      <c r="G50" s="51" t="str">
        <f>IF(ISNUMBER(SEARCH($G$1,INDEX(RTable[#All],MATCH(ActionTracker[[#All],[Lease Number]],RTable[[#All],[Lease Number]],0),5))),"x","")</f>
        <v/>
      </c>
      <c r="H50" s="51" t="str">
        <f>IF(ISNUMBER(SEARCH($H$1,INDEX(RTable[#All],MATCH(ActionTracker[[#All],[Lease Number]],RTable[[#All],[Lease Number]],0),5))),"x","")</f>
        <v/>
      </c>
      <c r="I50" s="51" t="str">
        <f>IF(ISNUMBER(SEARCH($I$1,INDEX(RTable[#All],MATCH(ActionTracker[[#All],[Lease Number]],RTable[[#All],[Lease Number]],0),5))),"x","")</f>
        <v/>
      </c>
      <c r="J50" s="51" t="str">
        <f>IF(ISNUMBER(SEARCH($J$1,INDEX(RTable[#All],MATCH(ActionTracker[[#All],[Lease Number]],RTable[[#All],[Lease Number]],0),5))),"x","")</f>
        <v>x</v>
      </c>
      <c r="K50"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None</v>
      </c>
      <c r="L50" s="99" t="str">
        <f>IF(ISERROR(INDEX(ContactList[#All],MATCH(ActionTracker[[#All],[Lease Number]],ContactList[[#All],[Lease Number]],0),12)),"",INDEX(ContactList[#All],MATCH(ActionTracker[[#All],[Lease Number]],ContactList[[#All],[Lease Number]],0),12))</f>
        <v>Jay</v>
      </c>
      <c r="M50" s="99" t="str">
        <f>IF(ISERROR(INDEX(ContactList[#All],MATCH(ActionTracker[[#All],[Lease Number]],ContactList[[#All],[Lease Number]],0),12)),"",INDEX(ContactList[#All],MATCH(ActionTracker[[#All],[Lease Number]],ContactList[[#All],[Lease Number]],0),13))</f>
        <v>Simpson</v>
      </c>
      <c r="N50" s="99" t="str">
        <f>IF(ISERROR(INDEX(ContactList[#All],MATCH(ActionTracker[[#All],[Lease Number]],ContactList[[#All],[Lease Number]],0),12)),"",INDEX(ContactList[#All],MATCH(ActionTracker[[#All],[Lease Number]],ContactList[[#All],[Lease Number]],0),14))</f>
        <v>jay@infinetstrategies.com</v>
      </c>
      <c r="O50" s="99" t="str">
        <f>IF(ISERROR(INDEX(ContactList[#All],MATCH(ActionTracker[[#All],[Lease Number]],ContactList[[#All],[Lease Number]],0),12)),"",INDEX(ContactList[#All],MATCH(ActionTracker[[#All],[Lease Number]],ContactList[[#All],[Lease Number]],0),15))</f>
        <v>250 955 0924</v>
      </c>
      <c r="P50" s="87"/>
      <c r="Q50" s="98"/>
    </row>
    <row r="51" spans="1:17" ht="30" x14ac:dyDescent="0.25">
      <c r="A51" s="86" t="s">
        <v>595</v>
      </c>
      <c r="B51" s="96" t="str">
        <f>IF(ISERROR(INDEX(RTable[#All],MATCH(ActionTracker[[#All],[Lease Number]],RTable[[#All],[Lease Number]],0),1)),"",INDEX(RTable[#All],MATCH(ActionTracker[[#All],[Lease Number]],RTable[[#All],[Lease Number]],0),1))</f>
        <v>First Capital Realty Management Services LP</v>
      </c>
      <c r="C51" s="98" t="str">
        <f>IF(ISERROR(INDEX(RTable[#All],MATCH(ActionTracker[[#All],[Lease Number]],RTable[[#All],[Lease Number]],0),1)),"",INDEX(RTable[#All],MATCH(ActionTracker[[#All],[Lease Number]],RTable[[#All],[Lease Number]],0),2)&amp;", "&amp;INDEX(RTable[#All],MATCH(ActionTracker[[#All],[Lease Number]],RTable[[#All],[Lease Number]],0),3))</f>
        <v>1120 Yates Street, Victoria, B.C. V8V 3M9</v>
      </c>
      <c r="D51" s="51" t="str">
        <f>IF(ISNUMBER(SEARCH($D$1,INDEX(RTable[#All],MATCH(ActionTracker[[#All],[Lease Number]],RTable[[#All],[Lease Number]],0),5))),"x","")</f>
        <v>x</v>
      </c>
      <c r="E51" s="51" t="str">
        <f>IF(ISNUMBER(SEARCH($E$1,INDEX(RTable[#All],MATCH(ActionTracker[[#All],[Lease Number]],RTable[[#All],[Lease Number]],0),5))),"x","")</f>
        <v>x</v>
      </c>
      <c r="F51" s="51" t="str">
        <f>IF(ISNUMBER(SEARCH($F$1,INDEX(RTable[#All],MATCH(ActionTracker[[#All],[Lease Number]],RTable[[#All],[Lease Number]],0),5))),"x","")</f>
        <v>x</v>
      </c>
      <c r="G51" s="51" t="str">
        <f>IF(ISNUMBER(SEARCH($G$1,INDEX(RTable[#All],MATCH(ActionTracker[[#All],[Lease Number]],RTable[[#All],[Lease Number]],0),5))),"x","")</f>
        <v>x</v>
      </c>
      <c r="H51" s="51" t="str">
        <f>IF(ISNUMBER(SEARCH($H$1,INDEX(RTable[#All],MATCH(ActionTracker[[#All],[Lease Number]],RTable[[#All],[Lease Number]],0),5))),"x","")</f>
        <v/>
      </c>
      <c r="I51" s="51" t="str">
        <f>IF(ISNUMBER(SEARCH($I$1,INDEX(RTable[#All],MATCH(ActionTracker[[#All],[Lease Number]],RTable[[#All],[Lease Number]],0),5))),"x","")</f>
        <v/>
      </c>
      <c r="J51" s="51" t="str">
        <f>IF(ISNUMBER(SEARCH($J$1,INDEX(RTable[#All],MATCH(ActionTracker[[#All],[Lease Number]],RTable[[#All],[Lease Number]],0),5))),"x","")</f>
        <v/>
      </c>
      <c r="K51"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51" s="99" t="str">
        <f>IF(ISERROR(INDEX(ContactList[#All],MATCH(ActionTracker[[#All],[Lease Number]],ContactList[[#All],[Lease Number]],0),12)),"",INDEX(ContactList[#All],MATCH(ActionTracker[[#All],[Lease Number]],ContactList[[#All],[Lease Number]],0),12))</f>
        <v>Ana</v>
      </c>
      <c r="M51" s="99" t="str">
        <f>IF(ISERROR(INDEX(ContactList[#All],MATCH(ActionTracker[[#All],[Lease Number]],ContactList[[#All],[Lease Number]],0),12)),"",INDEX(ContactList[#All],MATCH(ActionTracker[[#All],[Lease Number]],ContactList[[#All],[Lease Number]],0),13))</f>
        <v>Kraft</v>
      </c>
      <c r="N51" s="99" t="str">
        <f>IF(ISERROR(INDEX(ContactList[#All],MATCH(ActionTracker[[#All],[Lease Number]],ContactList[[#All],[Lease Number]],0),12)),"",INDEX(ContactList[#All],MATCH(ActionTracker[[#All],[Lease Number]],ContactList[[#All],[Lease Number]],0),14))</f>
        <v>ana.kraft@firstcapitalrealty.ca</v>
      </c>
      <c r="O51" s="99" t="str">
        <f>IF(ISERROR(INDEX(ContactList[#All],MATCH(ActionTracker[[#All],[Lease Number]],ContactList[[#All],[Lease Number]],0),12)),"",INDEX(ContactList[#All],MATCH(ActionTracker[[#All],[Lease Number]],ContactList[[#All],[Lease Number]],0),15))</f>
        <v>778 265 7888</v>
      </c>
      <c r="P51" s="87"/>
      <c r="Q51" s="98"/>
    </row>
    <row r="52" spans="1:17" ht="28.5" x14ac:dyDescent="0.25">
      <c r="A52" s="86" t="s">
        <v>1720</v>
      </c>
      <c r="B52" s="96" t="str">
        <f>IF(ISERROR(INDEX(RTable[#All],MATCH(ActionTracker[[#All],[Lease Number]],RTable[[#All],[Lease Number]],0),1)),"",INDEX(RTable[#All],MATCH(ActionTracker[[#All],[Lease Number]],RTable[[#All],[Lease Number]],0),1))</f>
        <v>Cory Lee</v>
      </c>
      <c r="C52" s="98" t="str">
        <f>IF(ISERROR(INDEX(RTable[#All],MATCH(ActionTracker[[#All],[Lease Number]],RTable[[#All],[Lease Number]],0),1)),"",INDEX(RTable[#All],MATCH(ActionTracker[[#All],[Lease Number]],RTable[[#All],[Lease Number]],0),2)&amp;", "&amp;INDEX(RTable[#All],MATCH(ActionTracker[[#All],[Lease Number]],RTable[[#All],[Lease Number]],0),3))</f>
        <v>1590 Cedar Hill Cross Rd #200, Victoria, B.C. V8P 2P5</v>
      </c>
      <c r="D52" s="51" t="str">
        <f>IF(ISNUMBER(SEARCH($D$1,INDEX(RTable[#All],MATCH(ActionTracker[[#All],[Lease Number]],RTable[[#All],[Lease Number]],0),5))),"x","")</f>
        <v>x</v>
      </c>
      <c r="E52" s="51" t="str">
        <f>IF(ISNUMBER(SEARCH($E$1,INDEX(RTable[#All],MATCH(ActionTracker[[#All],[Lease Number]],RTable[[#All],[Lease Number]],0),5))),"x","")</f>
        <v>x</v>
      </c>
      <c r="F52" s="51" t="str">
        <f>IF(ISNUMBER(SEARCH($F$1,INDEX(RTable[#All],MATCH(ActionTracker[[#All],[Lease Number]],RTable[[#All],[Lease Number]],0),5))),"x","")</f>
        <v>x</v>
      </c>
      <c r="G52" s="51" t="str">
        <f>IF(ISNUMBER(SEARCH($G$1,INDEX(RTable[#All],MATCH(ActionTracker[[#All],[Lease Number]],RTable[[#All],[Lease Number]],0),5))),"x","")</f>
        <v>x</v>
      </c>
      <c r="H52" s="51" t="str">
        <f>IF(ISNUMBER(SEARCH($H$1,INDEX(RTable[#All],MATCH(ActionTracker[[#All],[Lease Number]],RTable[[#All],[Lease Number]],0),5))),"x","")</f>
        <v>x</v>
      </c>
      <c r="I52" s="51" t="str">
        <f>IF(ISNUMBER(SEARCH($I$1,INDEX(RTable[#All],MATCH(ActionTracker[[#All],[Lease Number]],RTable[[#All],[Lease Number]],0),5))),"x","")</f>
        <v/>
      </c>
      <c r="J52" s="51" t="str">
        <f>IF(ISNUMBER(SEARCH($J$1,INDEX(RTable[#All],MATCH(ActionTracker[[#All],[Lease Number]],RTable[[#All],[Lease Number]],0),5))),"x","")</f>
        <v/>
      </c>
      <c r="K52"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52" s="99" t="str">
        <f>IF(ISERROR(INDEX(ContactList[#All],MATCH(ActionTracker[[#All],[Lease Number]],ContactList[[#All],[Lease Number]],0),12)),"",INDEX(ContactList[#All],MATCH(ActionTracker[[#All],[Lease Number]],ContactList[[#All],[Lease Number]],0),12))</f>
        <v>Travis</v>
      </c>
      <c r="M52" s="99" t="str">
        <f>IF(ISERROR(INDEX(ContactList[#All],MATCH(ActionTracker[[#All],[Lease Number]],ContactList[[#All],[Lease Number]],0),12)),"",INDEX(ContactList[#All],MATCH(ActionTracker[[#All],[Lease Number]],ContactList[[#All],[Lease Number]],0),13))</f>
        <v>Lee</v>
      </c>
      <c r="N52" s="99" t="str">
        <f>IF(ISERROR(INDEX(ContactList[#All],MATCH(ActionTracker[[#All],[Lease Number]],ContactList[[#All],[Lease Number]],0),12)),"",INDEX(ContactList[#All],MATCH(ActionTracker[[#All],[Lease Number]],ContactList[[#All],[Lease Number]],0),14))</f>
        <v>travis@trieagle.ca</v>
      </c>
      <c r="O52" s="99" t="str">
        <f>IF(ISERROR(INDEX(ContactList[#All],MATCH(ActionTracker[[#All],[Lease Number]],ContactList[[#All],[Lease Number]],0),12)),"",INDEX(ContactList[#All],MATCH(ActionTracker[[#All],[Lease Number]],ContactList[[#All],[Lease Number]],0),15))</f>
        <v>250-477-2414</v>
      </c>
      <c r="P52" s="87"/>
      <c r="Q52" s="98"/>
    </row>
    <row r="53" spans="1:17" ht="28.5" x14ac:dyDescent="0.25">
      <c r="A53" s="86" t="s">
        <v>625</v>
      </c>
      <c r="B53" s="96" t="str">
        <f>IF(ISERROR(INDEX(RTable[#All],MATCH(ActionTracker[[#All],[Lease Number]],RTable[[#All],[Lease Number]],0),1)),"",INDEX(RTable[#All],MATCH(ActionTracker[[#All],[Lease Number]],RTable[[#All],[Lease Number]],0),1))</f>
        <v>Jeremy Desrochers</v>
      </c>
      <c r="C53" s="98" t="str">
        <f>IF(ISERROR(INDEX(RTable[#All],MATCH(ActionTracker[[#All],[Lease Number]],RTable[[#All],[Lease Number]],0),1)),"",INDEX(RTable[#All],MATCH(ActionTracker[[#All],[Lease Number]],RTable[[#All],[Lease Number]],0),2)&amp;", "&amp;INDEX(RTable[#All],MATCH(ActionTracker[[#All],[Lease Number]],RTable[[#All],[Lease Number]],0),3))</f>
        <v>#460-2980 Island Hwy, Nanaimo, B.C. V9T 5V4</v>
      </c>
      <c r="D53" s="51" t="str">
        <f>IF(ISNUMBER(SEARCH($D$1,INDEX(RTable[#All],MATCH(ActionTracker[[#All],[Lease Number]],RTable[[#All],[Lease Number]],0),5))),"x","")</f>
        <v/>
      </c>
      <c r="E53" s="51" t="str">
        <f>IF(ISNUMBER(SEARCH($E$1,INDEX(RTable[#All],MATCH(ActionTracker[[#All],[Lease Number]],RTable[[#All],[Lease Number]],0),5))),"x","")</f>
        <v/>
      </c>
      <c r="F53" s="51" t="str">
        <f>IF(ISNUMBER(SEARCH($F$1,INDEX(RTable[#All],MATCH(ActionTracker[[#All],[Lease Number]],RTable[[#All],[Lease Number]],0),5))),"x","")</f>
        <v>x</v>
      </c>
      <c r="G53" s="51" t="str">
        <f>IF(ISNUMBER(SEARCH($G$1,INDEX(RTable[#All],MATCH(ActionTracker[[#All],[Lease Number]],RTable[[#All],[Lease Number]],0),5))),"x","")</f>
        <v>x</v>
      </c>
      <c r="H53" s="51" t="str">
        <f>IF(ISNUMBER(SEARCH($H$1,INDEX(RTable[#All],MATCH(ActionTracker[[#All],[Lease Number]],RTable[[#All],[Lease Number]],0),5))),"x","")</f>
        <v/>
      </c>
      <c r="I53" s="51" t="str">
        <f>IF(ISNUMBER(SEARCH($I$1,INDEX(RTable[#All],MATCH(ActionTracker[[#All],[Lease Number]],RTable[[#All],[Lease Number]],0),5))),"x","")</f>
        <v/>
      </c>
      <c r="J53" s="51" t="str">
        <f>IF(ISNUMBER(SEARCH($J$1,INDEX(RTable[#All],MATCH(ActionTracker[[#All],[Lease Number]],RTable[[#All],[Lease Number]],0),5))),"x","")</f>
        <v/>
      </c>
      <c r="K53"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53" s="99" t="str">
        <f>IF(ISERROR(INDEX(ContactList[#All],MATCH(ActionTracker[[#All],[Lease Number]],ContactList[[#All],[Lease Number]],0),12)),"",INDEX(ContactList[#All],MATCH(ActionTracker[[#All],[Lease Number]],ContactList[[#All],[Lease Number]],0),12))</f>
        <v>Jeremy</v>
      </c>
      <c r="M53" s="99" t="str">
        <f>IF(ISERROR(INDEX(ContactList[#All],MATCH(ActionTracker[[#All],[Lease Number]],ContactList[[#All],[Lease Number]],0),12)),"",INDEX(ContactList[#All],MATCH(ActionTracker[[#All],[Lease Number]],ContactList[[#All],[Lease Number]],0),13))</f>
        <v>Desrochers</v>
      </c>
      <c r="N53" s="99" t="str">
        <f>IF(ISERROR(INDEX(ContactList[#All],MATCH(ActionTracker[[#All],[Lease Number]],ContactList[[#All],[Lease Number]],0),12)),"",INDEX(ContactList[#All],MATCH(ActionTracker[[#All],[Lease Number]],ContactList[[#All],[Lease Number]],0),14))</f>
        <v>jeremy@groupedenux.com</v>
      </c>
      <c r="O53" s="99" t="str">
        <f>IF(ISERROR(INDEX(ContactList[#All],MATCH(ActionTracker[[#All],[Lease Number]],ContactList[[#All],[Lease Number]],0),12)),"",INDEX(ContactList[#All],MATCH(ActionTracker[[#All],[Lease Number]],ContactList[[#All],[Lease Number]],0),15))</f>
        <v>250 920 5435</v>
      </c>
      <c r="P53" s="87"/>
      <c r="Q53" s="98"/>
    </row>
    <row r="54" spans="1:17" ht="30" x14ac:dyDescent="0.25">
      <c r="A54" s="86" t="s">
        <v>615</v>
      </c>
      <c r="B54" s="96" t="str">
        <f>IF(ISERROR(INDEX(RTable[#All],MATCH(ActionTracker[[#All],[Lease Number]],RTable[[#All],[Lease Number]],0),1)),"",INDEX(RTable[#All],MATCH(ActionTracker[[#All],[Lease Number]],RTable[[#All],[Lease Number]],0),1))</f>
        <v>Brenda Bolwyn, Senior Property Manager</v>
      </c>
      <c r="C54" s="98" t="str">
        <f>IF(ISERROR(INDEX(RTable[#All],MATCH(ActionTracker[[#All],[Lease Number]],RTable[[#All],[Lease Number]],0),1)),"",INDEX(RTable[#All],MATCH(ActionTracker[[#All],[Lease Number]],RTable[[#All],[Lease Number]],0),2)&amp;", "&amp;INDEX(RTable[#All],MATCH(ActionTracker[[#All],[Lease Number]],RTable[[#All],[Lease Number]],0),3))</f>
        <v>220 - 172 Wilson Street, Victoria, B.C. V9A 7N6</v>
      </c>
      <c r="D54" s="51" t="str">
        <f>IF(ISNUMBER(SEARCH($D$1,INDEX(RTable[#All],MATCH(ActionTracker[[#All],[Lease Number]],RTable[[#All],[Lease Number]],0),5))),"x","")</f>
        <v/>
      </c>
      <c r="E54" s="51" t="str">
        <f>IF(ISNUMBER(SEARCH($E$1,INDEX(RTable[#All],MATCH(ActionTracker[[#All],[Lease Number]],RTable[[#All],[Lease Number]],0),5))),"x","")</f>
        <v/>
      </c>
      <c r="F54" s="51" t="str">
        <f>IF(ISNUMBER(SEARCH($F$1,INDEX(RTable[#All],MATCH(ActionTracker[[#All],[Lease Number]],RTable[[#All],[Lease Number]],0),5))),"x","")</f>
        <v>x</v>
      </c>
      <c r="G54" s="51" t="str">
        <f>IF(ISNUMBER(SEARCH($G$1,INDEX(RTable[#All],MATCH(ActionTracker[[#All],[Lease Number]],RTable[[#All],[Lease Number]],0),5))),"x","")</f>
        <v>x</v>
      </c>
      <c r="H54" s="51" t="str">
        <f>IF(ISNUMBER(SEARCH($H$1,INDEX(RTable[#All],MATCH(ActionTracker[[#All],[Lease Number]],RTable[[#All],[Lease Number]],0),5))),"x","")</f>
        <v/>
      </c>
      <c r="I54" s="51" t="str">
        <f>IF(ISNUMBER(SEARCH($I$1,INDEX(RTable[#All],MATCH(ActionTracker[[#All],[Lease Number]],RTable[[#All],[Lease Number]],0),5))),"x","")</f>
        <v>x</v>
      </c>
      <c r="J54" s="51" t="str">
        <f>IF(ISNUMBER(SEARCH($J$1,INDEX(RTable[#All],MATCH(ActionTracker[[#All],[Lease Number]],RTable[[#All],[Lease Number]],0),5))),"x","")</f>
        <v/>
      </c>
      <c r="K54"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54" s="99" t="str">
        <f>IF(ISERROR(INDEX(ContactList[#All],MATCH(ActionTracker[[#All],[Lease Number]],ContactList[[#All],[Lease Number]],0),12)),"",INDEX(ContactList[#All],MATCH(ActionTracker[[#All],[Lease Number]],ContactList[[#All],[Lease Number]],0),12))</f>
        <v>Brenda</v>
      </c>
      <c r="M54" s="99" t="str">
        <f>IF(ISERROR(INDEX(ContactList[#All],MATCH(ActionTracker[[#All],[Lease Number]],ContactList[[#All],[Lease Number]],0),12)),"",INDEX(ContactList[#All],MATCH(ActionTracker[[#All],[Lease Number]],ContactList[[#All],[Lease Number]],0),13))</f>
        <v>Bolwyn</v>
      </c>
      <c r="N54" s="99" t="str">
        <f>IF(ISERROR(INDEX(ContactList[#All],MATCH(ActionTracker[[#All],[Lease Number]],ContactList[[#All],[Lease Number]],0),12)),"",INDEX(ContactList[#All],MATCH(ActionTracker[[#All],[Lease Number]],ContactList[[#All],[Lease Number]],0),14))</f>
        <v>brenda.bolwyn@colliers.com</v>
      </c>
      <c r="O54" s="99" t="str">
        <f>IF(ISERROR(INDEX(ContactList[#All],MATCH(ActionTracker[[#All],[Lease Number]],ContactList[[#All],[Lease Number]],0),12)),"",INDEX(ContactList[#All],MATCH(ActionTracker[[#All],[Lease Number]],ContactList[[#All],[Lease Number]],0),15))</f>
        <v>250 388 6454</v>
      </c>
      <c r="P54" s="87"/>
      <c r="Q54" s="98"/>
    </row>
    <row r="55" spans="1:17" ht="28.5" x14ac:dyDescent="0.25">
      <c r="A55" s="86" t="s">
        <v>621</v>
      </c>
      <c r="B55" s="96" t="str">
        <f>IF(ISERROR(INDEX(RTable[#All],MATCH(ActionTracker[[#All],[Lease Number]],RTable[[#All],[Lease Number]],0),1)),"",INDEX(RTable[#All],MATCH(ActionTracker[[#All],[Lease Number]],RTable[[#All],[Lease Number]],0),1))</f>
        <v>Karen Hodgson</v>
      </c>
      <c r="C55" s="98" t="str">
        <f>IF(ISERROR(INDEX(RTable[#All],MATCH(ActionTracker[[#All],[Lease Number]],RTable[[#All],[Lease Number]],0),1)),"",INDEX(RTable[#All],MATCH(ActionTracker[[#All],[Lease Number]],RTable[[#All],[Lease Number]],0),2)&amp;", "&amp;INDEX(RTable[#All],MATCH(ActionTracker[[#All],[Lease Number]],RTable[[#All],[Lease Number]],0),3))</f>
        <v>102-4480 West Saanich Road, Victoria, B.C. V8Z 3E9</v>
      </c>
      <c r="D55" s="51" t="str">
        <f>IF(ISNUMBER(SEARCH($D$1,INDEX(RTable[#All],MATCH(ActionTracker[[#All],[Lease Number]],RTable[[#All],[Lease Number]],0),5))),"x","")</f>
        <v>x</v>
      </c>
      <c r="E55" s="51" t="str">
        <f>IF(ISNUMBER(SEARCH($E$1,INDEX(RTable[#All],MATCH(ActionTracker[[#All],[Lease Number]],RTable[[#All],[Lease Number]],0),5))),"x","")</f>
        <v>x</v>
      </c>
      <c r="F55" s="51" t="str">
        <f>IF(ISNUMBER(SEARCH($F$1,INDEX(RTable[#All],MATCH(ActionTracker[[#All],[Lease Number]],RTable[[#All],[Lease Number]],0),5))),"x","")</f>
        <v>x</v>
      </c>
      <c r="G55" s="51" t="str">
        <f>IF(ISNUMBER(SEARCH($G$1,INDEX(RTable[#All],MATCH(ActionTracker[[#All],[Lease Number]],RTable[[#All],[Lease Number]],0),5))),"x","")</f>
        <v>x</v>
      </c>
      <c r="H55" s="51" t="str">
        <f>IF(ISNUMBER(SEARCH($H$1,INDEX(RTable[#All],MATCH(ActionTracker[[#All],[Lease Number]],RTable[[#All],[Lease Number]],0),5))),"x","")</f>
        <v>x</v>
      </c>
      <c r="I55" s="51" t="str">
        <f>IF(ISNUMBER(SEARCH($I$1,INDEX(RTable[#All],MATCH(ActionTracker[[#All],[Lease Number]],RTable[[#All],[Lease Number]],0),5))),"x","")</f>
        <v>x</v>
      </c>
      <c r="J55" s="51" t="str">
        <f>IF(ISNUMBER(SEARCH($J$1,INDEX(RTable[#All],MATCH(ActionTracker[[#All],[Lease Number]],RTable[[#All],[Lease Number]],0),5))),"x","")</f>
        <v/>
      </c>
      <c r="K55"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Complete</v>
      </c>
      <c r="L55" s="99" t="str">
        <f>IF(ISERROR(INDEX(ContactList[#All],MATCH(ActionTracker[[#All],[Lease Number]],ContactList[[#All],[Lease Number]],0),12)),"",INDEX(ContactList[#All],MATCH(ActionTracker[[#All],[Lease Number]],ContactList[[#All],[Lease Number]],0),12))</f>
        <v>Ellen</v>
      </c>
      <c r="M55" s="99" t="str">
        <f>IF(ISERROR(INDEX(ContactList[#All],MATCH(ActionTracker[[#All],[Lease Number]],ContactList[[#All],[Lease Number]],0),12)),"",INDEX(ContactList[#All],MATCH(ActionTracker[[#All],[Lease Number]],ContactList[[#All],[Lease Number]],0),13))</f>
        <v>Gallacher</v>
      </c>
      <c r="N55" s="99" t="str">
        <f>IF(ISERROR(INDEX(ContactList[#All],MATCH(ActionTracker[[#All],[Lease Number]],ContactList[[#All],[Lease Number]],0),12)),"",INDEX(ContactList[#All],MATCH(ActionTracker[[#All],[Lease Number]],ContactList[[#All],[Lease Number]],0),14))</f>
        <v>egallacher@hansbraun.com</v>
      </c>
      <c r="O55" s="99" t="str">
        <f>IF(ISERROR(INDEX(ContactList[#All],MATCH(ActionTracker[[#All],[Lease Number]],ContactList[[#All],[Lease Number]],0),12)),"",INDEX(ContactList[#All],MATCH(ActionTracker[[#All],[Lease Number]],ContactList[[#All],[Lease Number]],0),15))</f>
        <v>250 727 6333</v>
      </c>
      <c r="P55" s="87"/>
      <c r="Q55" s="98"/>
    </row>
    <row r="56" spans="1:17" ht="28.5" x14ac:dyDescent="0.25">
      <c r="A56" s="86" t="s">
        <v>597</v>
      </c>
      <c r="B56" s="96" t="str">
        <f>IF(ISERROR(INDEX(RTable[#All],MATCH(ActionTracker[[#All],[Lease Number]],RTable[[#All],[Lease Number]],0),1)),"",INDEX(RTable[#All],MATCH(ActionTracker[[#All],[Lease Number]],RTable[[#All],[Lease Number]],0),1))</f>
        <v>Jennifer Bouchard</v>
      </c>
      <c r="C56" s="98" t="str">
        <f>IF(ISERROR(INDEX(RTable[#All],MATCH(ActionTracker[[#All],[Lease Number]],RTable[[#All],[Lease Number]],0),1)),"",INDEX(RTable[#All],MATCH(ActionTracker[[#All],[Lease Number]],RTable[[#All],[Lease Number]],0),2)&amp;", "&amp;INDEX(RTable[#All],MATCH(ActionTracker[[#All],[Lease Number]],RTable[[#All],[Lease Number]],0),3))</f>
        <v>#890B - 890 Esquimalt Rd, Esquimalt, B.C. V9A 3M4</v>
      </c>
      <c r="D56" s="51" t="str">
        <f>IF(ISNUMBER(SEARCH($D$1,INDEX(RTable[#All],MATCH(ActionTracker[[#All],[Lease Number]],RTable[[#All],[Lease Number]],0),5))),"x","")</f>
        <v/>
      </c>
      <c r="E56" s="51" t="str">
        <f>IF(ISNUMBER(SEARCH($E$1,INDEX(RTable[#All],MATCH(ActionTracker[[#All],[Lease Number]],RTable[[#All],[Lease Number]],0),5))),"x","")</f>
        <v/>
      </c>
      <c r="F56" s="51" t="str">
        <f>IF(ISNUMBER(SEARCH($F$1,INDEX(RTable[#All],MATCH(ActionTracker[[#All],[Lease Number]],RTable[[#All],[Lease Number]],0),5))),"x","")</f>
        <v>x</v>
      </c>
      <c r="G56" s="51" t="str">
        <f>IF(ISNUMBER(SEARCH($G$1,INDEX(RTable[#All],MATCH(ActionTracker[[#All],[Lease Number]],RTable[[#All],[Lease Number]],0),5))),"x","")</f>
        <v>x</v>
      </c>
      <c r="H56" s="51" t="str">
        <f>IF(ISNUMBER(SEARCH($H$1,INDEX(RTable[#All],MATCH(ActionTracker[[#All],[Lease Number]],RTable[[#All],[Lease Number]],0),5))),"x","")</f>
        <v/>
      </c>
      <c r="I56" s="51" t="str">
        <f>IF(ISNUMBER(SEARCH($I$1,INDEX(RTable[#All],MATCH(ActionTracker[[#All],[Lease Number]],RTable[[#All],[Lease Number]],0),5))),"x","")</f>
        <v/>
      </c>
      <c r="J56" s="51" t="str">
        <f>IF(ISNUMBER(SEARCH($J$1,INDEX(RTable[#All],MATCH(ActionTracker[[#All],[Lease Number]],RTable[[#All],[Lease Number]],0),5))),"x","")</f>
        <v/>
      </c>
      <c r="K56"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56" s="99" t="str">
        <f>IF(ISERROR(INDEX(ContactList[#All],MATCH(ActionTracker[[#All],[Lease Number]],ContactList[[#All],[Lease Number]],0),12)),"",INDEX(ContactList[#All],MATCH(ActionTracker[[#All],[Lease Number]],ContactList[[#All],[Lease Number]],0),12))</f>
        <v>Jos'ee</v>
      </c>
      <c r="M56" s="99" t="str">
        <f>IF(ISERROR(INDEX(ContactList[#All],MATCH(ActionTracker[[#All],[Lease Number]],ContactList[[#All],[Lease Number]],0),12)),"",INDEX(ContactList[#All],MATCH(ActionTracker[[#All],[Lease Number]],ContactList[[#All],[Lease Number]],0),13))</f>
        <v>Stamhuis</v>
      </c>
      <c r="N56" s="99" t="str">
        <f>IF(ISERROR(INDEX(ContactList[#All],MATCH(ActionTracker[[#All],[Lease Number]],ContactList[[#All],[Lease Number]],0),12)),"",INDEX(ContactList[#All],MATCH(ActionTracker[[#All],[Lease Number]],ContactList[[#All],[Lease Number]],0),14))</f>
        <v>josee@groupedenux.com</v>
      </c>
      <c r="O56" s="99" t="str">
        <f>IF(ISERROR(INDEX(ContactList[#All],MATCH(ActionTracker[[#All],[Lease Number]],ContactList[[#All],[Lease Number]],0),12)),"",INDEX(ContactList[#All],MATCH(ActionTracker[[#All],[Lease Number]],ContactList[[#All],[Lease Number]],0),15))</f>
        <v>250 920 5435</v>
      </c>
      <c r="P56" s="87"/>
      <c r="Q56" s="98"/>
    </row>
    <row r="57" spans="1:17" ht="28.5" x14ac:dyDescent="0.25">
      <c r="A57" s="86" t="s">
        <v>585</v>
      </c>
      <c r="B57" s="96" t="str">
        <f>IF(ISERROR(INDEX(RTable[#All],MATCH(ActionTracker[[#All],[Lease Number]],RTable[[#All],[Lease Number]],0),1)),"",INDEX(RTable[#All],MATCH(ActionTracker[[#All],[Lease Number]],RTable[[#All],[Lease Number]],0),1))</f>
        <v>Juri Vuletin</v>
      </c>
      <c r="C57" s="98" t="str">
        <f>IF(ISERROR(INDEX(RTable[#All],MATCH(ActionTracker[[#All],[Lease Number]],RTable[[#All],[Lease Number]],0),1)),"",INDEX(RTable[#All],MATCH(ActionTracker[[#All],[Lease Number]],RTable[[#All],[Lease Number]],0),2)&amp;", "&amp;INDEX(RTable[#All],MATCH(ActionTracker[[#All],[Lease Number]],RTable[[#All],[Lease Number]],0),3))</f>
        <v>324 Gilmore Ave., Burnaby, B.C. V5C 4R1</v>
      </c>
      <c r="D57" s="51" t="str">
        <f>IF(ISNUMBER(SEARCH($D$1,INDEX(RTable[#All],MATCH(ActionTracker[[#All],[Lease Number]],RTable[[#All],[Lease Number]],0),5))),"x","")</f>
        <v/>
      </c>
      <c r="E57" s="51" t="str">
        <f>IF(ISNUMBER(SEARCH($E$1,INDEX(RTable[#All],MATCH(ActionTracker[[#All],[Lease Number]],RTable[[#All],[Lease Number]],0),5))),"x","")</f>
        <v/>
      </c>
      <c r="F57" s="51" t="str">
        <f>IF(ISNUMBER(SEARCH($F$1,INDEX(RTable[#All],MATCH(ActionTracker[[#All],[Lease Number]],RTable[[#All],[Lease Number]],0),5))),"x","")</f>
        <v/>
      </c>
      <c r="G57" s="51" t="str">
        <f>IF(ISNUMBER(SEARCH($G$1,INDEX(RTable[#All],MATCH(ActionTracker[[#All],[Lease Number]],RTable[[#All],[Lease Number]],0),5))),"x","")</f>
        <v/>
      </c>
      <c r="H57" s="51" t="str">
        <f>IF(ISNUMBER(SEARCH($H$1,INDEX(RTable[#All],MATCH(ActionTracker[[#All],[Lease Number]],RTable[[#All],[Lease Number]],0),5))),"x","")</f>
        <v/>
      </c>
      <c r="I57" s="51" t="str">
        <f>IF(ISNUMBER(SEARCH($I$1,INDEX(RTable[#All],MATCH(ActionTracker[[#All],[Lease Number]],RTable[[#All],[Lease Number]],0),5))),"x","")</f>
        <v>x</v>
      </c>
      <c r="J57" s="51" t="str">
        <f>IF(ISNUMBER(SEARCH($J$1,INDEX(RTable[#All],MATCH(ActionTracker[[#All],[Lease Number]],RTable[[#All],[Lease Number]],0),5))),"x","")</f>
        <v/>
      </c>
      <c r="K57"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None</v>
      </c>
      <c r="L57" s="99" t="str">
        <f>IF(ISERROR(INDEX(ContactList[#All],MATCH(ActionTracker[[#All],[Lease Number]],ContactList[[#All],[Lease Number]],0),12)),"",INDEX(ContactList[#All],MATCH(ActionTracker[[#All],[Lease Number]],ContactList[[#All],[Lease Number]],0),12))</f>
        <v>Tony</v>
      </c>
      <c r="M57" s="99" t="str">
        <f>IF(ISERROR(INDEX(ContactList[#All],MATCH(ActionTracker[[#All],[Lease Number]],ContactList[[#All],[Lease Number]],0),12)),"",INDEX(ContactList[#All],MATCH(ActionTracker[[#All],[Lease Number]],ContactList[[#All],[Lease Number]],0),13))</f>
        <v>Vuletin</v>
      </c>
      <c r="N57" s="99" t="str">
        <f>IF(ISERROR(INDEX(ContactList[#All],MATCH(ActionTracker[[#All],[Lease Number]],ContactList[[#All],[Lease Number]],0),12)),"",INDEX(ContactList[#All],MATCH(ActionTracker[[#All],[Lease Number]],ContactList[[#All],[Lease Number]],0),14))</f>
        <v>avuletin@telus.net</v>
      </c>
      <c r="O57" s="99" t="str">
        <f>IF(ISERROR(INDEX(ContactList[#All],MATCH(ActionTracker[[#All],[Lease Number]],ContactList[[#All],[Lease Number]],0),12)),"",INDEX(ContactList[#All],MATCH(ActionTracker[[#All],[Lease Number]],ContactList[[#All],[Lease Number]],0),15))</f>
        <v>604 298 4670</v>
      </c>
      <c r="P57" s="87"/>
      <c r="Q57" s="98"/>
    </row>
    <row r="58" spans="1:17" ht="30" x14ac:dyDescent="0.25">
      <c r="A58" s="86" t="s">
        <v>612</v>
      </c>
      <c r="B58" s="96" t="str">
        <f>IF(ISERROR(INDEX(RTable[#All],MATCH(ActionTracker[[#All],[Lease Number]],RTable[[#All],[Lease Number]],0),1)),"",INDEX(RTable[#All],MATCH(ActionTracker[[#All],[Lease Number]],RTable[[#All],[Lease Number]],0),1))</f>
        <v>Equitex Property Management</v>
      </c>
      <c r="C58" s="98" t="str">
        <f>IF(ISERROR(INDEX(RTable[#All],MATCH(ActionTracker[[#All],[Lease Number]],RTable[[#All],[Lease Number]],0),1)),"",INDEX(RTable[#All],MATCH(ActionTracker[[#All],[Lease Number]],RTable[[#All],[Lease Number]],0),2)&amp;", "&amp;INDEX(RTable[#All],MATCH(ActionTracker[[#All],[Lease Number]],RTable[[#All],[Lease Number]],0),3))</f>
        <v xml:space="preserve">#6-101 Burnside Road West , Victoria, B.C. </v>
      </c>
      <c r="D58" s="51" t="str">
        <f>IF(ISNUMBER(SEARCH($D$1,INDEX(RTable[#All],MATCH(ActionTracker[[#All],[Lease Number]],RTable[[#All],[Lease Number]],0),5))),"x","")</f>
        <v/>
      </c>
      <c r="E58" s="51" t="str">
        <f>IF(ISNUMBER(SEARCH($E$1,INDEX(RTable[#All],MATCH(ActionTracker[[#All],[Lease Number]],RTable[[#All],[Lease Number]],0),5))),"x","")</f>
        <v/>
      </c>
      <c r="F58" s="51" t="str">
        <f>IF(ISNUMBER(SEARCH($F$1,INDEX(RTable[#All],MATCH(ActionTracker[[#All],[Lease Number]],RTable[[#All],[Lease Number]],0),5))),"x","")</f>
        <v/>
      </c>
      <c r="G58" s="51" t="str">
        <f>IF(ISNUMBER(SEARCH($G$1,INDEX(RTable[#All],MATCH(ActionTracker[[#All],[Lease Number]],RTable[[#All],[Lease Number]],0),5))),"x","")</f>
        <v>x</v>
      </c>
      <c r="H58" s="51" t="str">
        <f>IF(ISNUMBER(SEARCH($H$1,INDEX(RTable[#All],MATCH(ActionTracker[[#All],[Lease Number]],RTable[[#All],[Lease Number]],0),5))),"x","")</f>
        <v/>
      </c>
      <c r="I58" s="51" t="str">
        <f>IF(ISNUMBER(SEARCH($I$1,INDEX(RTable[#All],MATCH(ActionTracker[[#All],[Lease Number]],RTable[[#All],[Lease Number]],0),5))),"x","")</f>
        <v/>
      </c>
      <c r="J58" s="51" t="str">
        <f>IF(ISNUMBER(SEARCH($J$1,INDEX(RTable[#All],MATCH(ActionTracker[[#All],[Lease Number]],RTable[[#All],[Lease Number]],0),5))),"x","")</f>
        <v/>
      </c>
      <c r="K58"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58" s="99" t="str">
        <f>IF(ISERROR(INDEX(ContactList[#All],MATCH(ActionTracker[[#All],[Lease Number]],ContactList[[#All],[Lease Number]],0),12)),"",INDEX(ContactList[#All],MATCH(ActionTracker[[#All],[Lease Number]],ContactList[[#All],[Lease Number]],0),12))</f>
        <v>Michael</v>
      </c>
      <c r="M58" s="99" t="str">
        <f>IF(ISERROR(INDEX(ContactList[#All],MATCH(ActionTracker[[#All],[Lease Number]],ContactList[[#All],[Lease Number]],0),12)),"",INDEX(ContactList[#All],MATCH(ActionTracker[[#All],[Lease Number]],ContactList[[#All],[Lease Number]],0),13))</f>
        <v>Hadfield</v>
      </c>
      <c r="N58" s="99" t="str">
        <f>IF(ISERROR(INDEX(ContactList[#All],MATCH(ActionTracker[[#All],[Lease Number]],ContactList[[#All],[Lease Number]],0),12)),"",INDEX(ContactList[#All],MATCH(ActionTracker[[#All],[Lease Number]],ContactList[[#All],[Lease Number]],0),14))</f>
        <v>hadfield@equitex.ca</v>
      </c>
      <c r="O58" s="99" t="str">
        <f>IF(ISERROR(INDEX(ContactList[#All],MATCH(ActionTracker[[#All],[Lease Number]],ContactList[[#All],[Lease Number]],0),12)),"",INDEX(ContactList[#All],MATCH(ActionTracker[[#All],[Lease Number]],ContactList[[#All],[Lease Number]],0),15))</f>
        <v>250 386 6071</v>
      </c>
      <c r="P58" s="87"/>
      <c r="Q58" s="98"/>
    </row>
    <row r="59" spans="1:17" ht="28.5" x14ac:dyDescent="0.25">
      <c r="A59" s="86" t="s">
        <v>588</v>
      </c>
      <c r="B59" s="96" t="str">
        <f>IF(ISERROR(INDEX(RTable[#All],MATCH(ActionTracker[[#All],[Lease Number]],RTable[[#All],[Lease Number]],0),1)),"",INDEX(RTable[#All],MATCH(ActionTracker[[#All],[Lease Number]],RTable[[#All],[Lease Number]],0),1))</f>
        <v>Andrea Zink</v>
      </c>
      <c r="C59" s="98" t="str">
        <f>IF(ISERROR(INDEX(RTable[#All],MATCH(ActionTracker[[#All],[Lease Number]],RTable[[#All],[Lease Number]],0),1)),"",INDEX(RTable[#All],MATCH(ActionTracker[[#All],[Lease Number]],RTable[[#All],[Lease Number]],0),2)&amp;", "&amp;INDEX(RTable[#All],MATCH(ActionTracker[[#All],[Lease Number]],RTable[[#All],[Lease Number]],0),3))</f>
        <v>650 WEST 41ST AVE, Vancouver, B.C. V5Z 2M9</v>
      </c>
      <c r="D59" s="51" t="str">
        <f>IF(ISNUMBER(SEARCH($D$1,INDEX(RTable[#All],MATCH(ActionTracker[[#All],[Lease Number]],RTable[[#All],[Lease Number]],0),5))),"x","")</f>
        <v>x</v>
      </c>
      <c r="E59" s="51" t="str">
        <f>IF(ISNUMBER(SEARCH($E$1,INDEX(RTable[#All],MATCH(ActionTracker[[#All],[Lease Number]],RTable[[#All],[Lease Number]],0),5))),"x","")</f>
        <v>x</v>
      </c>
      <c r="F59" s="51" t="str">
        <f>IF(ISNUMBER(SEARCH($F$1,INDEX(RTable[#All],MATCH(ActionTracker[[#All],[Lease Number]],RTable[[#All],[Lease Number]],0),5))),"x","")</f>
        <v>x</v>
      </c>
      <c r="G59" s="51" t="str">
        <f>IF(ISNUMBER(SEARCH($G$1,INDEX(RTable[#All],MATCH(ActionTracker[[#All],[Lease Number]],RTable[[#All],[Lease Number]],0),5))),"x","")</f>
        <v>x</v>
      </c>
      <c r="H59" s="51" t="str">
        <f>IF(ISNUMBER(SEARCH($H$1,INDEX(RTable[#All],MATCH(ActionTracker[[#All],[Lease Number]],RTable[[#All],[Lease Number]],0),5))),"x","")</f>
        <v>x</v>
      </c>
      <c r="I59" s="51" t="str">
        <f>IF(ISNUMBER(SEARCH($I$1,INDEX(RTable[#All],MATCH(ActionTracker[[#All],[Lease Number]],RTable[[#All],[Lease Number]],0),5))),"x","")</f>
        <v>x</v>
      </c>
      <c r="J59" s="51" t="str">
        <f>IF(ISNUMBER(SEARCH($J$1,INDEX(RTable[#All],MATCH(ActionTracker[[#All],[Lease Number]],RTable[[#All],[Lease Number]],0),5))),"x","")</f>
        <v/>
      </c>
      <c r="K59"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Complete</v>
      </c>
      <c r="L59" s="99" t="str">
        <f>IF(ISERROR(INDEX(ContactList[#All],MATCH(ActionTracker[[#All],[Lease Number]],ContactList[[#All],[Lease Number]],0),12)),"",INDEX(ContactList[#All],MATCH(ActionTracker[[#All],[Lease Number]],ContactList[[#All],[Lease Number]],0),12))</f>
        <v>Andrea</v>
      </c>
      <c r="M59" s="99" t="str">
        <f>IF(ISERROR(INDEX(ContactList[#All],MATCH(ActionTracker[[#All],[Lease Number]],ContactList[[#All],[Lease Number]],0),12)),"",INDEX(ContactList[#All],MATCH(ActionTracker[[#All],[Lease Number]],ContactList[[#All],[Lease Number]],0),13))</f>
        <v>Zink</v>
      </c>
      <c r="N59" s="99" t="str">
        <f>IF(ISERROR(INDEX(ContactList[#All],MATCH(ActionTracker[[#All],[Lease Number]],ContactList[[#All],[Lease Number]],0),12)),"",INDEX(ContactList[#All],MATCH(ActionTracker[[#All],[Lease Number]],ContactList[[#All],[Lease Number]],0),14))</f>
        <v>azink@ivanhoecambridge.com</v>
      </c>
      <c r="O59" s="99" t="str">
        <f>IF(ISERROR(INDEX(ContactList[#All],MATCH(ActionTracker[[#All],[Lease Number]],ContactList[[#All],[Lease Number]],0),12)),"",INDEX(ContactList[#All],MATCH(ActionTracker[[#All],[Lease Number]],ContactList[[#All],[Lease Number]],0),15))</f>
        <v>604 269 2296</v>
      </c>
      <c r="P59" s="87"/>
      <c r="Q59" s="98"/>
    </row>
    <row r="60" spans="1:17" ht="28.5" x14ac:dyDescent="0.25">
      <c r="A60" s="86" t="s">
        <v>611</v>
      </c>
      <c r="B60" s="96" t="str">
        <f>IF(ISERROR(INDEX(RTable[#All],MATCH(ActionTracker[[#All],[Lease Number]],RTable[[#All],[Lease Number]],0),1)),"",INDEX(RTable[#All],MATCH(ActionTracker[[#All],[Lease Number]],RTable[[#All],[Lease Number]],0),1))</f>
        <v>Dan Meir</v>
      </c>
      <c r="C60" s="98" t="str">
        <f>IF(ISERROR(INDEX(RTable[#All],MATCH(ActionTracker[[#All],[Lease Number]],RTable[[#All],[Lease Number]],0),1)),"",INDEX(RTable[#All],MATCH(ActionTracker[[#All],[Lease Number]],RTable[[#All],[Lease Number]],0),2)&amp;", "&amp;INDEX(RTable[#All],MATCH(ActionTracker[[#All],[Lease Number]],RTable[[#All],[Lease Number]],0),3))</f>
        <v>102-1990 Fort Street, Victoria, B.C. V8R 6V4</v>
      </c>
      <c r="D60" s="51" t="str">
        <f>IF(ISNUMBER(SEARCH($D$1,INDEX(RTable[#All],MATCH(ActionTracker[[#All],[Lease Number]],RTable[[#All],[Lease Number]],0),5))),"x","")</f>
        <v>x</v>
      </c>
      <c r="E60" s="51" t="str">
        <f>IF(ISNUMBER(SEARCH($E$1,INDEX(RTable[#All],MATCH(ActionTracker[[#All],[Lease Number]],RTable[[#All],[Lease Number]],0),5))),"x","")</f>
        <v>x</v>
      </c>
      <c r="F60" s="51" t="str">
        <f>IF(ISNUMBER(SEARCH($F$1,INDEX(RTable[#All],MATCH(ActionTracker[[#All],[Lease Number]],RTable[[#All],[Lease Number]],0),5))),"x","")</f>
        <v>x</v>
      </c>
      <c r="G60" s="51" t="str">
        <f>IF(ISNUMBER(SEARCH($G$1,INDEX(RTable[#All],MATCH(ActionTracker[[#All],[Lease Number]],RTable[[#All],[Lease Number]],0),5))),"x","")</f>
        <v>x</v>
      </c>
      <c r="H60" s="51" t="str">
        <f>IF(ISNUMBER(SEARCH($H$1,INDEX(RTable[#All],MATCH(ActionTracker[[#All],[Lease Number]],RTable[[#All],[Lease Number]],0),5))),"x","")</f>
        <v>x</v>
      </c>
      <c r="I60" s="51" t="str">
        <f>IF(ISNUMBER(SEARCH($I$1,INDEX(RTable[#All],MATCH(ActionTracker[[#All],[Lease Number]],RTable[[#All],[Lease Number]],0),5))),"x","")</f>
        <v>x</v>
      </c>
      <c r="J60" s="51" t="str">
        <f>IF(ISNUMBER(SEARCH($J$1,INDEX(RTable[#All],MATCH(ActionTracker[[#All],[Lease Number]],RTable[[#All],[Lease Number]],0),5))),"x","")</f>
        <v/>
      </c>
      <c r="K60"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Complete</v>
      </c>
      <c r="L60" s="99" t="str">
        <f>IF(ISERROR(INDEX(ContactList[#All],MATCH(ActionTracker[[#All],[Lease Number]],ContactList[[#All],[Lease Number]],0),12)),"",INDEX(ContactList[#All],MATCH(ActionTracker[[#All],[Lease Number]],ContactList[[#All],[Lease Number]],0),12))</f>
        <v>Dave</v>
      </c>
      <c r="M60" s="99" t="str">
        <f>IF(ISERROR(INDEX(ContactList[#All],MATCH(ActionTracker[[#All],[Lease Number]],ContactList[[#All],[Lease Number]],0),12)),"",INDEX(ContactList[#All],MATCH(ActionTracker[[#All],[Lease Number]],ContactList[[#All],[Lease Number]],0),13))</f>
        <v>Craig</v>
      </c>
      <c r="N60" s="99" t="str">
        <f>IF(ISERROR(INDEX(ContactList[#All],MATCH(ActionTracker[[#All],[Lease Number]],ContactList[[#All],[Lease Number]],0),12)),"",INDEX(ContactList[#All],MATCH(ActionTracker[[#All],[Lease Number]],ContactList[[#All],[Lease Number]],0),14))</f>
        <v>dcraig@devonprop.com</v>
      </c>
      <c r="O60" s="99" t="str">
        <f>IF(ISERROR(INDEX(ContactList[#All],MATCH(ActionTracker[[#All],[Lease Number]],ContactList[[#All],[Lease Number]],0),12)),"",INDEX(ContactList[#All],MATCH(ActionTracker[[#All],[Lease Number]],ContactList[[#All],[Lease Number]],0),15))</f>
        <v>250 595 7000</v>
      </c>
      <c r="P60" s="87"/>
      <c r="Q60" s="98"/>
    </row>
    <row r="61" spans="1:17" ht="28.5" x14ac:dyDescent="0.25">
      <c r="A61" s="86" t="s">
        <v>616</v>
      </c>
      <c r="B61" s="96" t="str">
        <f>IF(ISERROR(INDEX(RTable[#All],MATCH(ActionTracker[[#All],[Lease Number]],RTable[[#All],[Lease Number]],0),1)),"",INDEX(RTable[#All],MATCH(ActionTracker[[#All],[Lease Number]],RTable[[#All],[Lease Number]],0),1))</f>
        <v>Brad Arndt</v>
      </c>
      <c r="C61" s="98" t="str">
        <f>IF(ISERROR(INDEX(RTable[#All],MATCH(ActionTracker[[#All],[Lease Number]],RTable[[#All],[Lease Number]],0),1)),"",INDEX(RTable[#All],MATCH(ActionTracker[[#All],[Lease Number]],RTable[[#All],[Lease Number]],0),2)&amp;", "&amp;INDEX(RTable[#All],MATCH(ActionTracker[[#All],[Lease Number]],RTable[[#All],[Lease Number]],0),3))</f>
        <v>#2-705 103rd Ave., Dawson Creek, B.C. V1G 4W8</v>
      </c>
      <c r="D61" s="51" t="str">
        <f>IF(ISNUMBER(SEARCH($D$1,INDEX(RTable[#All],MATCH(ActionTracker[[#All],[Lease Number]],RTable[[#All],[Lease Number]],0),5))),"x","")</f>
        <v/>
      </c>
      <c r="E61" s="51" t="str">
        <f>IF(ISNUMBER(SEARCH($E$1,INDEX(RTable[#All],MATCH(ActionTracker[[#All],[Lease Number]],RTable[[#All],[Lease Number]],0),5))),"x","")</f>
        <v/>
      </c>
      <c r="F61" s="51" t="str">
        <f>IF(ISNUMBER(SEARCH($F$1,INDEX(RTable[#All],MATCH(ActionTracker[[#All],[Lease Number]],RTable[[#All],[Lease Number]],0),5))),"x","")</f>
        <v/>
      </c>
      <c r="G61" s="51" t="str">
        <f>IF(ISNUMBER(SEARCH($G$1,INDEX(RTable[#All],MATCH(ActionTracker[[#All],[Lease Number]],RTable[[#All],[Lease Number]],0),5))),"x","")</f>
        <v/>
      </c>
      <c r="H61" s="51" t="str">
        <f>IF(ISNUMBER(SEARCH($H$1,INDEX(RTable[#All],MATCH(ActionTracker[[#All],[Lease Number]],RTable[[#All],[Lease Number]],0),5))),"x","")</f>
        <v/>
      </c>
      <c r="I61" s="51" t="str">
        <f>IF(ISNUMBER(SEARCH($I$1,INDEX(RTable[#All],MATCH(ActionTracker[[#All],[Lease Number]],RTable[[#All],[Lease Number]],0),5))),"x","")</f>
        <v/>
      </c>
      <c r="J61" s="51" t="str">
        <f>IF(ISNUMBER(SEARCH($J$1,INDEX(RTable[#All],MATCH(ActionTracker[[#All],[Lease Number]],RTable[[#All],[Lease Number]],0),5))),"x","")</f>
        <v>x</v>
      </c>
      <c r="K61"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None</v>
      </c>
      <c r="L61" s="99" t="str">
        <f>IF(ISERROR(INDEX(ContactList[#All],MATCH(ActionTracker[[#All],[Lease Number]],ContactList[[#All],[Lease Number]],0),12)),"",INDEX(ContactList[#All],MATCH(ActionTracker[[#All],[Lease Number]],ContactList[[#All],[Lease Number]],0),12))</f>
        <v>Brad</v>
      </c>
      <c r="M61" s="99" t="str">
        <f>IF(ISERROR(INDEX(ContactList[#All],MATCH(ActionTracker[[#All],[Lease Number]],ContactList[[#All],[Lease Number]],0),12)),"",INDEX(ContactList[#All],MATCH(ActionTracker[[#All],[Lease Number]],ContactList[[#All],[Lease Number]],0),13))</f>
        <v>Arndt</v>
      </c>
      <c r="N61" s="99" t="str">
        <f>IF(ISERROR(INDEX(ContactList[#All],MATCH(ActionTracker[[#All],[Lease Number]],ContactList[[#All],[Lease Number]],0),12)),"",INDEX(ContactList[#All],MATCH(ActionTracker[[#All],[Lease Number]],ContactList[[#All],[Lease Number]],0),14))</f>
        <v>arndt@pris.bc.ca</v>
      </c>
      <c r="O61" s="99" t="str">
        <f>IF(ISERROR(INDEX(ContactList[#All],MATCH(ActionTracker[[#All],[Lease Number]],ContactList[[#All],[Lease Number]],0),12)),"",INDEX(ContactList[#All],MATCH(ActionTracker[[#All],[Lease Number]],ContactList[[#All],[Lease Number]],0),15))</f>
        <v>250-219-1237</v>
      </c>
      <c r="P61" s="87"/>
      <c r="Q61" s="98"/>
    </row>
    <row r="62" spans="1:17" ht="28.5" x14ac:dyDescent="0.25">
      <c r="A62" s="86" t="s">
        <v>632</v>
      </c>
      <c r="B62" s="96" t="str">
        <f>IF(ISERROR(INDEX(RTable[#All],MATCH(ActionTracker[[#All],[Lease Number]],RTable[[#All],[Lease Number]],0),1)),"",INDEX(RTable[#All],MATCH(ActionTracker[[#All],[Lease Number]],RTable[[#All],[Lease Number]],0),1))</f>
        <v>R Prasad, John Khan</v>
      </c>
      <c r="C62" s="98" t="str">
        <f>IF(ISERROR(INDEX(RTable[#All],MATCH(ActionTracker[[#All],[Lease Number]],RTable[[#All],[Lease Number]],0),1)),"",INDEX(RTable[#All],MATCH(ActionTracker[[#All],[Lease Number]],RTable[[#All],[Lease Number]],0),2)&amp;", "&amp;INDEX(RTable[#All],MATCH(ActionTracker[[#All],[Lease Number]],RTable[[#All],[Lease Number]],0),3))</f>
        <v>835-777 Hornby Street, Vancouver, B.C. V62 2H7</v>
      </c>
      <c r="D62" s="51" t="str">
        <f>IF(ISNUMBER(SEARCH($D$1,INDEX(RTable[#All],MATCH(ActionTracker[[#All],[Lease Number]],RTable[[#All],[Lease Number]],0),5))),"x","")</f>
        <v>x</v>
      </c>
      <c r="E62" s="51" t="str">
        <f>IF(ISNUMBER(SEARCH($E$1,INDEX(RTable[#All],MATCH(ActionTracker[[#All],[Lease Number]],RTable[[#All],[Lease Number]],0),5))),"x","")</f>
        <v>x</v>
      </c>
      <c r="F62" s="51" t="str">
        <f>IF(ISNUMBER(SEARCH($F$1,INDEX(RTable[#All],MATCH(ActionTracker[[#All],[Lease Number]],RTable[[#All],[Lease Number]],0),5))),"x","")</f>
        <v>x</v>
      </c>
      <c r="G62" s="51" t="str">
        <f>IF(ISNUMBER(SEARCH($G$1,INDEX(RTable[#All],MATCH(ActionTracker[[#All],[Lease Number]],RTable[[#All],[Lease Number]],0),5))),"x","")</f>
        <v>x</v>
      </c>
      <c r="H62" s="51" t="str">
        <f>IF(ISNUMBER(SEARCH($H$1,INDEX(RTable[#All],MATCH(ActionTracker[[#All],[Lease Number]],RTable[[#All],[Lease Number]],0),5))),"x","")</f>
        <v>x</v>
      </c>
      <c r="I62" s="51" t="str">
        <f>IF(ISNUMBER(SEARCH($I$1,INDEX(RTable[#All],MATCH(ActionTracker[[#All],[Lease Number]],RTable[[#All],[Lease Number]],0),5))),"x","")</f>
        <v>x</v>
      </c>
      <c r="J62" s="51" t="str">
        <f>IF(ISNUMBER(SEARCH($J$1,INDEX(RTable[#All],MATCH(ActionTracker[[#All],[Lease Number]],RTable[[#All],[Lease Number]],0),5))),"x","")</f>
        <v/>
      </c>
      <c r="K62"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Complete</v>
      </c>
      <c r="L62" s="99" t="str">
        <f>IF(ISERROR(INDEX(ContactList[#All],MATCH(ActionTracker[[#All],[Lease Number]],ContactList[[#All],[Lease Number]],0),12)),"",INDEX(ContactList[#All],MATCH(ActionTracker[[#All],[Lease Number]],ContactList[[#All],[Lease Number]],0),12))</f>
        <v>Michael</v>
      </c>
      <c r="M62" s="99" t="str">
        <f>IF(ISERROR(INDEX(ContactList[#All],MATCH(ActionTracker[[#All],[Lease Number]],ContactList[[#All],[Lease Number]],0),12)),"",INDEX(ContactList[#All],MATCH(ActionTracker[[#All],[Lease Number]],ContactList[[#All],[Lease Number]],0),13))</f>
        <v>Cole</v>
      </c>
      <c r="N62" s="99" t="str">
        <f>IF(ISERROR(INDEX(ContactList[#All],MATCH(ActionTracker[[#All],[Lease Number]],ContactList[[#All],[Lease Number]],0),12)),"",INDEX(ContactList[#All],MATCH(ActionTracker[[#All],[Lease Number]],ContactList[[#All],[Lease Number]],0),14))</f>
        <v>mcole@bentall.com</v>
      </c>
      <c r="O62" s="99" t="str">
        <f>IF(ISERROR(INDEX(ContactList[#All],MATCH(ActionTracker[[#All],[Lease Number]],ContactList[[#All],[Lease Number]],0),12)),"",INDEX(ContactList[#All],MATCH(ActionTracker[[#All],[Lease Number]],ContactList[[#All],[Lease Number]],0),15))</f>
        <v>604 661-5670</v>
      </c>
      <c r="P62" s="87"/>
      <c r="Q62" s="98"/>
    </row>
    <row r="63" spans="1:17" ht="28.5" x14ac:dyDescent="0.25">
      <c r="A63" s="86" t="s">
        <v>617</v>
      </c>
      <c r="B63" s="96" t="str">
        <f>IF(ISERROR(INDEX(RTable[#All],MATCH(ActionTracker[[#All],[Lease Number]],RTable[[#All],[Lease Number]],0),1)),"",INDEX(RTable[#All],MATCH(ActionTracker[[#All],[Lease Number]],RTable[[#All],[Lease Number]],0),1))</f>
        <v>Linda</v>
      </c>
      <c r="C63" s="98" t="str">
        <f>IF(ISERROR(INDEX(RTable[#All],MATCH(ActionTracker[[#All],[Lease Number]],RTable[[#All],[Lease Number]],0),1)),"",INDEX(RTable[#All],MATCH(ActionTracker[[#All],[Lease Number]],RTable[[#All],[Lease Number]],0),2)&amp;", "&amp;INDEX(RTable[#All],MATCH(ActionTracker[[#All],[Lease Number]],RTable[[#All],[Lease Number]],0),3))</f>
        <v>3001 Gordon Ave. , Coquitlam, B.C. V3C 2K7</v>
      </c>
      <c r="D63" s="51" t="str">
        <f>IF(ISNUMBER(SEARCH($D$1,INDEX(RTable[#All],MATCH(ActionTracker[[#All],[Lease Number]],RTable[[#All],[Lease Number]],0),5))),"x","")</f>
        <v>x</v>
      </c>
      <c r="E63" s="51" t="str">
        <f>IF(ISNUMBER(SEARCH($E$1,INDEX(RTable[#All],MATCH(ActionTracker[[#All],[Lease Number]],RTable[[#All],[Lease Number]],0),5))),"x","")</f>
        <v>x</v>
      </c>
      <c r="F63" s="51" t="str">
        <f>IF(ISNUMBER(SEARCH($F$1,INDEX(RTable[#All],MATCH(ActionTracker[[#All],[Lease Number]],RTable[[#All],[Lease Number]],0),5))),"x","")</f>
        <v>x</v>
      </c>
      <c r="G63" s="51" t="str">
        <f>IF(ISNUMBER(SEARCH($G$1,INDEX(RTable[#All],MATCH(ActionTracker[[#All],[Lease Number]],RTable[[#All],[Lease Number]],0),5))),"x","")</f>
        <v>x</v>
      </c>
      <c r="H63" s="51" t="str">
        <f>IF(ISNUMBER(SEARCH($H$1,INDEX(RTable[#All],MATCH(ActionTracker[[#All],[Lease Number]],RTable[[#All],[Lease Number]],0),5))),"x","")</f>
        <v>x</v>
      </c>
      <c r="I63" s="51" t="str">
        <f>IF(ISNUMBER(SEARCH($I$1,INDEX(RTable[#All],MATCH(ActionTracker[[#All],[Lease Number]],RTable[[#All],[Lease Number]],0),5))),"x","")</f>
        <v/>
      </c>
      <c r="J63" s="51" t="str">
        <f>IF(ISNUMBER(SEARCH($J$1,INDEX(RTable[#All],MATCH(ActionTracker[[#All],[Lease Number]],RTable[[#All],[Lease Number]],0),5))),"x","")</f>
        <v/>
      </c>
      <c r="K63"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63" s="99" t="str">
        <f>IF(ISERROR(INDEX(ContactList[#All],MATCH(ActionTracker[[#All],[Lease Number]],ContactList[[#All],[Lease Number]],0),12)),"",INDEX(ContactList[#All],MATCH(ActionTracker[[#All],[Lease Number]],ContactList[[#All],[Lease Number]],0),12))</f>
        <v>Randy</v>
      </c>
      <c r="M63" s="99" t="str">
        <f>IF(ISERROR(INDEX(ContactList[#All],MATCH(ActionTracker[[#All],[Lease Number]],ContactList[[#All],[Lease Number]],0),12)),"",INDEX(ContactList[#All],MATCH(ActionTracker[[#All],[Lease Number]],ContactList[[#All],[Lease Number]],0),13))</f>
        <v>Webster</v>
      </c>
      <c r="N63" s="99" t="str">
        <f>IF(ISERROR(INDEX(ContactList[#All],MATCH(ActionTracker[[#All],[Lease Number]],ContactList[[#All],[Lease Number]],0),12)),"",INDEX(ContactList[#All],MATCH(ActionTracker[[#All],[Lease Number]],ContactList[[#All],[Lease Number]],0),14))</f>
        <v>r.webster@medrayimaging.com</v>
      </c>
      <c r="O63" s="99" t="str">
        <f>IF(ISERROR(INDEX(ContactList[#All],MATCH(ActionTracker[[#All],[Lease Number]],ContactList[[#All],[Lease Number]],0),12)),"",INDEX(ContactList[#All],MATCH(ActionTracker[[#All],[Lease Number]],ContactList[[#All],[Lease Number]],0),15))</f>
        <v>604 945 1125</v>
      </c>
      <c r="P63" s="87"/>
      <c r="Q63" s="98"/>
    </row>
    <row r="64" spans="1:17" ht="28.5" x14ac:dyDescent="0.25">
      <c r="A64" s="86" t="s">
        <v>592</v>
      </c>
      <c r="B64" s="96" t="str">
        <f>IF(ISERROR(INDEX(RTable[#All],MATCH(ActionTracker[[#All],[Lease Number]],RTable[[#All],[Lease Number]],0),1)),"",INDEX(RTable[#All],MATCH(ActionTracker[[#All],[Lease Number]],RTable[[#All],[Lease Number]],0),1))</f>
        <v>Phil Sibbald</v>
      </c>
      <c r="C64" s="98" t="str">
        <f>IF(ISERROR(INDEX(RTable[#All],MATCH(ActionTracker[[#All],[Lease Number]],RTable[[#All],[Lease Number]],0),1)),"",INDEX(RTable[#All],MATCH(ActionTracker[[#All],[Lease Number]],RTable[[#All],[Lease Number]],0),2)&amp;", "&amp;INDEX(RTable[#All],MATCH(ActionTracker[[#All],[Lease Number]],RTable[[#All],[Lease Number]],0),3))</f>
        <v>1900 Richmond Ave. Suite 130, Victoria, B.C. V8R 4R2</v>
      </c>
      <c r="D64" s="51" t="str">
        <f>IF(ISNUMBER(SEARCH($D$1,INDEX(RTable[#All],MATCH(ActionTracker[[#All],[Lease Number]],RTable[[#All],[Lease Number]],0),5))),"x","")</f>
        <v/>
      </c>
      <c r="E64" s="51" t="str">
        <f>IF(ISNUMBER(SEARCH($E$1,INDEX(RTable[#All],MATCH(ActionTracker[[#All],[Lease Number]],RTable[[#All],[Lease Number]],0),5))),"x","")</f>
        <v/>
      </c>
      <c r="F64" s="51" t="str">
        <f>IF(ISNUMBER(SEARCH($F$1,INDEX(RTable[#All],MATCH(ActionTracker[[#All],[Lease Number]],RTable[[#All],[Lease Number]],0),5))),"x","")</f>
        <v>x</v>
      </c>
      <c r="G64" s="51" t="str">
        <f>IF(ISNUMBER(SEARCH($G$1,INDEX(RTable[#All],MATCH(ActionTracker[[#All],[Lease Number]],RTable[[#All],[Lease Number]],0),5))),"x","")</f>
        <v>x</v>
      </c>
      <c r="H64" s="51" t="str">
        <f>IF(ISNUMBER(SEARCH($H$1,INDEX(RTable[#All],MATCH(ActionTracker[[#All],[Lease Number]],RTable[[#All],[Lease Number]],0),5))),"x","")</f>
        <v/>
      </c>
      <c r="I64" s="51" t="str">
        <f>IF(ISNUMBER(SEARCH($I$1,INDEX(RTable[#All],MATCH(ActionTracker[[#All],[Lease Number]],RTable[[#All],[Lease Number]],0),5))),"x","")</f>
        <v>x</v>
      </c>
      <c r="J64" s="51" t="str">
        <f>IF(ISNUMBER(SEARCH($J$1,INDEX(RTable[#All],MATCH(ActionTracker[[#All],[Lease Number]],RTable[[#All],[Lease Number]],0),5))),"x","")</f>
        <v/>
      </c>
      <c r="K64"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64" s="99" t="str">
        <f>IF(ISERROR(INDEX(ContactList[#All],MATCH(ActionTracker[[#All],[Lease Number]],ContactList[[#All],[Lease Number]],0),12)),"",INDEX(ContactList[#All],MATCH(ActionTracker[[#All],[Lease Number]],ContactList[[#All],[Lease Number]],0),12))</f>
        <v>Angela</v>
      </c>
      <c r="M64" s="99" t="str">
        <f>IF(ISERROR(INDEX(ContactList[#All],MATCH(ActionTracker[[#All],[Lease Number]],ContactList[[#All],[Lease Number]],0),12)),"",INDEX(ContactList[#All],MATCH(ActionTracker[[#All],[Lease Number]],ContactList[[#All],[Lease Number]],0),13))</f>
        <v>Bell</v>
      </c>
      <c r="N64" s="99" t="str">
        <f>IF(ISERROR(INDEX(ContactList[#All],MATCH(ActionTracker[[#All],[Lease Number]],ContactList[[#All],[Lease Number]],0),12)),"",INDEX(ContactList[#All],MATCH(ActionTracker[[#All],[Lease Number]],ContactList[[#All],[Lease Number]],0),14))</f>
        <v>angela.bell@colliers.com</v>
      </c>
      <c r="O64" s="99" t="str">
        <f>IF(ISERROR(INDEX(ContactList[#All],MATCH(ActionTracker[[#All],[Lease Number]],ContactList[[#All],[Lease Number]],0),12)),"",INDEX(ContactList[#All],MATCH(ActionTracker[[#All],[Lease Number]],ContactList[[#All],[Lease Number]],0),15))</f>
        <v>250 414 8377</v>
      </c>
      <c r="P64" s="87"/>
      <c r="Q64" s="98"/>
    </row>
    <row r="65" spans="1:17" ht="28.5" x14ac:dyDescent="0.25">
      <c r="A65" s="86" t="s">
        <v>619</v>
      </c>
      <c r="B65" s="96" t="str">
        <f>IF(ISERROR(INDEX(RTable[#All],MATCH(ActionTracker[[#All],[Lease Number]],RTable[[#All],[Lease Number]],0),1)),"",INDEX(RTable[#All],MATCH(ActionTracker[[#All],[Lease Number]],RTable[[#All],[Lease Number]],0),1))</f>
        <v>Mary Ann Saez co</v>
      </c>
      <c r="C65" s="98" t="str">
        <f>IF(ISERROR(INDEX(RTable[#All],MATCH(ActionTracker[[#All],[Lease Number]],RTable[[#All],[Lease Number]],0),1)),"",INDEX(RTable[#All],MATCH(ActionTracker[[#All],[Lease Number]],RTable[[#All],[Lease Number]],0),2)&amp;", "&amp;INDEX(RTable[#All],MATCH(ActionTracker[[#All],[Lease Number]],RTable[[#All],[Lease Number]],0),3))</f>
        <v>2061 W42nd Avenue, Vancouver, B.C. V6M 2B4</v>
      </c>
      <c r="D65" s="51" t="str">
        <f>IF(ISNUMBER(SEARCH($D$1,INDEX(RTable[#All],MATCH(ActionTracker[[#All],[Lease Number]],RTable[[#All],[Lease Number]],0),5))),"x","")</f>
        <v>x</v>
      </c>
      <c r="E65" s="51" t="str">
        <f>IF(ISNUMBER(SEARCH($E$1,INDEX(RTable[#All],MATCH(ActionTracker[[#All],[Lease Number]],RTable[[#All],[Lease Number]],0),5))),"x","")</f>
        <v>x</v>
      </c>
      <c r="F65" s="51" t="str">
        <f>IF(ISNUMBER(SEARCH($F$1,INDEX(RTable[#All],MATCH(ActionTracker[[#All],[Lease Number]],RTable[[#All],[Lease Number]],0),5))),"x","")</f>
        <v>x</v>
      </c>
      <c r="G65" s="51" t="str">
        <f>IF(ISNUMBER(SEARCH($G$1,INDEX(RTable[#All],MATCH(ActionTracker[[#All],[Lease Number]],RTable[[#All],[Lease Number]],0),5))),"x","")</f>
        <v>x</v>
      </c>
      <c r="H65" s="51" t="str">
        <f>IF(ISNUMBER(SEARCH($H$1,INDEX(RTable[#All],MATCH(ActionTracker[[#All],[Lease Number]],RTable[[#All],[Lease Number]],0),5))),"x","")</f>
        <v>x</v>
      </c>
      <c r="I65" s="51" t="str">
        <f>IF(ISNUMBER(SEARCH($I$1,INDEX(RTable[#All],MATCH(ActionTracker[[#All],[Lease Number]],RTable[[#All],[Lease Number]],0),5))),"x","")</f>
        <v>x</v>
      </c>
      <c r="J65" s="51" t="str">
        <f>IF(ISNUMBER(SEARCH($J$1,INDEX(RTable[#All],MATCH(ActionTracker[[#All],[Lease Number]],RTable[[#All],[Lease Number]],0),5))),"x","")</f>
        <v/>
      </c>
      <c r="K65"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Complete</v>
      </c>
      <c r="L65" s="99" t="str">
        <f>IF(ISERROR(INDEX(ContactList[#All],MATCH(ActionTracker[[#All],[Lease Number]],ContactList[[#All],[Lease Number]],0),12)),"",INDEX(ContactList[#All],MATCH(ActionTracker[[#All],[Lease Number]],ContactList[[#All],[Lease Number]],0),12))</f>
        <v>Vicki</v>
      </c>
      <c r="M65" s="99" t="str">
        <f>IF(ISERROR(INDEX(ContactList[#All],MATCH(ActionTracker[[#All],[Lease Number]],ContactList[[#All],[Lease Number]],0),12)),"",INDEX(ContactList[#All],MATCH(ActionTracker[[#All],[Lease Number]],ContactList[[#All],[Lease Number]],0),13))</f>
        <v>Bissett</v>
      </c>
      <c r="N65" s="99" t="str">
        <f>IF(ISERROR(INDEX(ContactList[#All],MATCH(ActionTracker[[#All],[Lease Number]],ContactList[[#All],[Lease Number]],0),12)),"",INDEX(ContactList[#All],MATCH(ActionTracker[[#All],[Lease Number]],ContactList[[#All],[Lease Number]],0),14))</f>
        <v>vicki.bissett@colliers.com</v>
      </c>
      <c r="O65" s="99" t="str">
        <f>IF(ISERROR(INDEX(ContactList[#All],MATCH(ActionTracker[[#All],[Lease Number]],ContactList[[#All],[Lease Number]],0),12)),"",INDEX(ContactList[#All],MATCH(ActionTracker[[#All],[Lease Number]],ContactList[[#All],[Lease Number]],0),15))</f>
        <v>604 661 0853</v>
      </c>
      <c r="P65" s="87"/>
      <c r="Q65" s="98"/>
    </row>
    <row r="66" spans="1:17" ht="28.5" x14ac:dyDescent="0.25">
      <c r="A66" s="86" t="s">
        <v>609</v>
      </c>
      <c r="B66" s="96" t="str">
        <f>IF(ISERROR(INDEX(RTable[#All],MATCH(ActionTracker[[#All],[Lease Number]],RTable[[#All],[Lease Number]],0),1)),"",INDEX(RTable[#All],MATCH(ActionTracker[[#All],[Lease Number]],RTable[[#All],[Lease Number]],0),1))</f>
        <v>Allan Landa</v>
      </c>
      <c r="C66" s="98" t="str">
        <f>IF(ISERROR(INDEX(RTable[#All],MATCH(ActionTracker[[#All],[Lease Number]],RTable[[#All],[Lease Number]],0),1)),"",INDEX(RTable[#All],MATCH(ActionTracker[[#All],[Lease Number]],RTable[[#All],[Lease Number]],0),2)&amp;", "&amp;INDEX(RTable[#All],MATCH(ActionTracker[[#All],[Lease Number]],RTable[[#All],[Lease Number]],0),3))</f>
        <v>1530 West 7th Ave, Vancouver, B.C. V6J</v>
      </c>
      <c r="D66" s="51" t="str">
        <f>IF(ISNUMBER(SEARCH($D$1,INDEX(RTable[#All],MATCH(ActionTracker[[#All],[Lease Number]],RTable[[#All],[Lease Number]],0),5))),"x","")</f>
        <v>x</v>
      </c>
      <c r="E66" s="51" t="str">
        <f>IF(ISNUMBER(SEARCH($E$1,INDEX(RTable[#All],MATCH(ActionTracker[[#All],[Lease Number]],RTable[[#All],[Lease Number]],0),5))),"x","")</f>
        <v>x</v>
      </c>
      <c r="F66" s="51" t="str">
        <f>IF(ISNUMBER(SEARCH($F$1,INDEX(RTable[#All],MATCH(ActionTracker[[#All],[Lease Number]],RTable[[#All],[Lease Number]],0),5))),"x","")</f>
        <v>x</v>
      </c>
      <c r="G66" s="51" t="str">
        <f>IF(ISNUMBER(SEARCH($G$1,INDEX(RTable[#All],MATCH(ActionTracker[[#All],[Lease Number]],RTable[[#All],[Lease Number]],0),5))),"x","")</f>
        <v>x</v>
      </c>
      <c r="H66" s="51" t="str">
        <f>IF(ISNUMBER(SEARCH($H$1,INDEX(RTable[#All],MATCH(ActionTracker[[#All],[Lease Number]],RTable[[#All],[Lease Number]],0),5))),"x","")</f>
        <v>x</v>
      </c>
      <c r="I66" s="51" t="str">
        <f>IF(ISNUMBER(SEARCH($I$1,INDEX(RTable[#All],MATCH(ActionTracker[[#All],[Lease Number]],RTable[[#All],[Lease Number]],0),5))),"x","")</f>
        <v/>
      </c>
      <c r="J66" s="51" t="str">
        <f>IF(ISNUMBER(SEARCH($J$1,INDEX(RTable[#All],MATCH(ActionTracker[[#All],[Lease Number]],RTable[[#All],[Lease Number]],0),5))),"x","")</f>
        <v/>
      </c>
      <c r="K66"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66" s="99" t="str">
        <f>IF(ISERROR(INDEX(ContactList[#All],MATCH(ActionTracker[[#All],[Lease Number]],ContactList[[#All],[Lease Number]],0),12)),"",INDEX(ContactList[#All],MATCH(ActionTracker[[#All],[Lease Number]],ContactList[[#All],[Lease Number]],0),12))</f>
        <v>Allan</v>
      </c>
      <c r="M66" s="99" t="str">
        <f>IF(ISERROR(INDEX(ContactList[#All],MATCH(ActionTracker[[#All],[Lease Number]],ContactList[[#All],[Lease Number]],0),12)),"",INDEX(ContactList[#All],MATCH(ActionTracker[[#All],[Lease Number]],ContactList[[#All],[Lease Number]],0),13))</f>
        <v>Landa</v>
      </c>
      <c r="N66" s="99" t="str">
        <f>IF(ISERROR(INDEX(ContactList[#All],MATCH(ActionTracker[[#All],[Lease Number]],ContactList[[#All],[Lease Number]],0),12)),"",INDEX(ContactList[#All],MATCH(ActionTracker[[#All],[Lease Number]],ContactList[[#All],[Lease Number]],0),14))</f>
        <v>allan@ankerpacific.com</v>
      </c>
      <c r="O66" s="99" t="str">
        <f>IF(ISERROR(INDEX(ContactList[#All],MATCH(ActionTracker[[#All],[Lease Number]],ContactList[[#All],[Lease Number]],0),12)),"",INDEX(ContactList[#All],MATCH(ActionTracker[[#All],[Lease Number]],ContactList[[#All],[Lease Number]],0),15))</f>
        <v>604 683 8399</v>
      </c>
      <c r="P66" s="87"/>
      <c r="Q66" s="98"/>
    </row>
    <row r="67" spans="1:17" ht="30" x14ac:dyDescent="0.25">
      <c r="A67" s="86" t="s">
        <v>618</v>
      </c>
      <c r="B67" s="96" t="str">
        <f>IF(ISERROR(INDEX(RTable[#All],MATCH(ActionTracker[[#All],[Lease Number]],RTable[[#All],[Lease Number]],0),1)),"",INDEX(RTable[#All],MATCH(ActionTracker[[#All],[Lease Number]],RTable[[#All],[Lease Number]],0),1))</f>
        <v>Santosh Nahal for GWL Realty Advisors Inc.</v>
      </c>
      <c r="C67" s="98" t="str">
        <f>IF(ISERROR(INDEX(RTable[#All],MATCH(ActionTracker[[#All],[Lease Number]],RTable[[#All],[Lease Number]],0),1)),"",INDEX(RTable[#All],MATCH(ActionTracker[[#All],[Lease Number]],RTable[[#All],[Lease Number]],0),2)&amp;", "&amp;INDEX(RTable[#All],MATCH(ActionTracker[[#All],[Lease Number]],RTable[[#All],[Lease Number]],0),3))</f>
        <v>2401 Millstream Road, Victoria, B.C. V9B 6A3</v>
      </c>
      <c r="D67" s="51" t="str">
        <f>IF(ISNUMBER(SEARCH($D$1,INDEX(RTable[#All],MATCH(ActionTracker[[#All],[Lease Number]],RTable[[#All],[Lease Number]],0),5))),"x","")</f>
        <v>x</v>
      </c>
      <c r="E67" s="51" t="str">
        <f>IF(ISNUMBER(SEARCH($E$1,INDEX(RTable[#All],MATCH(ActionTracker[[#All],[Lease Number]],RTable[[#All],[Lease Number]],0),5))),"x","")</f>
        <v/>
      </c>
      <c r="F67" s="51" t="str">
        <f>IF(ISNUMBER(SEARCH($F$1,INDEX(RTable[#All],MATCH(ActionTracker[[#All],[Lease Number]],RTable[[#All],[Lease Number]],0),5))),"x","")</f>
        <v/>
      </c>
      <c r="G67" s="51" t="str">
        <f>IF(ISNUMBER(SEARCH($G$1,INDEX(RTable[#All],MATCH(ActionTracker[[#All],[Lease Number]],RTable[[#All],[Lease Number]],0),5))),"x","")</f>
        <v>x</v>
      </c>
      <c r="H67" s="51" t="str">
        <f>IF(ISNUMBER(SEARCH($H$1,INDEX(RTable[#All],MATCH(ActionTracker[[#All],[Lease Number]],RTable[[#All],[Lease Number]],0),5))),"x","")</f>
        <v/>
      </c>
      <c r="I67" s="51" t="str">
        <f>IF(ISNUMBER(SEARCH($I$1,INDEX(RTable[#All],MATCH(ActionTracker[[#All],[Lease Number]],RTable[[#All],[Lease Number]],0),5))),"x","")</f>
        <v/>
      </c>
      <c r="J67" s="51" t="str">
        <f>IF(ISNUMBER(SEARCH($J$1,INDEX(RTable[#All],MATCH(ActionTracker[[#All],[Lease Number]],RTable[[#All],[Lease Number]],0),5))),"x","")</f>
        <v/>
      </c>
      <c r="K67"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67" s="99" t="str">
        <f>IF(ISERROR(INDEX(ContactList[#All],MATCH(ActionTracker[[#All],[Lease Number]],ContactList[[#All],[Lease Number]],0),12)),"",INDEX(ContactList[#All],MATCH(ActionTracker[[#All],[Lease Number]],ContactList[[#All],[Lease Number]],0),12))</f>
        <v>Santosh</v>
      </c>
      <c r="M67" s="99" t="str">
        <f>IF(ISERROR(INDEX(ContactList[#All],MATCH(ActionTracker[[#All],[Lease Number]],ContactList[[#All],[Lease Number]],0),12)),"",INDEX(ContactList[#All],MATCH(ActionTracker[[#All],[Lease Number]],ContactList[[#All],[Lease Number]],0),13))</f>
        <v>Nahal</v>
      </c>
      <c r="N67" s="99" t="str">
        <f>IF(ISERROR(INDEX(ContactList[#All],MATCH(ActionTracker[[#All],[Lease Number]],ContactList[[#All],[Lease Number]],0),12)),"",INDEX(ContactList[#All],MATCH(ActionTracker[[#All],[Lease Number]],ContactList[[#All],[Lease Number]],0),14))</f>
        <v>santosh.nahal@gwlra.com</v>
      </c>
      <c r="O67" s="99" t="str">
        <f>IF(ISERROR(INDEX(ContactList[#All],MATCH(ActionTracker[[#All],[Lease Number]],ContactList[[#All],[Lease Number]],0),12)),"",INDEX(ContactList[#All],MATCH(ActionTracker[[#All],[Lease Number]],ContactList[[#All],[Lease Number]],0),15))</f>
        <v>604-586-1401</v>
      </c>
      <c r="P67" s="87"/>
      <c r="Q67" s="98"/>
    </row>
    <row r="68" spans="1:17" ht="28.5" x14ac:dyDescent="0.25">
      <c r="A68" s="86" t="s">
        <v>628</v>
      </c>
      <c r="B68" s="96" t="str">
        <f>IF(ISERROR(INDEX(RTable[#All],MATCH(ActionTracker[[#All],[Lease Number]],RTable[[#All],[Lease Number]],0),1)),"",INDEX(RTable[#All],MATCH(ActionTracker[[#All],[Lease Number]],RTable[[#All],[Lease Number]],0),1))</f>
        <v>Harvey Graham</v>
      </c>
      <c r="C68" s="98" t="str">
        <f>IF(ISERROR(INDEX(RTable[#All],MATCH(ActionTracker[[#All],[Lease Number]],RTable[[#All],[Lease Number]],0),1)),"",INDEX(RTable[#All],MATCH(ActionTracker[[#All],[Lease Number]],RTable[[#All],[Lease Number]],0),2)&amp;", "&amp;INDEX(RTable[#All],MATCH(ActionTracker[[#All],[Lease Number]],RTable[[#All],[Lease Number]],0),3))</f>
        <v>691 Church Street Suite 101, Gabriola, B.C. V0R 1X3</v>
      </c>
      <c r="D68" s="51" t="str">
        <f>IF(ISNUMBER(SEARCH($D$1,INDEX(RTable[#All],MATCH(ActionTracker[[#All],[Lease Number]],RTable[[#All],[Lease Number]],0),5))),"x","")</f>
        <v>x</v>
      </c>
      <c r="E68" s="51" t="str">
        <f>IF(ISNUMBER(SEARCH($E$1,INDEX(RTable[#All],MATCH(ActionTracker[[#All],[Lease Number]],RTable[[#All],[Lease Number]],0),5))),"x","")</f>
        <v/>
      </c>
      <c r="F68" s="51" t="str">
        <f>IF(ISNUMBER(SEARCH($F$1,INDEX(RTable[#All],MATCH(ActionTracker[[#All],[Lease Number]],RTable[[#All],[Lease Number]],0),5))),"x","")</f>
        <v>x</v>
      </c>
      <c r="G68" s="51" t="str">
        <f>IF(ISNUMBER(SEARCH($G$1,INDEX(RTable[#All],MATCH(ActionTracker[[#All],[Lease Number]],RTable[[#All],[Lease Number]],0),5))),"x","")</f>
        <v>x</v>
      </c>
      <c r="H68" s="51" t="str">
        <f>IF(ISNUMBER(SEARCH($H$1,INDEX(RTable[#All],MATCH(ActionTracker[[#All],[Lease Number]],RTable[[#All],[Lease Number]],0),5))),"x","")</f>
        <v>x</v>
      </c>
      <c r="I68" s="51" t="str">
        <f>IF(ISNUMBER(SEARCH($I$1,INDEX(RTable[#All],MATCH(ActionTracker[[#All],[Lease Number]],RTable[[#All],[Lease Number]],0),5))),"x","")</f>
        <v/>
      </c>
      <c r="J68" s="51" t="str">
        <f>IF(ISNUMBER(SEARCH($J$1,INDEX(RTable[#All],MATCH(ActionTracker[[#All],[Lease Number]],RTable[[#All],[Lease Number]],0),5))),"x","")</f>
        <v/>
      </c>
      <c r="K68"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68" s="99" t="str">
        <f>IF(ISERROR(INDEX(ContactList[#All],MATCH(ActionTracker[[#All],[Lease Number]],ContactList[[#All],[Lease Number]],0),12)),"",INDEX(ContactList[#All],MATCH(ActionTracker[[#All],[Lease Number]],ContactList[[#All],[Lease Number]],0),12))</f>
        <v>Konrad</v>
      </c>
      <c r="M68" s="99" t="str">
        <f>IF(ISERROR(INDEX(ContactList[#All],MATCH(ActionTracker[[#All],[Lease Number]],ContactList[[#All],[Lease Number]],0),12)),"",INDEX(ContactList[#All],MATCH(ActionTracker[[#All],[Lease Number]],ContactList[[#All],[Lease Number]],0),13))</f>
        <v>Mauch</v>
      </c>
      <c r="N68" s="99" t="str">
        <f>IF(ISERROR(INDEX(ContactList[#All],MATCH(ActionTracker[[#All],[Lease Number]],ContactList[[#All],[Lease Number]],0),12)),"",INDEX(ContactList[#All],MATCH(ActionTracker[[#All],[Lease Number]],ContactList[[#All],[Lease Number]],0),14))</f>
        <v>konrad.mauch@gmail.com</v>
      </c>
      <c r="O68" s="99" t="str">
        <f>IF(ISERROR(INDEX(ContactList[#All],MATCH(ActionTracker[[#All],[Lease Number]],ContactList[[#All],[Lease Number]],0),12)),"",INDEX(ContactList[#All],MATCH(ActionTracker[[#All],[Lease Number]],ContactList[[#All],[Lease Number]],0),15))</f>
        <v>250 247 9577</v>
      </c>
      <c r="P68" s="87"/>
      <c r="Q68" s="98"/>
    </row>
    <row r="69" spans="1:17" ht="28.5" x14ac:dyDescent="0.25">
      <c r="A69" s="86" t="s">
        <v>610</v>
      </c>
      <c r="B69" s="96" t="str">
        <f>IF(ISERROR(INDEX(RTable[#All],MATCH(ActionTracker[[#All],[Lease Number]],RTable[[#All],[Lease Number]],0),1)),"",INDEX(RTable[#All],MATCH(ActionTracker[[#All],[Lease Number]],RTable[[#All],[Lease Number]],0),1))</f>
        <v>NKVD Holdings</v>
      </c>
      <c r="C69" s="98" t="str">
        <f>IF(ISERROR(INDEX(RTable[#All],MATCH(ActionTracker[[#All],[Lease Number]],RTable[[#All],[Lease Number]],0),1)),"",INDEX(RTable[#All],MATCH(ActionTracker[[#All],[Lease Number]],RTable[[#All],[Lease Number]],0),2)&amp;", "&amp;INDEX(RTable[#All],MATCH(ActionTracker[[#All],[Lease Number]],RTable[[#All],[Lease Number]],0),3))</f>
        <v>1-78 Cowichan Lake Rd., Lake Cowichan, B.C.</v>
      </c>
      <c r="D69" s="51" t="str">
        <f>IF(ISNUMBER(SEARCH($D$1,INDEX(RTable[#All],MATCH(ActionTracker[[#All],[Lease Number]],RTable[[#All],[Lease Number]],0),5))),"x","")</f>
        <v>x</v>
      </c>
      <c r="E69" s="51" t="str">
        <f>IF(ISNUMBER(SEARCH($E$1,INDEX(RTable[#All],MATCH(ActionTracker[[#All],[Lease Number]],RTable[[#All],[Lease Number]],0),5))),"x","")</f>
        <v/>
      </c>
      <c r="F69" s="51" t="str">
        <f>IF(ISNUMBER(SEARCH($F$1,INDEX(RTable[#All],MATCH(ActionTracker[[#All],[Lease Number]],RTable[[#All],[Lease Number]],0),5))),"x","")</f>
        <v>x</v>
      </c>
      <c r="G69" s="51" t="str">
        <f>IF(ISNUMBER(SEARCH($G$1,INDEX(RTable[#All],MATCH(ActionTracker[[#All],[Lease Number]],RTable[[#All],[Lease Number]],0),5))),"x","")</f>
        <v>x</v>
      </c>
      <c r="H69" s="51" t="str">
        <f>IF(ISNUMBER(SEARCH($H$1,INDEX(RTable[#All],MATCH(ActionTracker[[#All],[Lease Number]],RTable[[#All],[Lease Number]],0),5))),"x","")</f>
        <v>x</v>
      </c>
      <c r="I69" s="51" t="str">
        <f>IF(ISNUMBER(SEARCH($I$1,INDEX(RTable[#All],MATCH(ActionTracker[[#All],[Lease Number]],RTable[[#All],[Lease Number]],0),5))),"x","")</f>
        <v>x</v>
      </c>
      <c r="J69" s="51" t="str">
        <f>IF(ISNUMBER(SEARCH($J$1,INDEX(RTable[#All],MATCH(ActionTracker[[#All],[Lease Number]],RTable[[#All],[Lease Number]],0),5))),"x","")</f>
        <v/>
      </c>
      <c r="K69"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69" s="99" t="str">
        <f>IF(ISERROR(INDEX(ContactList[#All],MATCH(ActionTracker[[#All],[Lease Number]],ContactList[[#All],[Lease Number]],0),12)),"",INDEX(ContactList[#All],MATCH(ActionTracker[[#All],[Lease Number]],ContactList[[#All],[Lease Number]],0),12))</f>
        <v>Winnifred</v>
      </c>
      <c r="M69" s="99" t="str">
        <f>IF(ISERROR(INDEX(ContactList[#All],MATCH(ActionTracker[[#All],[Lease Number]],ContactList[[#All],[Lease Number]],0),12)),"",INDEX(ContactList[#All],MATCH(ActionTracker[[#All],[Lease Number]],ContactList[[#All],[Lease Number]],0),13))</f>
        <v>Armstrong</v>
      </c>
      <c r="N69" s="99" t="str">
        <f>IF(ISERROR(INDEX(ContactList[#All],MATCH(ActionTracker[[#All],[Lease Number]],ContactList[[#All],[Lease Number]],0),12)),"",INDEX(ContactList[#All],MATCH(ActionTracker[[#All],[Lease Number]],ContactList[[#All],[Lease Number]],0),14))</f>
        <v>Winnifredarmstrong@hotmail.com</v>
      </c>
      <c r="O69" s="99" t="str">
        <f>IF(ISERROR(INDEX(ContactList[#All],MATCH(ActionTracker[[#All],[Lease Number]],ContactList[[#All],[Lease Number]],0),12)),"",INDEX(ContactList[#All],MATCH(ActionTracker[[#All],[Lease Number]],ContactList[[#All],[Lease Number]],0),15))</f>
        <v>250 479 3310</v>
      </c>
      <c r="P69" s="87"/>
      <c r="Q69" s="98"/>
    </row>
    <row r="70" spans="1:17" ht="28.5" x14ac:dyDescent="0.25">
      <c r="A70" s="86" t="s">
        <v>599</v>
      </c>
      <c r="B70" s="96" t="str">
        <f>IF(ISERROR(INDEX(RTable[#All],MATCH(ActionTracker[[#All],[Lease Number]],RTable[[#All],[Lease Number]],0),1)),"",INDEX(RTable[#All],MATCH(ActionTracker[[#All],[Lease Number]],RTable[[#All],[Lease Number]],0),1))</f>
        <v>Nicola Carmichael</v>
      </c>
      <c r="C70" s="98" t="str">
        <f>IF(ISERROR(INDEX(RTable[#All],MATCH(ActionTracker[[#All],[Lease Number]],RTable[[#All],[Lease Number]],0),1)),"",INDEX(RTable[#All],MATCH(ActionTracker[[#All],[Lease Number]],RTable[[#All],[Lease Number]],0),2)&amp;", "&amp;INDEX(RTable[#All],MATCH(ActionTracker[[#All],[Lease Number]],RTable[[#All],[Lease Number]],0),3))</f>
        <v>200 - 5791 No 3 Road, Richmond, B.C. V6X 2C9</v>
      </c>
      <c r="D70" s="51" t="str">
        <f>IF(ISNUMBER(SEARCH($D$1,INDEX(RTable[#All],MATCH(ActionTracker[[#All],[Lease Number]],RTable[[#All],[Lease Number]],0),5))),"x","")</f>
        <v/>
      </c>
      <c r="E70" s="51" t="str">
        <f>IF(ISNUMBER(SEARCH($E$1,INDEX(RTable[#All],MATCH(ActionTracker[[#All],[Lease Number]],RTable[[#All],[Lease Number]],0),5))),"x","")</f>
        <v/>
      </c>
      <c r="F70" s="51" t="str">
        <f>IF(ISNUMBER(SEARCH($F$1,INDEX(RTable[#All],MATCH(ActionTracker[[#All],[Lease Number]],RTable[[#All],[Lease Number]],0),5))),"x","")</f>
        <v/>
      </c>
      <c r="G70" s="51" t="str">
        <f>IF(ISNUMBER(SEARCH($G$1,INDEX(RTable[#All],MATCH(ActionTracker[[#All],[Lease Number]],RTable[[#All],[Lease Number]],0),5))),"x","")</f>
        <v>x</v>
      </c>
      <c r="H70" s="51" t="str">
        <f>IF(ISNUMBER(SEARCH($H$1,INDEX(RTable[#All],MATCH(ActionTracker[[#All],[Lease Number]],RTable[[#All],[Lease Number]],0),5))),"x","")</f>
        <v/>
      </c>
      <c r="I70" s="51" t="str">
        <f>IF(ISNUMBER(SEARCH($I$1,INDEX(RTable[#All],MATCH(ActionTracker[[#All],[Lease Number]],RTable[[#All],[Lease Number]],0),5))),"x","")</f>
        <v/>
      </c>
      <c r="J70" s="51" t="str">
        <f>IF(ISNUMBER(SEARCH($J$1,INDEX(RTable[#All],MATCH(ActionTracker[[#All],[Lease Number]],RTable[[#All],[Lease Number]],0),5))),"x","")</f>
        <v/>
      </c>
      <c r="K70"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70" s="99" t="str">
        <f>IF(ISERROR(INDEX(ContactList[#All],MATCH(ActionTracker[[#All],[Lease Number]],ContactList[[#All],[Lease Number]],0),12)),"",INDEX(ContactList[#All],MATCH(ActionTracker[[#All],[Lease Number]],ContactList[[#All],[Lease Number]],0),12))</f>
        <v>Nicola</v>
      </c>
      <c r="M70" s="99" t="str">
        <f>IF(ISERROR(INDEX(ContactList[#All],MATCH(ActionTracker[[#All],[Lease Number]],ContactList[[#All],[Lease Number]],0),12)),"",INDEX(ContactList[#All],MATCH(ActionTracker[[#All],[Lease Number]],ContactList[[#All],[Lease Number]],0),13))</f>
        <v>Carmichael</v>
      </c>
      <c r="N70" s="99" t="str">
        <f>IF(ISERROR(INDEX(ContactList[#All],MATCH(ActionTracker[[#All],[Lease Number]],ContactList[[#All],[Lease Number]],0),12)),"",INDEX(ContactList[#All],MATCH(ActionTracker[[#All],[Lease Number]],ContactList[[#All],[Lease Number]],0),14))</f>
        <v>njcarmichael@hotmail.com</v>
      </c>
      <c r="O70" s="99" t="str">
        <f>IF(ISERROR(INDEX(ContactList[#All],MATCH(ActionTracker[[#All],[Lease Number]],ContactList[[#All],[Lease Number]],0),12)),"",INDEX(ContactList[#All],MATCH(ActionTracker[[#All],[Lease Number]],ContactList[[#All],[Lease Number]],0),15))</f>
        <v>604 278 9152</v>
      </c>
      <c r="P70" s="87"/>
      <c r="Q70" s="98"/>
    </row>
    <row r="71" spans="1:17" ht="28.5" x14ac:dyDescent="0.25">
      <c r="A71" s="86" t="s">
        <v>622</v>
      </c>
      <c r="B71" s="96" t="str">
        <f>IF(ISERROR(INDEX(RTable[#All],MATCH(ActionTracker[[#All],[Lease Number]],RTable[[#All],[Lease Number]],0),1)),"",INDEX(RTable[#All],MATCH(ActionTracker[[#All],[Lease Number]],RTable[[#All],[Lease Number]],0),1))</f>
        <v>Edward Tokarczyk</v>
      </c>
      <c r="C71" s="98" t="str">
        <f>IF(ISERROR(INDEX(RTable[#All],MATCH(ActionTracker[[#All],[Lease Number]],RTable[[#All],[Lease Number]],0),1)),"",INDEX(RTable[#All],MATCH(ActionTracker[[#All],[Lease Number]],RTable[[#All],[Lease Number]],0),2)&amp;", "&amp;INDEX(RTable[#All],MATCH(ActionTracker[[#All],[Lease Number]],RTable[[#All],[Lease Number]],0),3))</f>
        <v>#12 - 1599 Cliffe Ave, Courtenay, B.C. V9N 2K6</v>
      </c>
      <c r="D71" s="51" t="str">
        <f>IF(ISNUMBER(SEARCH($D$1,INDEX(RTable[#All],MATCH(ActionTracker[[#All],[Lease Number]],RTable[[#All],[Lease Number]],0),5))),"x","")</f>
        <v/>
      </c>
      <c r="E71" s="51" t="str">
        <f>IF(ISNUMBER(SEARCH($E$1,INDEX(RTable[#All],MATCH(ActionTracker[[#All],[Lease Number]],RTable[[#All],[Lease Number]],0),5))),"x","")</f>
        <v/>
      </c>
      <c r="F71" s="51" t="str">
        <f>IF(ISNUMBER(SEARCH($F$1,INDEX(RTable[#All],MATCH(ActionTracker[[#All],[Lease Number]],RTable[[#All],[Lease Number]],0),5))),"x","")</f>
        <v/>
      </c>
      <c r="G71" s="51" t="str">
        <f>IF(ISNUMBER(SEARCH($G$1,INDEX(RTable[#All],MATCH(ActionTracker[[#All],[Lease Number]],RTable[[#All],[Lease Number]],0),5))),"x","")</f>
        <v>x</v>
      </c>
      <c r="H71" s="51" t="str">
        <f>IF(ISNUMBER(SEARCH($H$1,INDEX(RTable[#All],MATCH(ActionTracker[[#All],[Lease Number]],RTable[[#All],[Lease Number]],0),5))),"x","")</f>
        <v/>
      </c>
      <c r="I71" s="51" t="str">
        <f>IF(ISNUMBER(SEARCH($I$1,INDEX(RTable[#All],MATCH(ActionTracker[[#All],[Lease Number]],RTable[[#All],[Lease Number]],0),5))),"x","")</f>
        <v/>
      </c>
      <c r="J71" s="51" t="str">
        <f>IF(ISNUMBER(SEARCH($J$1,INDEX(RTable[#All],MATCH(ActionTracker[[#All],[Lease Number]],RTable[[#All],[Lease Number]],0),5))),"x","")</f>
        <v/>
      </c>
      <c r="K71"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71" s="99" t="str">
        <f>IF(ISERROR(INDEX(ContactList[#All],MATCH(ActionTracker[[#All],[Lease Number]],ContactList[[#All],[Lease Number]],0),12)),"",INDEX(ContactList[#All],MATCH(ActionTracker[[#All],[Lease Number]],ContactList[[#All],[Lease Number]],0),12))</f>
        <v>Edward</v>
      </c>
      <c r="M71" s="99" t="str">
        <f>IF(ISERROR(INDEX(ContactList[#All],MATCH(ActionTracker[[#All],[Lease Number]],ContactList[[#All],[Lease Number]],0),12)),"",INDEX(ContactList[#All],MATCH(ActionTracker[[#All],[Lease Number]],ContactList[[#All],[Lease Number]],0),13))</f>
        <v>Tokarczyk</v>
      </c>
      <c r="N71" s="99" t="str">
        <f>IF(ISERROR(INDEX(ContactList[#All],MATCH(ActionTracker[[#All],[Lease Number]],ContactList[[#All],[Lease Number]],0),12)),"",INDEX(ContactList[#All],MATCH(ActionTracker[[#All],[Lease Number]],ContactList[[#All],[Lease Number]],0),14))</f>
        <v>edward@hughmckinnon.com</v>
      </c>
      <c r="O71" s="99" t="str">
        <f>IF(ISERROR(INDEX(ContactList[#All],MATCH(ActionTracker[[#All],[Lease Number]],ContactList[[#All],[Lease Number]],0),12)),"",INDEX(ContactList[#All],MATCH(ActionTracker[[#All],[Lease Number]],ContactList[[#All],[Lease Number]],0),15))</f>
        <v>604 541 5229</v>
      </c>
      <c r="P71" s="87"/>
      <c r="Q71" s="98"/>
    </row>
    <row r="72" spans="1:17" ht="30" x14ac:dyDescent="0.25">
      <c r="A72" s="86" t="s">
        <v>600</v>
      </c>
      <c r="B72" s="96" t="str">
        <f>IF(ISERROR(INDEX(RTable[#All],MATCH(ActionTracker[[#All],[Lease Number]],RTable[[#All],[Lease Number]],0),1)),"",INDEX(RTable[#All],MATCH(ActionTracker[[#All],[Lease Number]],RTable[[#All],[Lease Number]],0),1))</f>
        <v>Rowan Property Management Ltd.</v>
      </c>
      <c r="C72" s="98" t="str">
        <f>IF(ISERROR(INDEX(RTable[#All],MATCH(ActionTracker[[#All],[Lease Number]],RTable[[#All],[Lease Number]],0),1)),"",INDEX(RTable[#All],MATCH(ActionTracker[[#All],[Lease Number]],RTable[[#All],[Lease Number]],0),2)&amp;", "&amp;INDEX(RTable[#All],MATCH(ActionTracker[[#All],[Lease Number]],RTable[[#All],[Lease Number]],0),3))</f>
        <v>102-149 Ingram Street, Duncan, B.C. V9L 1N8</v>
      </c>
      <c r="D72" s="51" t="str">
        <f>IF(ISNUMBER(SEARCH($D$1,INDEX(RTable[#All],MATCH(ActionTracker[[#All],[Lease Number]],RTable[[#All],[Lease Number]],0),5))),"x","")</f>
        <v>x</v>
      </c>
      <c r="E72" s="51" t="str">
        <f>IF(ISNUMBER(SEARCH($E$1,INDEX(RTable[#All],MATCH(ActionTracker[[#All],[Lease Number]],RTable[[#All],[Lease Number]],0),5))),"x","")</f>
        <v/>
      </c>
      <c r="F72" s="51" t="str">
        <f>IF(ISNUMBER(SEARCH($F$1,INDEX(RTable[#All],MATCH(ActionTracker[[#All],[Lease Number]],RTable[[#All],[Lease Number]],0),5))),"x","")</f>
        <v>x</v>
      </c>
      <c r="G72" s="51" t="str">
        <f>IF(ISNUMBER(SEARCH($G$1,INDEX(RTable[#All],MATCH(ActionTracker[[#All],[Lease Number]],RTable[[#All],[Lease Number]],0),5))),"x","")</f>
        <v>x</v>
      </c>
      <c r="H72" s="51" t="str">
        <f>IF(ISNUMBER(SEARCH($H$1,INDEX(RTable[#All],MATCH(ActionTracker[[#All],[Lease Number]],RTable[[#All],[Lease Number]],0),5))),"x","")</f>
        <v>x</v>
      </c>
      <c r="I72" s="51" t="str">
        <f>IF(ISNUMBER(SEARCH($I$1,INDEX(RTable[#All],MATCH(ActionTracker[[#All],[Lease Number]],RTable[[#All],[Lease Number]],0),5))),"x","")</f>
        <v/>
      </c>
      <c r="J72" s="51" t="str">
        <f>IF(ISNUMBER(SEARCH($J$1,INDEX(RTable[#All],MATCH(ActionTracker[[#All],[Lease Number]],RTable[[#All],[Lease Number]],0),5))),"x","")</f>
        <v/>
      </c>
      <c r="K72"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72" s="99" t="str">
        <f>IF(ISERROR(INDEX(ContactList[#All],MATCH(ActionTracker[[#All],[Lease Number]],ContactList[[#All],[Lease Number]],0),12)),"",INDEX(ContactList[#All],MATCH(ActionTracker[[#All],[Lease Number]],ContactList[[#All],[Lease Number]],0),12))</f>
        <v>Arthur</v>
      </c>
      <c r="M72" s="99" t="str">
        <f>IF(ISERROR(INDEX(ContactList[#All],MATCH(ActionTracker[[#All],[Lease Number]],ContactList[[#All],[Lease Number]],0),12)),"",INDEX(ContactList[#All],MATCH(ActionTracker[[#All],[Lease Number]],ContactList[[#All],[Lease Number]],0),13))</f>
        <v>Allen</v>
      </c>
      <c r="N72" s="99" t="str">
        <f>IF(ISERROR(INDEX(ContactList[#All],MATCH(ActionTracker[[#All],[Lease Number]],ContactList[[#All],[Lease Number]],0),12)),"",INDEX(ContactList[#All],MATCH(ActionTracker[[#All],[Lease Number]],ContactList[[#All],[Lease Number]],0),14))</f>
        <v>rowanproperty@shaw.ca</v>
      </c>
      <c r="O72" s="99" t="str">
        <f>IF(ISERROR(INDEX(ContactList[#All],MATCH(ActionTracker[[#All],[Lease Number]],ContactList[[#All],[Lease Number]],0),12)),"",INDEX(ContactList[#All],MATCH(ActionTracker[[#All],[Lease Number]],ContactList[[#All],[Lease Number]],0),15))</f>
        <v>250 748 9090</v>
      </c>
      <c r="P72" s="87"/>
      <c r="Q72" s="98"/>
    </row>
    <row r="73" spans="1:17" ht="45" x14ac:dyDescent="0.25">
      <c r="A73" s="86" t="s">
        <v>603</v>
      </c>
      <c r="B73" s="96" t="str">
        <f>IF(ISERROR(INDEX(RTable[#All],MATCH(ActionTracker[[#All],[Lease Number]],RTable[[#All],[Lease Number]],0),1)),"",INDEX(RTable[#All],MATCH(ActionTracker[[#All],[Lease Number]],RTable[[#All],[Lease Number]],0),1))</f>
        <v>Debbie Hunt, Property Manager TPM Management Ltd.</v>
      </c>
      <c r="C73" s="98" t="str">
        <f>IF(ISERROR(INDEX(RTable[#All],MATCH(ActionTracker[[#All],[Lease Number]],RTable[[#All],[Lease Number]],0),1)),"",INDEX(RTable[#All],MATCH(ActionTracker[[#All],[Lease Number]],RTable[[#All],[Lease Number]],0),2)&amp;", "&amp;INDEX(RTable[#All],MATCH(ActionTracker[[#All],[Lease Number]],RTable[[#All],[Lease Number]],0),3))</f>
        <v>1641 Hillside Avenue, #220, Victoria, B.C.</v>
      </c>
      <c r="D73" s="51" t="str">
        <f>IF(ISNUMBER(SEARCH($D$1,INDEX(RTable[#All],MATCH(ActionTracker[[#All],[Lease Number]],RTable[[#All],[Lease Number]],0),5))),"x","")</f>
        <v>x</v>
      </c>
      <c r="E73" s="51" t="str">
        <f>IF(ISNUMBER(SEARCH($E$1,INDEX(RTable[#All],MATCH(ActionTracker[[#All],[Lease Number]],RTable[[#All],[Lease Number]],0),5))),"x","")</f>
        <v/>
      </c>
      <c r="F73" s="51" t="str">
        <f>IF(ISNUMBER(SEARCH($F$1,INDEX(RTable[#All],MATCH(ActionTracker[[#All],[Lease Number]],RTable[[#All],[Lease Number]],0),5))),"x","")</f>
        <v>x</v>
      </c>
      <c r="G73" s="51" t="str">
        <f>IF(ISNUMBER(SEARCH($G$1,INDEX(RTable[#All],MATCH(ActionTracker[[#All],[Lease Number]],RTable[[#All],[Lease Number]],0),5))),"x","")</f>
        <v>x</v>
      </c>
      <c r="H73" s="51" t="str">
        <f>IF(ISNUMBER(SEARCH($H$1,INDEX(RTable[#All],MATCH(ActionTracker[[#All],[Lease Number]],RTable[[#All],[Lease Number]],0),5))),"x","")</f>
        <v>x</v>
      </c>
      <c r="I73" s="51" t="str">
        <f>IF(ISNUMBER(SEARCH($I$1,INDEX(RTable[#All],MATCH(ActionTracker[[#All],[Lease Number]],RTable[[#All],[Lease Number]],0),5))),"x","")</f>
        <v/>
      </c>
      <c r="J73" s="51" t="str">
        <f>IF(ISNUMBER(SEARCH($J$1,INDEX(RTable[#All],MATCH(ActionTracker[[#All],[Lease Number]],RTable[[#All],[Lease Number]],0),5))),"x","")</f>
        <v/>
      </c>
      <c r="K73"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73" s="99" t="str">
        <f>IF(ISERROR(INDEX(ContactList[#All],MATCH(ActionTracker[[#All],[Lease Number]],ContactList[[#All],[Lease Number]],0),12)),"",INDEX(ContactList[#All],MATCH(ActionTracker[[#All],[Lease Number]],ContactList[[#All],[Lease Number]],0),12))</f>
        <v>Debbie</v>
      </c>
      <c r="M73" s="99" t="str">
        <f>IF(ISERROR(INDEX(ContactList[#All],MATCH(ActionTracker[[#All],[Lease Number]],ContactList[[#All],[Lease Number]],0),12)),"",INDEX(ContactList[#All],MATCH(ActionTracker[[#All],[Lease Number]],ContactList[[#All],[Lease Number]],0),13))</f>
        <v>Hunt</v>
      </c>
      <c r="N73" s="99" t="str">
        <f>IF(ISERROR(INDEX(ContactList[#All],MATCH(ActionTracker[[#All],[Lease Number]],ContactList[[#All],[Lease Number]],0),12)),"",INDEX(ContactList[#All],MATCH(ActionTracker[[#All],[Lease Number]],ContactList[[#All],[Lease Number]],0),14))</f>
        <v>debbieh@tpmproperties.ca</v>
      </c>
      <c r="O73" s="99" t="str">
        <f>IF(ISERROR(INDEX(ContactList[#All],MATCH(ActionTracker[[#All],[Lease Number]],ContactList[[#All],[Lease Number]],0),12)),"",INDEX(ContactList[#All],MATCH(ActionTracker[[#All],[Lease Number]],ContactList[[#All],[Lease Number]],0),15))</f>
        <v>250-383-7663</v>
      </c>
      <c r="P73" s="87"/>
      <c r="Q73" s="98"/>
    </row>
    <row r="74" spans="1:17" ht="28.5" x14ac:dyDescent="0.25">
      <c r="A74" s="86" t="s">
        <v>598</v>
      </c>
      <c r="B74" s="96" t="str">
        <f>IF(ISERROR(INDEX(RTable[#All],MATCH(ActionTracker[[#All],[Lease Number]],RTable[[#All],[Lease Number]],0),1)),"",INDEX(RTable[#All],MATCH(ActionTracker[[#All],[Lease Number]],RTable[[#All],[Lease Number]],0),1))</f>
        <v>Lorne Campbell</v>
      </c>
      <c r="C74" s="98" t="str">
        <f>IF(ISERROR(INDEX(RTable[#All],MATCH(ActionTracker[[#All],[Lease Number]],RTable[[#All],[Lease Number]],0),1)),"",INDEX(RTable[#All],MATCH(ActionTracker[[#All],[Lease Number]],RTable[[#All],[Lease Number]],0),2)&amp;", "&amp;INDEX(RTable[#All],MATCH(ActionTracker[[#All],[Lease Number]],RTable[[#All],[Lease Number]],0),3))</f>
        <v>943 West Broadway, Vancouver, B.C. V5Z 4E1</v>
      </c>
      <c r="D74" s="51" t="str">
        <f>IF(ISNUMBER(SEARCH($D$1,INDEX(RTable[#All],MATCH(ActionTracker[[#All],[Lease Number]],RTable[[#All],[Lease Number]],0),5))),"x","")</f>
        <v>x</v>
      </c>
      <c r="E74" s="51" t="str">
        <f>IF(ISNUMBER(SEARCH($E$1,INDEX(RTable[#All],MATCH(ActionTracker[[#All],[Lease Number]],RTable[[#All],[Lease Number]],0),5))),"x","")</f>
        <v>x</v>
      </c>
      <c r="F74" s="51" t="str">
        <f>IF(ISNUMBER(SEARCH($F$1,INDEX(RTable[#All],MATCH(ActionTracker[[#All],[Lease Number]],RTable[[#All],[Lease Number]],0),5))),"x","")</f>
        <v>x</v>
      </c>
      <c r="G74" s="51" t="str">
        <f>IF(ISNUMBER(SEARCH($G$1,INDEX(RTable[#All],MATCH(ActionTracker[[#All],[Lease Number]],RTable[[#All],[Lease Number]],0),5))),"x","")</f>
        <v>x</v>
      </c>
      <c r="H74" s="51" t="str">
        <f>IF(ISNUMBER(SEARCH($H$1,INDEX(RTable[#All],MATCH(ActionTracker[[#All],[Lease Number]],RTable[[#All],[Lease Number]],0),5))),"x","")</f>
        <v>x</v>
      </c>
      <c r="I74" s="51" t="str">
        <f>IF(ISNUMBER(SEARCH($I$1,INDEX(RTable[#All],MATCH(ActionTracker[[#All],[Lease Number]],RTable[[#All],[Lease Number]],0),5))),"x","")</f>
        <v>x</v>
      </c>
      <c r="J74" s="51" t="str">
        <f>IF(ISNUMBER(SEARCH($J$1,INDEX(RTable[#All],MATCH(ActionTracker[[#All],[Lease Number]],RTable[[#All],[Lease Number]],0),5))),"x","")</f>
        <v/>
      </c>
      <c r="K74"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Complete</v>
      </c>
      <c r="L74" s="99" t="str">
        <f>IF(ISERROR(INDEX(ContactList[#All],MATCH(ActionTracker[[#All],[Lease Number]],ContactList[[#All],[Lease Number]],0),12)),"",INDEX(ContactList[#All],MATCH(ActionTracker[[#All],[Lease Number]],ContactList[[#All],[Lease Number]],0),12))</f>
        <v>Lorne</v>
      </c>
      <c r="M74" s="99" t="str">
        <f>IF(ISERROR(INDEX(ContactList[#All],MATCH(ActionTracker[[#All],[Lease Number]],ContactList[[#All],[Lease Number]],0),12)),"",INDEX(ContactList[#All],MATCH(ActionTracker[[#All],[Lease Number]],ContactList[[#All],[Lease Number]],0),13))</f>
        <v>Campbell</v>
      </c>
      <c r="N74" s="99" t="str">
        <f>IF(ISERROR(INDEX(ContactList[#All],MATCH(ActionTracker[[#All],[Lease Number]],ContactList[[#All],[Lease Number]],0),12)),"",INDEX(ContactList[#All],MATCH(ActionTracker[[#All],[Lease Number]],ContactList[[#All],[Lease Number]],0),14))</f>
        <v>lorne@pacific-dawn.com</v>
      </c>
      <c r="O74" s="99" t="str">
        <f>IF(ISERROR(INDEX(ContactList[#All],MATCH(ActionTracker[[#All],[Lease Number]],ContactList[[#All],[Lease Number]],0),12)),"",INDEX(ContactList[#All],MATCH(ActionTracker[[#All],[Lease Number]],ContactList[[#All],[Lease Number]],0),15))</f>
        <v>604-683-8843</v>
      </c>
      <c r="P74" s="87"/>
      <c r="Q74" s="98"/>
    </row>
    <row r="75" spans="1:17" ht="28.5" x14ac:dyDescent="0.25">
      <c r="A75" s="86" t="s">
        <v>596</v>
      </c>
      <c r="B75" s="96"/>
      <c r="C75" s="98" t="str">
        <f>IF(ISERROR(INDEX(RTable[#All],MATCH(ActionTracker[[#All],[Lease Number]],RTable[[#All],[Lease Number]],0),1)),"",INDEX(RTable[#All],MATCH(ActionTracker[[#All],[Lease Number]],RTable[[#All],[Lease Number]],0),2)&amp;", "&amp;INDEX(RTable[#All],MATCH(ActionTracker[[#All],[Lease Number]],RTable[[#All],[Lease Number]],0),3))</f>
        <v xml:space="preserve">4527 Main Street, Vancouver, B.C. V5V 3R4 </v>
      </c>
      <c r="D75" s="51" t="str">
        <f>IF(ISNUMBER(SEARCH($D$1,INDEX(RTable[#All],MATCH(ActionTracker[[#All],[Lease Number]],RTable[[#All],[Lease Number]],0),5))),"x","")</f>
        <v/>
      </c>
      <c r="E75" s="51" t="str">
        <f>IF(ISNUMBER(SEARCH($E$1,INDEX(RTable[#All],MATCH(ActionTracker[[#All],[Lease Number]],RTable[[#All],[Lease Number]],0),5))),"x","")</f>
        <v/>
      </c>
      <c r="F75" s="51" t="str">
        <f>IF(ISNUMBER(SEARCH($F$1,INDEX(RTable[#All],MATCH(ActionTracker[[#All],[Lease Number]],RTable[[#All],[Lease Number]],0),5))),"x","")</f>
        <v/>
      </c>
      <c r="G75" s="51" t="str">
        <f>IF(ISNUMBER(SEARCH($G$1,INDEX(RTable[#All],MATCH(ActionTracker[[#All],[Lease Number]],RTable[[#All],[Lease Number]],0),5))),"x","")</f>
        <v/>
      </c>
      <c r="H75" s="51" t="str">
        <f>IF(ISNUMBER(SEARCH($H$1,INDEX(RTable[#All],MATCH(ActionTracker[[#All],[Lease Number]],RTable[[#All],[Lease Number]],0),5))),"x","")</f>
        <v/>
      </c>
      <c r="I75" s="51" t="str">
        <f>IF(ISNUMBER(SEARCH($I$1,INDEX(RTable[#All],MATCH(ActionTracker[[#All],[Lease Number]],RTable[[#All],[Lease Number]],0),5))),"x","")</f>
        <v>x</v>
      </c>
      <c r="J75" s="51" t="str">
        <f>IF(ISNUMBER(SEARCH($J$1,INDEX(RTable[#All],MATCH(ActionTracker[[#All],[Lease Number]],RTable[[#All],[Lease Number]],0),5))),"x","")</f>
        <v/>
      </c>
      <c r="K75"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None</v>
      </c>
      <c r="L75" s="99" t="str">
        <f>IF(ISERROR(INDEX(ContactList[#All],MATCH(ActionTracker[[#All],[Lease Number]],ContactList[[#All],[Lease Number]],0),12)),"",INDEX(ContactList[#All],MATCH(ActionTracker[[#All],[Lease Number]],ContactList[[#All],[Lease Number]],0),12))</f>
        <v>Adelina</v>
      </c>
      <c r="M75" s="99" t="str">
        <f>IF(ISERROR(INDEX(ContactList[#All],MATCH(ActionTracker[[#All],[Lease Number]],ContactList[[#All],[Lease Number]],0),12)),"",INDEX(ContactList[#All],MATCH(ActionTracker[[#All],[Lease Number]],ContactList[[#All],[Lease Number]],0),13))</f>
        <v>Ko</v>
      </c>
      <c r="N75" s="99"/>
      <c r="O75" s="99" t="str">
        <f>IF(ISERROR(INDEX(ContactList[#All],MATCH(ActionTracker[[#All],[Lease Number]],ContactList[[#All],[Lease Number]],0),12)),"",INDEX(ContactList[#All],MATCH(ActionTracker[[#All],[Lease Number]],ContactList[[#All],[Lease Number]],0),15))</f>
        <v>604 872 6681</v>
      </c>
      <c r="P75" s="87"/>
      <c r="Q75" s="98"/>
    </row>
    <row r="76" spans="1:17" ht="28.5" x14ac:dyDescent="0.25">
      <c r="A76" s="86" t="s">
        <v>587</v>
      </c>
      <c r="B76" s="96" t="str">
        <f>IF(ISERROR(INDEX(RTable[#All],MATCH(ActionTracker[[#All],[Lease Number]],RTable[[#All],[Lease Number]],0),1)),"",INDEX(RTable[#All],MATCH(ActionTracker[[#All],[Lease Number]],RTable[[#All],[Lease Number]],0),1))</f>
        <v>Birgit Feil</v>
      </c>
      <c r="C76" s="98" t="str">
        <f>IF(ISERROR(INDEX(RTable[#All],MATCH(ActionTracker[[#All],[Lease Number]],RTable[[#All],[Lease Number]],0),1)),"",INDEX(RTable[#All],MATCH(ActionTracker[[#All],[Lease Number]],RTable[[#All],[Lease Number]],0),2)&amp;", "&amp;INDEX(RTable[#All],MATCH(ActionTracker[[#All],[Lease Number]],RTable[[#All],[Lease Number]],0),3))</f>
        <v>Suite 15 - 665 Front St, Quesnel, B.C. V2J 5J5</v>
      </c>
      <c r="D76" s="51" t="str">
        <f>IF(ISNUMBER(SEARCH($D$1,INDEX(RTable[#All],MATCH(ActionTracker[[#All],[Lease Number]],RTable[[#All],[Lease Number]],0),5))),"x","")</f>
        <v/>
      </c>
      <c r="E76" s="51" t="str">
        <f>IF(ISNUMBER(SEARCH($E$1,INDEX(RTable[#All],MATCH(ActionTracker[[#All],[Lease Number]],RTable[[#All],[Lease Number]],0),5))),"x","")</f>
        <v/>
      </c>
      <c r="F76" s="51" t="str">
        <f>IF(ISNUMBER(SEARCH($F$1,INDEX(RTable[#All],MATCH(ActionTracker[[#All],[Lease Number]],RTable[[#All],[Lease Number]],0),5))),"x","")</f>
        <v/>
      </c>
      <c r="G76" s="51" t="str">
        <f>IF(ISNUMBER(SEARCH($G$1,INDEX(RTable[#All],MATCH(ActionTracker[[#All],[Lease Number]],RTable[[#All],[Lease Number]],0),5))),"x","")</f>
        <v/>
      </c>
      <c r="H76" s="51" t="str">
        <f>IF(ISNUMBER(SEARCH($H$1,INDEX(RTable[#All],MATCH(ActionTracker[[#All],[Lease Number]],RTable[[#All],[Lease Number]],0),5))),"x","")</f>
        <v/>
      </c>
      <c r="I76" s="51" t="str">
        <f>IF(ISNUMBER(SEARCH($I$1,INDEX(RTable[#All],MATCH(ActionTracker[[#All],[Lease Number]],RTable[[#All],[Lease Number]],0),5))),"x","")</f>
        <v/>
      </c>
      <c r="J76" s="51" t="str">
        <f>IF(ISNUMBER(SEARCH($J$1,INDEX(RTable[#All],MATCH(ActionTracker[[#All],[Lease Number]],RTable[[#All],[Lease Number]],0),5))),"x","")</f>
        <v>x</v>
      </c>
      <c r="K76"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None</v>
      </c>
      <c r="L76" s="99" t="str">
        <f>IF(ISERROR(INDEX(ContactList[#All],MATCH(ActionTracker[[#All],[Lease Number]],ContactList[[#All],[Lease Number]],0),12)),"",INDEX(ContactList[#All],MATCH(ActionTracker[[#All],[Lease Number]],ContactList[[#All],[Lease Number]],0),12))</f>
        <v>Birgit</v>
      </c>
      <c r="M76" s="99" t="str">
        <f>IF(ISERROR(INDEX(ContactList[#All],MATCH(ActionTracker[[#All],[Lease Number]],ContactList[[#All],[Lease Number]],0),12)),"",INDEX(ContactList[#All],MATCH(ActionTracker[[#All],[Lease Number]],ContactList[[#All],[Lease Number]],0),13))</f>
        <v>Feil</v>
      </c>
      <c r="N76" s="99" t="str">
        <f>IF(ISERROR(INDEX(ContactList[#All],MATCH(ActionTracker[[#All],[Lease Number]],ContactList[[#All],[Lease Number]],0),12)),"",INDEX(ContactList[#All],MATCH(ActionTracker[[#All],[Lease Number]],ContactList[[#All],[Lease Number]],0),14))</f>
        <v>birgit.idealpro@telus.net</v>
      </c>
      <c r="O76" s="99" t="str">
        <f>IF(ISERROR(INDEX(ContactList[#All],MATCH(ActionTracker[[#All],[Lease Number]],ContactList[[#All],[Lease Number]],0),12)),"",INDEX(ContactList[#All],MATCH(ActionTracker[[#All],[Lease Number]],ContactList[[#All],[Lease Number]],0),15))</f>
        <v>250 992 5992</v>
      </c>
      <c r="P76" s="87"/>
      <c r="Q76" s="98"/>
    </row>
    <row r="77" spans="1:17" ht="28.5" x14ac:dyDescent="0.25">
      <c r="A77" s="86" t="s">
        <v>627</v>
      </c>
      <c r="B77" s="96" t="str">
        <f>IF(ISERROR(INDEX(RTable[#All],MATCH(ActionTracker[[#All],[Lease Number]],RTable[[#All],[Lease Number]],0),1)),"",INDEX(RTable[#All],MATCH(ActionTracker[[#All],[Lease Number]],RTable[[#All],[Lease Number]],0),1))</f>
        <v>Michael Tam</v>
      </c>
      <c r="C77" s="98" t="str">
        <f>IF(ISERROR(INDEX(RTable[#All],MATCH(ActionTracker[[#All],[Lease Number]],RTable[[#All],[Lease Number]],0),1)),"",INDEX(RTable[#All],MATCH(ActionTracker[[#All],[Lease Number]],RTable[[#All],[Lease Number]],0),2)&amp;", "&amp;INDEX(RTable[#All],MATCH(ActionTracker[[#All],[Lease Number]],RTable[[#All],[Lease Number]],0),3))</f>
        <v>4366 West 10th Avenue, Vancouver, B.C. V6R 2H7</v>
      </c>
      <c r="D77" s="51" t="str">
        <f>IF(ISNUMBER(SEARCH($D$1,INDEX(RTable[#All],MATCH(ActionTracker[[#All],[Lease Number]],RTable[[#All],[Lease Number]],0),5))),"x","")</f>
        <v>x</v>
      </c>
      <c r="E77" s="51" t="str">
        <f>IF(ISNUMBER(SEARCH($E$1,INDEX(RTable[#All],MATCH(ActionTracker[[#All],[Lease Number]],RTable[[#All],[Lease Number]],0),5))),"x","")</f>
        <v>x</v>
      </c>
      <c r="F77" s="51" t="str">
        <f>IF(ISNUMBER(SEARCH($F$1,INDEX(RTable[#All],MATCH(ActionTracker[[#All],[Lease Number]],RTable[[#All],[Lease Number]],0),5))),"x","")</f>
        <v>x</v>
      </c>
      <c r="G77" s="51" t="str">
        <f>IF(ISNUMBER(SEARCH($G$1,INDEX(RTable[#All],MATCH(ActionTracker[[#All],[Lease Number]],RTable[[#All],[Lease Number]],0),5))),"x","")</f>
        <v>x</v>
      </c>
      <c r="H77" s="51" t="str">
        <f>IF(ISNUMBER(SEARCH($H$1,INDEX(RTable[#All],MATCH(ActionTracker[[#All],[Lease Number]],RTable[[#All],[Lease Number]],0),5))),"x","")</f>
        <v>x</v>
      </c>
      <c r="I77" s="51" t="str">
        <f>IF(ISNUMBER(SEARCH($I$1,INDEX(RTable[#All],MATCH(ActionTracker[[#All],[Lease Number]],RTable[[#All],[Lease Number]],0),5))),"x","")</f>
        <v>x</v>
      </c>
      <c r="J77" s="51" t="str">
        <f>IF(ISNUMBER(SEARCH($J$1,INDEX(RTable[#All],MATCH(ActionTracker[[#All],[Lease Number]],RTable[[#All],[Lease Number]],0),5))),"x","")</f>
        <v/>
      </c>
      <c r="K77"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Complete</v>
      </c>
      <c r="L77" s="99" t="str">
        <f>IF(ISERROR(INDEX(ContactList[#All],MATCH(ActionTracker[[#All],[Lease Number]],ContactList[[#All],[Lease Number]],0),12)),"",INDEX(ContactList[#All],MATCH(ActionTracker[[#All],[Lease Number]],ContactList[[#All],[Lease Number]],0),12))</f>
        <v>Michael</v>
      </c>
      <c r="M77" s="99" t="str">
        <f>IF(ISERROR(INDEX(ContactList[#All],MATCH(ActionTracker[[#All],[Lease Number]],ContactList[[#All],[Lease Number]],0),12)),"",INDEX(ContactList[#All],MATCH(ActionTracker[[#All],[Lease Number]],ContactList[[#All],[Lease Number]],0),13))</f>
        <v>Tam</v>
      </c>
      <c r="N77" s="99" t="str">
        <f>IF(ISERROR(INDEX(ContactList[#All],MATCH(ActionTracker[[#All],[Lease Number]],ContactList[[#All],[Lease Number]],0),12)),"",INDEX(ContactList[#All],MATCH(ActionTracker[[#All],[Lease Number]],ContactList[[#All],[Lease Number]],0),14))</f>
        <v>mmgmtltd@gmail.com</v>
      </c>
      <c r="O77" s="99" t="str">
        <f>IF(ISERROR(INDEX(ContactList[#All],MATCH(ActionTracker[[#All],[Lease Number]],ContactList[[#All],[Lease Number]],0),12)),"",INDEX(ContactList[#All],MATCH(ActionTracker[[#All],[Lease Number]],ContactList[[#All],[Lease Number]],0),15))</f>
        <v>604 263 6561</v>
      </c>
      <c r="P77" s="87"/>
      <c r="Q77" s="98"/>
    </row>
    <row r="78" spans="1:17" x14ac:dyDescent="0.25">
      <c r="A78" s="86" t="s">
        <v>586</v>
      </c>
      <c r="B78" s="96" t="str">
        <f>IF(ISERROR(INDEX(RTable[#All],MATCH(ActionTracker[[#All],[Lease Number]],RTable[[#All],[Lease Number]],0),1)),"",INDEX(RTable[#All],MATCH(ActionTracker[[#All],[Lease Number]],RTable[[#All],[Lease Number]],0),1))</f>
        <v>Mereede McClelland</v>
      </c>
      <c r="C78" s="98" t="str">
        <f>IF(ISERROR(INDEX(RTable[#All],MATCH(ActionTracker[[#All],[Lease Number]],RTable[[#All],[Lease Number]],0),1)),"",INDEX(RTable[#All],MATCH(ActionTracker[[#All],[Lease Number]],RTable[[#All],[Lease Number]],0),2)&amp;", "&amp;INDEX(RTable[#All],MATCH(ActionTracker[[#All],[Lease Number]],RTable[[#All],[Lease Number]],0),3))</f>
        <v>114-1077 56th St, Delta, B.C. V4L 2A2</v>
      </c>
      <c r="D78" s="51" t="str">
        <f>IF(ISNUMBER(SEARCH($D$1,INDEX(RTable[#All],MATCH(ActionTracker[[#All],[Lease Number]],RTable[[#All],[Lease Number]],0),5))),"x","")</f>
        <v/>
      </c>
      <c r="E78" s="51" t="str">
        <f>IF(ISNUMBER(SEARCH($E$1,INDEX(RTable[#All],MATCH(ActionTracker[[#All],[Lease Number]],RTable[[#All],[Lease Number]],0),5))),"x","")</f>
        <v/>
      </c>
      <c r="F78" s="51" t="str">
        <f>IF(ISNUMBER(SEARCH($F$1,INDEX(RTable[#All],MATCH(ActionTracker[[#All],[Lease Number]],RTable[[#All],[Lease Number]],0),5))),"x","")</f>
        <v/>
      </c>
      <c r="G78" s="51" t="str">
        <f>IF(ISNUMBER(SEARCH($G$1,INDEX(RTable[#All],MATCH(ActionTracker[[#All],[Lease Number]],RTable[[#All],[Lease Number]],0),5))),"x","")</f>
        <v>x</v>
      </c>
      <c r="H78" s="51" t="str">
        <f>IF(ISNUMBER(SEARCH($H$1,INDEX(RTable[#All],MATCH(ActionTracker[[#All],[Lease Number]],RTable[[#All],[Lease Number]],0),5))),"x","")</f>
        <v/>
      </c>
      <c r="I78" s="51" t="str">
        <f>IF(ISNUMBER(SEARCH($I$1,INDEX(RTable[#All],MATCH(ActionTracker[[#All],[Lease Number]],RTable[[#All],[Lease Number]],0),5))),"x","")</f>
        <v>x</v>
      </c>
      <c r="J78" s="51" t="str">
        <f>IF(ISNUMBER(SEARCH($J$1,INDEX(RTable[#All],MATCH(ActionTracker[[#All],[Lease Number]],RTable[[#All],[Lease Number]],0),5))),"x","")</f>
        <v/>
      </c>
      <c r="K78"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78" s="99" t="str">
        <f>IF(ISERROR(INDEX(ContactList[#All],MATCH(ActionTracker[[#All],[Lease Number]],ContactList[[#All],[Lease Number]],0),12)),"",INDEX(ContactList[#All],MATCH(ActionTracker[[#All],[Lease Number]],ContactList[[#All],[Lease Number]],0),12))</f>
        <v>Greg</v>
      </c>
      <c r="M78" s="99" t="str">
        <f>IF(ISERROR(INDEX(ContactList[#All],MATCH(ActionTracker[[#All],[Lease Number]],ContactList[[#All],[Lease Number]],0),12)),"",INDEX(ContactList[#All],MATCH(ActionTracker[[#All],[Lease Number]],ContactList[[#All],[Lease Number]],0),13))</f>
        <v>Bromley</v>
      </c>
      <c r="N78" s="99" t="str">
        <f>IF(ISERROR(INDEX(ContactList[#All],MATCH(ActionTracker[[#All],[Lease Number]],ContactList[[#All],[Lease Number]],0),12)),"",INDEX(ContactList[#All],MATCH(ActionTracker[[#All],[Lease Number]],ContactList[[#All],[Lease Number]],0),14))</f>
        <v>gkbss@hotmail.com</v>
      </c>
      <c r="O78" s="99" t="str">
        <f>IF(ISERROR(INDEX(ContactList[#All],MATCH(ActionTracker[[#All],[Lease Number]],ContactList[[#All],[Lease Number]],0),12)),"",INDEX(ContactList[#All],MATCH(ActionTracker[[#All],[Lease Number]],ContactList[[#All],[Lease Number]],0),15))</f>
        <v>604 943 4379</v>
      </c>
      <c r="P78" s="87"/>
      <c r="Q78" s="98"/>
    </row>
    <row r="79" spans="1:17" x14ac:dyDescent="0.25">
      <c r="A79" s="86" t="s">
        <v>1295</v>
      </c>
      <c r="B79" s="96" t="str">
        <f>IF(ISERROR(INDEX(RTable[#All],MATCH(ActionTracker[[#All],[Lease Number]],RTable[[#All],[Lease Number]],0),1)),"",INDEX(RTable[#All],MATCH(ActionTracker[[#All],[Lease Number]],RTable[[#All],[Lease Number]],0),1))</f>
        <v>Samira Nickel</v>
      </c>
      <c r="C79" s="98" t="str">
        <f>IF(ISERROR(INDEX(RTable[#All],MATCH(ActionTracker[[#All],[Lease Number]],RTable[[#All],[Lease Number]],0),1)),"",INDEX(RTable[#All],MATCH(ActionTracker[[#All],[Lease Number]],RTable[[#All],[Lease Number]],0),2)&amp;", "&amp;INDEX(RTable[#All],MATCH(ActionTracker[[#All],[Lease Number]],RTable[[#All],[Lease Number]],0),3))</f>
        <v>3100 Beta Avenue, Burnaby, B.C.</v>
      </c>
      <c r="D79" s="51" t="str">
        <f>IF(ISNUMBER(SEARCH($D$1,INDEX(RTable[#All],MATCH(ActionTracker[[#All],[Lease Number]],RTable[[#All],[Lease Number]],0),5))),"x","")</f>
        <v/>
      </c>
      <c r="E79" s="51" t="str">
        <f>IF(ISNUMBER(SEARCH($E$1,INDEX(RTable[#All],MATCH(ActionTracker[[#All],[Lease Number]],RTable[[#All],[Lease Number]],0),5))),"x","")</f>
        <v/>
      </c>
      <c r="F79" s="51" t="str">
        <f>IF(ISNUMBER(SEARCH($F$1,INDEX(RTable[#All],MATCH(ActionTracker[[#All],[Lease Number]],RTable[[#All],[Lease Number]],0),5))),"x","")</f>
        <v/>
      </c>
      <c r="G79" s="51" t="str">
        <f>IF(ISNUMBER(SEARCH($G$1,INDEX(RTable[#All],MATCH(ActionTracker[[#All],[Lease Number]],RTable[[#All],[Lease Number]],0),5))),"x","")</f>
        <v/>
      </c>
      <c r="H79" s="51" t="str">
        <f>IF(ISNUMBER(SEARCH($H$1,INDEX(RTable[#All],MATCH(ActionTracker[[#All],[Lease Number]],RTable[[#All],[Lease Number]],0),5))),"x","")</f>
        <v/>
      </c>
      <c r="I79" s="51" t="str">
        <f>IF(ISNUMBER(SEARCH($I$1,INDEX(RTable[#All],MATCH(ActionTracker[[#All],[Lease Number]],RTable[[#All],[Lease Number]],0),5))),"x","")</f>
        <v/>
      </c>
      <c r="J79" s="51" t="str">
        <f>IF(ISNUMBER(SEARCH($J$1,INDEX(RTable[#All],MATCH(ActionTracker[[#All],[Lease Number]],RTable[[#All],[Lease Number]],0),5))),"x","")</f>
        <v>x</v>
      </c>
      <c r="K79"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None</v>
      </c>
      <c r="L79" s="99" t="str">
        <f>IF(ISERROR(INDEX(ContactList[#All],MATCH(ActionTracker[[#All],[Lease Number]],ContactList[[#All],[Lease Number]],0),12)),"",INDEX(ContactList[#All],MATCH(ActionTracker[[#All],[Lease Number]],ContactList[[#All],[Lease Number]],0),12))</f>
        <v>Mann</v>
      </c>
      <c r="M79" s="99" t="str">
        <f>IF(ISERROR(INDEX(ContactList[#All],MATCH(ActionTracker[[#All],[Lease Number]],ContactList[[#All],[Lease Number]],0),12)),"",INDEX(ContactList[#All],MATCH(ActionTracker[[#All],[Lease Number]],ContactList[[#All],[Lease Number]],0),13))</f>
        <v>Jillian</v>
      </c>
      <c r="N79" s="99" t="str">
        <f>IF(ISERROR(INDEX(ContactList[#All],MATCH(ActionTracker[[#All],[Lease Number]],ContactList[[#All],[Lease Number]],0),12)),"",INDEX(ContactList[#All],MATCH(ActionTracker[[#All],[Lease Number]],ContactList[[#All],[Lease Number]],0),14))</f>
        <v>jillian.mann@gwira.com</v>
      </c>
      <c r="O79" s="99" t="str">
        <f>IF(ISERROR(INDEX(ContactList[#All],MATCH(ActionTracker[[#All],[Lease Number]],ContactList[[#All],[Lease Number]],0),12)),"",INDEX(ContactList[#All],MATCH(ActionTracker[[#All],[Lease Number]],ContactList[[#All],[Lease Number]],0),15))</f>
        <v>604 713 7724</v>
      </c>
      <c r="P79" s="87"/>
      <c r="Q79" s="98"/>
    </row>
    <row r="80" spans="1:17" ht="28.5" x14ac:dyDescent="0.25">
      <c r="A80" s="86" t="s">
        <v>634</v>
      </c>
      <c r="B80" s="96" t="str">
        <f>IF(ISERROR(INDEX(RTable[#All],MATCH(ActionTracker[[#All],[Lease Number]],RTable[[#All],[Lease Number]],0),1)),"",INDEX(RTable[#All],MATCH(ActionTracker[[#All],[Lease Number]],RTable[[#All],[Lease Number]],0),1))</f>
        <v>Ian Legge</v>
      </c>
      <c r="C80" s="98" t="str">
        <f>IF(ISERROR(INDEX(RTable[#All],MATCH(ActionTracker[[#All],[Lease Number]],RTable[[#All],[Lease Number]],0),1)),"",INDEX(RTable[#All],MATCH(ActionTracker[[#All],[Lease Number]],RTable[[#All],[Lease Number]],0),2)&amp;", "&amp;INDEX(RTable[#All],MATCH(ActionTracker[[#All],[Lease Number]],RTable[[#All],[Lease Number]],0),3))</f>
        <v>465 Merecroft Rd, Campbell River, B.C. V9W 0B5</v>
      </c>
      <c r="D80" s="51" t="str">
        <f>IF(ISNUMBER(SEARCH($D$1,INDEX(RTable[#All],MATCH(ActionTracker[[#All],[Lease Number]],RTable[[#All],[Lease Number]],0),5))),"x","")</f>
        <v/>
      </c>
      <c r="E80" s="51" t="str">
        <f>IF(ISNUMBER(SEARCH($E$1,INDEX(RTable[#All],MATCH(ActionTracker[[#All],[Lease Number]],RTable[[#All],[Lease Number]],0),5))),"x","")</f>
        <v/>
      </c>
      <c r="F80" s="51" t="str">
        <f>IF(ISNUMBER(SEARCH($F$1,INDEX(RTable[#All],MATCH(ActionTracker[[#All],[Lease Number]],RTable[[#All],[Lease Number]],0),5))),"x","")</f>
        <v/>
      </c>
      <c r="G80" s="51" t="str">
        <f>IF(ISNUMBER(SEARCH($G$1,INDEX(RTable[#All],MATCH(ActionTracker[[#All],[Lease Number]],RTable[[#All],[Lease Number]],0),5))),"x","")</f>
        <v>x</v>
      </c>
      <c r="H80" s="51" t="str">
        <f>IF(ISNUMBER(SEARCH($H$1,INDEX(RTable[#All],MATCH(ActionTracker[[#All],[Lease Number]],RTable[[#All],[Lease Number]],0),5))),"x","")</f>
        <v/>
      </c>
      <c r="I80" s="51" t="str">
        <f>IF(ISNUMBER(SEARCH($I$1,INDEX(RTable[#All],MATCH(ActionTracker[[#All],[Lease Number]],RTable[[#All],[Lease Number]],0),5))),"x","")</f>
        <v/>
      </c>
      <c r="J80" s="51" t="str">
        <f>IF(ISNUMBER(SEARCH($J$1,INDEX(RTable[#All],MATCH(ActionTracker[[#All],[Lease Number]],RTable[[#All],[Lease Number]],0),5))),"x","")</f>
        <v/>
      </c>
      <c r="K80"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80" s="99" t="str">
        <f>IF(ISERROR(INDEX(ContactList[#All],MATCH(ActionTracker[[#All],[Lease Number]],ContactList[[#All],[Lease Number]],0),12)),"",INDEX(ContactList[#All],MATCH(ActionTracker[[#All],[Lease Number]],ContactList[[#All],[Lease Number]],0),12))</f>
        <v>Ian</v>
      </c>
      <c r="M80" s="99" t="str">
        <f>IF(ISERROR(INDEX(ContactList[#All],MATCH(ActionTracker[[#All],[Lease Number]],ContactList[[#All],[Lease Number]],0),12)),"",INDEX(ContactList[#All],MATCH(ActionTracker[[#All],[Lease Number]],ContactList[[#All],[Lease Number]],0),13))</f>
        <v>Legge</v>
      </c>
      <c r="N80" s="99" t="str">
        <f>IF(ISERROR(INDEX(ContactList[#All],MATCH(ActionTracker[[#All],[Lease Number]],ContactList[[#All],[Lease Number]],0),12)),"",INDEX(ContactList[#All],MATCH(ActionTracker[[#All],[Lease Number]],ContactList[[#All],[Lease Number]],0),14))</f>
        <v>rfp@ravenforest.com</v>
      </c>
      <c r="O80" s="99" t="str">
        <f>IF(ISERROR(INDEX(ContactList[#All],MATCH(ActionTracker[[#All],[Lease Number]],ContactList[[#All],[Lease Number]],0),12)),"",INDEX(ContactList[#All],MATCH(ActionTracker[[#All],[Lease Number]],ContactList[[#All],[Lease Number]],0),15))</f>
        <v>250 287 2215</v>
      </c>
      <c r="P80" s="87"/>
      <c r="Q80" s="98"/>
    </row>
    <row r="81" spans="1:17" ht="30" x14ac:dyDescent="0.25">
      <c r="A81" s="86" t="s">
        <v>624</v>
      </c>
      <c r="B81" s="96" t="str">
        <f>IF(ISERROR(INDEX(RTable[#All],MATCH(ActionTracker[[#All],[Lease Number]],RTable[[#All],[Lease Number]],0),1)),"",INDEX(RTable[#All],MATCH(ActionTracker[[#All],[Lease Number]],RTable[[#All],[Lease Number]],0),1))</f>
        <v>First Capital Realty Management Services LP</v>
      </c>
      <c r="C81" s="98" t="str">
        <f>IF(ISERROR(INDEX(RTable[#All],MATCH(ActionTracker[[#All],[Lease Number]],RTable[[#All],[Lease Number]],0),1)),"",INDEX(RTable[#All],MATCH(ActionTracker[[#All],[Lease Number]],RTable[[#All],[Lease Number]],0),2)&amp;", "&amp;INDEX(RTable[#All],MATCH(ActionTracker[[#All],[Lease Number]],RTable[[#All],[Lease Number]],0),3))</f>
        <v>650 S Terminal Avenue Suite 106, Nanaimo, B.C. V9R 5E2</v>
      </c>
      <c r="D81" s="51" t="str">
        <f>IF(ISNUMBER(SEARCH($D$1,INDEX(RTable[#All],MATCH(ActionTracker[[#All],[Lease Number]],RTable[[#All],[Lease Number]],0),5))),"x","")</f>
        <v/>
      </c>
      <c r="E81" s="51" t="str">
        <f>IF(ISNUMBER(SEARCH($E$1,INDEX(RTable[#All],MATCH(ActionTracker[[#All],[Lease Number]],RTable[[#All],[Lease Number]],0),5))),"x","")</f>
        <v/>
      </c>
      <c r="F81" s="51" t="str">
        <f>IF(ISNUMBER(SEARCH($F$1,INDEX(RTable[#All],MATCH(ActionTracker[[#All],[Lease Number]],RTable[[#All],[Lease Number]],0),5))),"x","")</f>
        <v>x</v>
      </c>
      <c r="G81" s="51" t="str">
        <f>IF(ISNUMBER(SEARCH($G$1,INDEX(RTable[#All],MATCH(ActionTracker[[#All],[Lease Number]],RTable[[#All],[Lease Number]],0),5))),"x","")</f>
        <v>x</v>
      </c>
      <c r="H81" s="51" t="str">
        <f>IF(ISNUMBER(SEARCH($H$1,INDEX(RTable[#All],MATCH(ActionTracker[[#All],[Lease Number]],RTable[[#All],[Lease Number]],0),5))),"x","")</f>
        <v/>
      </c>
      <c r="I81" s="51" t="str">
        <f>IF(ISNUMBER(SEARCH($I$1,INDEX(RTable[#All],MATCH(ActionTracker[[#All],[Lease Number]],RTable[[#All],[Lease Number]],0),5))),"x","")</f>
        <v/>
      </c>
      <c r="J81" s="51" t="str">
        <f>IF(ISNUMBER(SEARCH($J$1,INDEX(RTable[#All],MATCH(ActionTracker[[#All],[Lease Number]],RTable[[#All],[Lease Number]],0),5))),"x","")</f>
        <v/>
      </c>
      <c r="K81"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81" s="99" t="str">
        <f>IF(ISERROR(INDEX(ContactList[#All],MATCH(ActionTracker[[#All],[Lease Number]],ContactList[[#All],[Lease Number]],0),12)),"",INDEX(ContactList[#All],MATCH(ActionTracker[[#All],[Lease Number]],ContactList[[#All],[Lease Number]],0),12))</f>
        <v>Gerry</v>
      </c>
      <c r="M81" s="99" t="str">
        <f>IF(ISERROR(INDEX(ContactList[#All],MATCH(ActionTracker[[#All],[Lease Number]],ContactList[[#All],[Lease Number]],0),12)),"",INDEX(ContactList[#All],MATCH(ActionTracker[[#All],[Lease Number]],ContactList[[#All],[Lease Number]],0),13))</f>
        <v>Boutin</v>
      </c>
      <c r="N81" s="99" t="str">
        <f>IF(ISERROR(INDEX(ContactList[#All],MATCH(ActionTracker[[#All],[Lease Number]],ContactList[[#All],[Lease Number]],0),12)),"",INDEX(ContactList[#All],MATCH(ActionTracker[[#All],[Lease Number]],ContactList[[#All],[Lease Number]],0),14))</f>
        <v>Gerry.Boutin@fcrms.ca</v>
      </c>
      <c r="O81" s="99" t="str">
        <f>IF(ISERROR(INDEX(ContactList[#All],MATCH(ActionTracker[[#All],[Lease Number]],ContactList[[#All],[Lease Number]],0),12)),"",INDEX(ContactList[#All],MATCH(ActionTracker[[#All],[Lease Number]],ContactList[[#All],[Lease Number]],0),15))</f>
        <v>778 265 7888</v>
      </c>
      <c r="P81" s="87"/>
      <c r="Q81" s="98"/>
    </row>
    <row r="82" spans="1:17" ht="28.5" x14ac:dyDescent="0.25">
      <c r="A82" s="86" t="s">
        <v>613</v>
      </c>
      <c r="B82" s="96" t="str">
        <f>IF(ISERROR(INDEX(RTable[#All],MATCH(ActionTracker[[#All],[Lease Number]],RTable[[#All],[Lease Number]],0),1)),"",INDEX(RTable[#All],MATCH(ActionTracker[[#All],[Lease Number]],RTable[[#All],[Lease Number]],0),1))</f>
        <v>Stephanie Mumford</v>
      </c>
      <c r="C82" s="98" t="str">
        <f>IF(ISERROR(INDEX(RTable[#All],MATCH(ActionTracker[[#All],[Lease Number]],RTable[[#All],[Lease Number]],0),1)),"",INDEX(RTable[#All],MATCH(ActionTracker[[#All],[Lease Number]],RTable[[#All],[Lease Number]],0),2)&amp;", "&amp;INDEX(RTable[#All],MATCH(ActionTracker[[#All],[Lease Number]],RTable[[#All],[Lease Number]],0),3))</f>
        <v>109-575 16th St, West Vancouver, B.C. V7V</v>
      </c>
      <c r="D82" s="51" t="str">
        <f>IF(ISNUMBER(SEARCH($D$1,INDEX(RTable[#All],MATCH(ActionTracker[[#All],[Lease Number]],RTable[[#All],[Lease Number]],0),5))),"x","")</f>
        <v>x</v>
      </c>
      <c r="E82" s="51" t="str">
        <f>IF(ISNUMBER(SEARCH($E$1,INDEX(RTable[#All],MATCH(ActionTracker[[#All],[Lease Number]],RTable[[#All],[Lease Number]],0),5))),"x","")</f>
        <v>x</v>
      </c>
      <c r="F82" s="51" t="str">
        <f>IF(ISNUMBER(SEARCH($F$1,INDEX(RTable[#All],MATCH(ActionTracker[[#All],[Lease Number]],RTable[[#All],[Lease Number]],0),5))),"x","")</f>
        <v>x</v>
      </c>
      <c r="G82" s="51" t="str">
        <f>IF(ISNUMBER(SEARCH($G$1,INDEX(RTable[#All],MATCH(ActionTracker[[#All],[Lease Number]],RTable[[#All],[Lease Number]],0),5))),"x","")</f>
        <v>x</v>
      </c>
      <c r="H82" s="51" t="str">
        <f>IF(ISNUMBER(SEARCH($H$1,INDEX(RTable[#All],MATCH(ActionTracker[[#All],[Lease Number]],RTable[[#All],[Lease Number]],0),5))),"x","")</f>
        <v>x</v>
      </c>
      <c r="I82" s="51" t="str">
        <f>IF(ISNUMBER(SEARCH($I$1,INDEX(RTable[#All],MATCH(ActionTracker[[#All],[Lease Number]],RTable[[#All],[Lease Number]],0),5))),"x","")</f>
        <v>x</v>
      </c>
      <c r="J82" s="51" t="str">
        <f>IF(ISNUMBER(SEARCH($J$1,INDEX(RTable[#All],MATCH(ActionTracker[[#All],[Lease Number]],RTable[[#All],[Lease Number]],0),5))),"x","")</f>
        <v/>
      </c>
      <c r="K82"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Complete</v>
      </c>
      <c r="L82" s="99" t="str">
        <f>IF(ISERROR(INDEX(ContactList[#All],MATCH(ActionTracker[[#All],[Lease Number]],ContactList[[#All],[Lease Number]],0),12)),"",INDEX(ContactList[#All],MATCH(ActionTracker[[#All],[Lease Number]],ContactList[[#All],[Lease Number]],0),12))</f>
        <v>Dale</v>
      </c>
      <c r="M82" s="99" t="str">
        <f>IF(ISERROR(INDEX(ContactList[#All],MATCH(ActionTracker[[#All],[Lease Number]],ContactList[[#All],[Lease Number]],0),12)),"",INDEX(ContactList[#All],MATCH(ActionTracker[[#All],[Lease Number]],ContactList[[#All],[Lease Number]],0),13))</f>
        <v>Mumford</v>
      </c>
      <c r="N82" s="99" t="str">
        <f>IF(ISERROR(INDEX(ContactList[#All],MATCH(ActionTracker[[#All],[Lease Number]],ContactList[[#All],[Lease Number]],0),12)),"",INDEX(ContactList[#All],MATCH(ActionTracker[[#All],[Lease Number]],ContactList[[#All],[Lease Number]],0),14))</f>
        <v>dalem@sdmrealty.com</v>
      </c>
      <c r="O82" s="99" t="str">
        <f>IF(ISERROR(INDEX(ContactList[#All],MATCH(ActionTracker[[#All],[Lease Number]],ContactList[[#All],[Lease Number]],0),12)),"",INDEX(ContactList[#All],MATCH(ActionTracker[[#All],[Lease Number]],ContactList[[#All],[Lease Number]],0),15))</f>
        <v>604 688 5658</v>
      </c>
      <c r="P82" s="87"/>
      <c r="Q82" s="98"/>
    </row>
    <row r="83" spans="1:17" ht="28.5" x14ac:dyDescent="0.25">
      <c r="A83" s="86" t="s">
        <v>614</v>
      </c>
      <c r="B83" s="96" t="str">
        <f>IF(ISERROR(INDEX(RTable[#All],MATCH(ActionTracker[[#All],[Lease Number]],RTable[[#All],[Lease Number]],0),1)),"",INDEX(RTable[#All],MATCH(ActionTracker[[#All],[Lease Number]],RTable[[#All],[Lease Number]],0),1))</f>
        <v>Stephanie Mumford</v>
      </c>
      <c r="C83" s="98" t="str">
        <f>IF(ISERROR(INDEX(RTable[#All],MATCH(ActionTracker[[#All],[Lease Number]],RTable[[#All],[Lease Number]],0),1)),"",INDEX(RTable[#All],MATCH(ActionTracker[[#All],[Lease Number]],RTable[[#All],[Lease Number]],0),2)&amp;", "&amp;INDEX(RTable[#All],MATCH(ActionTracker[[#All],[Lease Number]],RTable[[#All],[Lease Number]],0),3))</f>
        <v>209-1200 Lynn Valley Rd., North Vancouver, B.C. V7J 2A2</v>
      </c>
      <c r="D83" s="51" t="str">
        <f>IF(ISNUMBER(SEARCH($D$1,INDEX(RTable[#All],MATCH(ActionTracker[[#All],[Lease Number]],RTable[[#All],[Lease Number]],0),5))),"x","")</f>
        <v>x</v>
      </c>
      <c r="E83" s="51" t="str">
        <f>IF(ISNUMBER(SEARCH($E$1,INDEX(RTable[#All],MATCH(ActionTracker[[#All],[Lease Number]],RTable[[#All],[Lease Number]],0),5))),"x","")</f>
        <v>x</v>
      </c>
      <c r="F83" s="51" t="str">
        <f>IF(ISNUMBER(SEARCH($F$1,INDEX(RTable[#All],MATCH(ActionTracker[[#All],[Lease Number]],RTable[[#All],[Lease Number]],0),5))),"x","")</f>
        <v>x</v>
      </c>
      <c r="G83" s="51" t="str">
        <f>IF(ISNUMBER(SEARCH($G$1,INDEX(RTable[#All],MATCH(ActionTracker[[#All],[Lease Number]],RTable[[#All],[Lease Number]],0),5))),"x","")</f>
        <v>x</v>
      </c>
      <c r="H83" s="51" t="str">
        <f>IF(ISNUMBER(SEARCH($H$1,INDEX(RTable[#All],MATCH(ActionTracker[[#All],[Lease Number]],RTable[[#All],[Lease Number]],0),5))),"x","")</f>
        <v>x</v>
      </c>
      <c r="I83" s="51" t="str">
        <f>IF(ISNUMBER(SEARCH($I$1,INDEX(RTable[#All],MATCH(ActionTracker[[#All],[Lease Number]],RTable[[#All],[Lease Number]],0),5))),"x","")</f>
        <v>x</v>
      </c>
      <c r="J83" s="51" t="str">
        <f>IF(ISNUMBER(SEARCH($J$1,INDEX(RTable[#All],MATCH(ActionTracker[[#All],[Lease Number]],RTable[[#All],[Lease Number]],0),5))),"x","")</f>
        <v/>
      </c>
      <c r="K83"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Complete</v>
      </c>
      <c r="L83" s="99" t="str">
        <f>IF(ISERROR(INDEX(ContactList[#All],MATCH(ActionTracker[[#All],[Lease Number]],ContactList[[#All],[Lease Number]],0),12)),"",INDEX(ContactList[#All],MATCH(ActionTracker[[#All],[Lease Number]],ContactList[[#All],[Lease Number]],0),12))</f>
        <v>Dale</v>
      </c>
      <c r="M83" s="99" t="str">
        <f>IF(ISERROR(INDEX(ContactList[#All],MATCH(ActionTracker[[#All],[Lease Number]],ContactList[[#All],[Lease Number]],0),12)),"",INDEX(ContactList[#All],MATCH(ActionTracker[[#All],[Lease Number]],ContactList[[#All],[Lease Number]],0),13))</f>
        <v>Mumford</v>
      </c>
      <c r="N83" s="99" t="str">
        <f>IF(ISERROR(INDEX(ContactList[#All],MATCH(ActionTracker[[#All],[Lease Number]],ContactList[[#All],[Lease Number]],0),12)),"",INDEX(ContactList[#All],MATCH(ActionTracker[[#All],[Lease Number]],ContactList[[#All],[Lease Number]],0),14))</f>
        <v>dalem@sdmrealty.com</v>
      </c>
      <c r="O83" s="99" t="str">
        <f>IF(ISERROR(INDEX(ContactList[#All],MATCH(ActionTracker[[#All],[Lease Number]],ContactList[[#All],[Lease Number]],0),12)),"",INDEX(ContactList[#All],MATCH(ActionTracker[[#All],[Lease Number]],ContactList[[#All],[Lease Number]],0),15))</f>
        <v>604 688 5658</v>
      </c>
      <c r="P83" s="87"/>
      <c r="Q83" s="98"/>
    </row>
    <row r="84" spans="1:17" ht="28.5" x14ac:dyDescent="0.25">
      <c r="A84" s="86" t="s">
        <v>584</v>
      </c>
      <c r="B84" s="96" t="str">
        <f>IF(ISERROR(INDEX(RTable[#All],MATCH(ActionTracker[[#All],[Lease Number]],RTable[[#All],[Lease Number]],0),1)),"",INDEX(RTable[#All],MATCH(ActionTracker[[#All],[Lease Number]],RTable[[#All],[Lease Number]],0),1))</f>
        <v>Ammy Pitt</v>
      </c>
      <c r="C84" s="98" t="str">
        <f>IF(ISERROR(INDEX(RTable[#All],MATCH(ActionTracker[[#All],[Lease Number]],RTable[[#All],[Lease Number]],0),1)),"",INDEX(RTable[#All],MATCH(ActionTracker[[#All],[Lease Number]],RTable[[#All],[Lease Number]],0),2)&amp;", "&amp;INDEX(RTable[#All],MATCH(ActionTracker[[#All],[Lease Number]],RTable[[#All],[Lease Number]],0),3))</f>
        <v>87 Wallace Street, Nanaimo, B.C. V9R 3G7</v>
      </c>
      <c r="D84" s="51" t="str">
        <f>IF(ISNUMBER(SEARCH($D$1,INDEX(RTable[#All],MATCH(ActionTracker[[#All],[Lease Number]],RTable[[#All],[Lease Number]],0),5))),"x","")</f>
        <v>x</v>
      </c>
      <c r="E84" s="51" t="str">
        <f>IF(ISNUMBER(SEARCH($E$1,INDEX(RTable[#All],MATCH(ActionTracker[[#All],[Lease Number]],RTable[[#All],[Lease Number]],0),5))),"x","")</f>
        <v/>
      </c>
      <c r="F84" s="51" t="str">
        <f>IF(ISNUMBER(SEARCH($F$1,INDEX(RTable[#All],MATCH(ActionTracker[[#All],[Lease Number]],RTable[[#All],[Lease Number]],0),5))),"x","")</f>
        <v>x</v>
      </c>
      <c r="G84" s="51" t="str">
        <f>IF(ISNUMBER(SEARCH($G$1,INDEX(RTable[#All],MATCH(ActionTracker[[#All],[Lease Number]],RTable[[#All],[Lease Number]],0),5))),"x","")</f>
        <v>x</v>
      </c>
      <c r="H84" s="51" t="str">
        <f>IF(ISNUMBER(SEARCH($H$1,INDEX(RTable[#All],MATCH(ActionTracker[[#All],[Lease Number]],RTable[[#All],[Lease Number]],0),5))),"x","")</f>
        <v>x</v>
      </c>
      <c r="I84" s="51" t="str">
        <f>IF(ISNUMBER(SEARCH($I$1,INDEX(RTable[#All],MATCH(ActionTracker[[#All],[Lease Number]],RTable[[#All],[Lease Number]],0),5))),"x","")</f>
        <v/>
      </c>
      <c r="J84" s="51" t="str">
        <f>IF(ISNUMBER(SEARCH($J$1,INDEX(RTable[#All],MATCH(ActionTracker[[#All],[Lease Number]],RTable[[#All],[Lease Number]],0),5))),"x","")</f>
        <v/>
      </c>
      <c r="K84"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84" s="99" t="str">
        <f>IF(ISERROR(INDEX(ContactList[#All],MATCH(ActionTracker[[#All],[Lease Number]],ContactList[[#All],[Lease Number]],0),12)),"",INDEX(ContactList[#All],MATCH(ActionTracker[[#All],[Lease Number]],ContactList[[#All],[Lease Number]],0),12))</f>
        <v>Doris</v>
      </c>
      <c r="M84" s="99" t="str">
        <f>IF(ISERROR(INDEX(ContactList[#All],MATCH(ActionTracker[[#All],[Lease Number]],ContactList[[#All],[Lease Number]],0),12)),"",INDEX(ContactList[#All],MATCH(ActionTracker[[#All],[Lease Number]],ContactList[[#All],[Lease Number]],0),13))</f>
        <v>Gross</v>
      </c>
      <c r="N84" s="99" t="str">
        <f>IF(ISERROR(INDEX(ContactList[#All],MATCH(ActionTracker[[#All],[Lease Number]],ContactList[[#All],[Lease Number]],0),12)),"",INDEX(ContactList[#All],MATCH(ActionTracker[[#All],[Lease Number]],ContactList[[#All],[Lease Number]],0),14))</f>
        <v>dorisg@shawcable.com</v>
      </c>
      <c r="O84" s="99" t="str">
        <f>IF(ISERROR(INDEX(ContactList[#All],MATCH(ActionTracker[[#All],[Lease Number]],ContactList[[#All],[Lease Number]],0),12)),"",INDEX(ContactList[#All],MATCH(ActionTracker[[#All],[Lease Number]],ContactList[[#All],[Lease Number]],0),15))</f>
        <v>250 753 3202</v>
      </c>
      <c r="P84" s="87"/>
      <c r="Q84" s="98"/>
    </row>
    <row r="85" spans="1:17" x14ac:dyDescent="0.25">
      <c r="A85" s="86"/>
      <c r="B85" s="100" t="s">
        <v>271</v>
      </c>
      <c r="C85" s="100" t="s">
        <v>1727</v>
      </c>
      <c r="D85" s="51" t="str">
        <f>IF(ISNUMBER(SEARCH($D$1,INDEX(RTable[#All],MATCH(ActionTracker[[#All],[Lease Number]],RTable[[#All],[Lease Number]],0),5))),"x","")</f>
        <v/>
      </c>
      <c r="E85" s="51" t="str">
        <f>IF(ISNUMBER(SEARCH($E$1,INDEX(RTable[#All],MATCH(ActionTracker[[#All],[Lease Number]],RTable[[#All],[Lease Number]],0),5))),"x","")</f>
        <v/>
      </c>
      <c r="F85" s="51" t="str">
        <f>IF(ISNUMBER(SEARCH($F$1,INDEX(RTable[#All],MATCH(ActionTracker[[#All],[Lease Number]],RTable[[#All],[Lease Number]],0),5))),"x","")</f>
        <v/>
      </c>
      <c r="G85" s="51" t="str">
        <f>IF(ISNUMBER(SEARCH($G$1,INDEX(RTable[#All],MATCH(ActionTracker[[#All],[Lease Number]],RTable[[#All],[Lease Number]],0),5))),"x","")</f>
        <v/>
      </c>
      <c r="H85" s="51" t="str">
        <f>IF(ISNUMBER(SEARCH($H$1,INDEX(RTable[#All],MATCH(ActionTracker[[#All],[Lease Number]],RTable[[#All],[Lease Number]],0),5))),"x","")</f>
        <v/>
      </c>
      <c r="I85" s="51" t="str">
        <f>IF(ISNUMBER(SEARCH($I$1,INDEX(RTable[#All],MATCH(ActionTracker[[#All],[Lease Number]],RTable[[#All],[Lease Number]],0),5))),"x","")</f>
        <v/>
      </c>
      <c r="J85" s="51" t="str">
        <f>IF(ISNUMBER(SEARCH($J$1,INDEX(RTable[#All],MATCH(ActionTracker[[#All],[Lease Number]],RTable[[#All],[Lease Number]],0),5))),"x","")</f>
        <v/>
      </c>
      <c r="K85"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None</v>
      </c>
      <c r="L85" s="99" t="str">
        <f>IF(ISERROR(INDEX(ContactList[#All],MATCH(ActionTracker[[#All],[Lease Number]],ContactList[[#All],[Lease Number]],0),12)),"",INDEX(ContactList[#All],MATCH(ActionTracker[[#All],[Lease Number]],ContactList[[#All],[Lease Number]],0),12))</f>
        <v/>
      </c>
      <c r="M85" s="99" t="str">
        <f>IF(ISERROR(INDEX(ContactList[#All],MATCH(ActionTracker[[#All],[Lease Number]],ContactList[[#All],[Lease Number]],0),12)),"",INDEX(ContactList[#All],MATCH(ActionTracker[[#All],[Lease Number]],ContactList[[#All],[Lease Number]],0),13))</f>
        <v/>
      </c>
      <c r="N85" s="99" t="str">
        <f>IF(ISERROR(INDEX(ContactList[#All],MATCH(ActionTracker[[#All],[Lease Number]],ContactList[[#All],[Lease Number]],0),12)),"",INDEX(ContactList[#All],MATCH(ActionTracker[[#All],[Lease Number]],ContactList[[#All],[Lease Number]],0),14))</f>
        <v/>
      </c>
      <c r="O85" s="99" t="str">
        <f>IF(ISERROR(INDEX(ContactList[#All],MATCH(ActionTracker[[#All],[Lease Number]],ContactList[[#All],[Lease Number]],0),12)),"",INDEX(ContactList[#All],MATCH(ActionTracker[[#All],[Lease Number]],ContactList[[#All],[Lease Number]],0),15))</f>
        <v/>
      </c>
      <c r="P85" s="87"/>
      <c r="Q85" s="98"/>
    </row>
    <row r="86" spans="1:17" ht="30" x14ac:dyDescent="0.25">
      <c r="A86" s="86" t="s">
        <v>608</v>
      </c>
      <c r="B86" s="96" t="str">
        <f>IF(ISERROR(INDEX(RTable[#All],MATCH(ActionTracker[[#All],[Lease Number]],RTable[[#All],[Lease Number]],0),1)),"",INDEX(RTable[#All],MATCH(ActionTracker[[#All],[Lease Number]],RTable[[#All],[Lease Number]],0),1))</f>
        <v>James Bay Community Project</v>
      </c>
      <c r="C86" s="98" t="str">
        <f>IF(ISERROR(INDEX(RTable[#All],MATCH(ActionTracker[[#All],[Lease Number]],RTable[[#All],[Lease Number]],0),1)),"",INDEX(RTable[#All],MATCH(ActionTracker[[#All],[Lease Number]],RTable[[#All],[Lease Number]],0),2)&amp;", "&amp;INDEX(RTable[#All],MATCH(ActionTracker[[#All],[Lease Number]],RTable[[#All],[Lease Number]],0),3))</f>
        <v>210-547 Michigan Street, Victoria, B.C. V8V 1S5</v>
      </c>
      <c r="D86" s="51" t="str">
        <f>IF(ISNUMBER(SEARCH($D$1,INDEX(RTable[#All],MATCH(ActionTracker[[#All],[Lease Number]],RTable[[#All],[Lease Number]],0),5))),"x","")</f>
        <v>x</v>
      </c>
      <c r="E86" s="51" t="str">
        <f>IF(ISNUMBER(SEARCH($E$1,INDEX(RTable[#All],MATCH(ActionTracker[[#All],[Lease Number]],RTable[[#All],[Lease Number]],0),5))),"x","")</f>
        <v>x</v>
      </c>
      <c r="F86" s="51" t="str">
        <f>IF(ISNUMBER(SEARCH($F$1,INDEX(RTable[#All],MATCH(ActionTracker[[#All],[Lease Number]],RTable[[#All],[Lease Number]],0),5))),"x","")</f>
        <v/>
      </c>
      <c r="G86" s="51" t="str">
        <f>IF(ISNUMBER(SEARCH($G$1,INDEX(RTable[#All],MATCH(ActionTracker[[#All],[Lease Number]],RTable[[#All],[Lease Number]],0),5))),"x","")</f>
        <v>x</v>
      </c>
      <c r="H86" s="51" t="str">
        <f>IF(ISNUMBER(SEARCH($H$1,INDEX(RTable[#All],MATCH(ActionTracker[[#All],[Lease Number]],RTable[[#All],[Lease Number]],0),5))),"x","")</f>
        <v/>
      </c>
      <c r="I86" s="51" t="str">
        <f>IF(ISNUMBER(SEARCH($I$1,INDEX(RTable[#All],MATCH(ActionTracker[[#All],[Lease Number]],RTable[[#All],[Lease Number]],0),5))),"x","")</f>
        <v>x</v>
      </c>
      <c r="J86" s="51" t="str">
        <f>IF(ISNUMBER(SEARCH($J$1,INDEX(RTable[#All],MATCH(ActionTracker[[#All],[Lease Number]],RTable[[#All],[Lease Number]],0),5))),"x","")</f>
        <v/>
      </c>
      <c r="K86"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86" s="99" t="str">
        <f>IF(ISERROR(INDEX(ContactList[#All],MATCH(ActionTracker[[#All],[Lease Number]],ContactList[[#All],[Lease Number]],0),12)),"",INDEX(ContactList[#All],MATCH(ActionTracker[[#All],[Lease Number]],ContactList[[#All],[Lease Number]],0),12))</f>
        <v>Brian</v>
      </c>
      <c r="M86" s="99" t="str">
        <f>IF(ISERROR(INDEX(ContactList[#All],MATCH(ActionTracker[[#All],[Lease Number]],ContactList[[#All],[Lease Number]],0),12)),"",INDEX(ContactList[#All],MATCH(ActionTracker[[#All],[Lease Number]],ContactList[[#All],[Lease Number]],0),13))</f>
        <v>Yellin</v>
      </c>
      <c r="N86" s="99" t="str">
        <f>IF(ISERROR(INDEX(ContactList[#All],MATCH(ActionTracker[[#All],[Lease Number]],ContactList[[#All],[Lease Number]],0),12)),"",INDEX(ContactList[#All],MATCH(ActionTracker[[#All],[Lease Number]],ContactList[[#All],[Lease Number]],0),14))</f>
        <v>byellin@jbcp.bc.ca</v>
      </c>
      <c r="O86" s="99" t="str">
        <f>IF(ISERROR(INDEX(ContactList[#All],MATCH(ActionTracker[[#All],[Lease Number]],ContactList[[#All],[Lease Number]],0),12)),"",INDEX(ContactList[#All],MATCH(ActionTracker[[#All],[Lease Number]],ContactList[[#All],[Lease Number]],0),15))</f>
        <v>250 388 7844</v>
      </c>
      <c r="P86" s="87"/>
      <c r="Q86" s="98"/>
    </row>
    <row r="87" spans="1:17" ht="28.5" x14ac:dyDescent="0.25">
      <c r="A87" s="86" t="s">
        <v>1340</v>
      </c>
      <c r="B87" s="96" t="str">
        <f>IF(ISERROR(INDEX(RTable[#All],MATCH(ActionTracker[[#All],[Lease Number]],RTable[[#All],[Lease Number]],0),1)),"",INDEX(RTable[#All],MATCH(ActionTracker[[#All],[Lease Number]],RTable[[#All],[Lease Number]],0),1))</f>
        <v>Uwe Bartley</v>
      </c>
      <c r="C87" s="98" t="str">
        <f>IF(ISERROR(INDEX(RTable[#All],MATCH(ActionTracker[[#All],[Lease Number]],RTable[[#All],[Lease Number]],0),1)),"",INDEX(RTable[#All],MATCH(ActionTracker[[#All],[Lease Number]],RTable[[#All],[Lease Number]],0),2)&amp;", "&amp;INDEX(RTable[#All],MATCH(ActionTracker[[#All],[Lease Number]],RTable[[#All],[Lease Number]],0),3))</f>
        <v>4464 Markham Street, Saanich, B.C. V8Z 5N3</v>
      </c>
      <c r="D87" s="51" t="str">
        <f>IF(ISNUMBER(SEARCH($D$1,INDEX(RTable[#All],MATCH(ActionTracker[[#All],[Lease Number]],RTable[[#All],[Lease Number]],0),5))),"x","")</f>
        <v>x</v>
      </c>
      <c r="E87" s="51" t="str">
        <f>IF(ISNUMBER(SEARCH($E$1,INDEX(RTable[#All],MATCH(ActionTracker[[#All],[Lease Number]],RTable[[#All],[Lease Number]],0),5))),"x","")</f>
        <v>x</v>
      </c>
      <c r="F87" s="51" t="str">
        <f>IF(ISNUMBER(SEARCH($F$1,INDEX(RTable[#All],MATCH(ActionTracker[[#All],[Lease Number]],RTable[[#All],[Lease Number]],0),5))),"x","")</f>
        <v>x</v>
      </c>
      <c r="G87" s="51" t="str">
        <f>IF(ISNUMBER(SEARCH($G$1,INDEX(RTable[#All],MATCH(ActionTracker[[#All],[Lease Number]],RTable[[#All],[Lease Number]],0),5))),"x","")</f>
        <v>x</v>
      </c>
      <c r="H87" s="51" t="str">
        <f>IF(ISNUMBER(SEARCH($H$1,INDEX(RTable[#All],MATCH(ActionTracker[[#All],[Lease Number]],RTable[[#All],[Lease Number]],0),5))),"x","")</f>
        <v>x</v>
      </c>
      <c r="I87" s="51" t="str">
        <f>IF(ISNUMBER(SEARCH($I$1,INDEX(RTable[#All],MATCH(ActionTracker[[#All],[Lease Number]],RTable[[#All],[Lease Number]],0),5))),"x","")</f>
        <v/>
      </c>
      <c r="J87" s="51" t="str">
        <f>IF(ISNUMBER(SEARCH($J$1,INDEX(RTable[#All],MATCH(ActionTracker[[#All],[Lease Number]],RTable[[#All],[Lease Number]],0),5))),"x","")</f>
        <v/>
      </c>
      <c r="K87"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87" s="99" t="str">
        <f>IF(ISERROR(INDEX(ContactList[#All],MATCH(ActionTracker[[#All],[Lease Number]],ContactList[[#All],[Lease Number]],0),12)),"",INDEX(ContactList[#All],MATCH(ActionTracker[[#All],[Lease Number]],ContactList[[#All],[Lease Number]],0),12))</f>
        <v>Greg</v>
      </c>
      <c r="M87" s="99" t="str">
        <f>IF(ISERROR(INDEX(ContactList[#All],MATCH(ActionTracker[[#All],[Lease Number]],ContactList[[#All],[Lease Number]],0),12)),"",INDEX(ContactList[#All],MATCH(ActionTracker[[#All],[Lease Number]],ContactList[[#All],[Lease Number]],0),13))</f>
        <v>Sikora</v>
      </c>
      <c r="N87" s="99" t="str">
        <f>IF(ISERROR(INDEX(ContactList[#All],MATCH(ActionTracker[[#All],[Lease Number]],ContactList[[#All],[Lease Number]],0),12)),"",INDEX(ContactList[#All],MATCH(ActionTracker[[#All],[Lease Number]],ContactList[[#All],[Lease Number]],0),14))</f>
        <v>gsikora@vitp.ca</v>
      </c>
      <c r="O87" s="99" t="str">
        <f>IF(ISERROR(INDEX(ContactList[#All],MATCH(ActionTracker[[#All],[Lease Number]],ContactList[[#All],[Lease Number]],0),12)),"",INDEX(ContactList[#All],MATCH(ActionTracker[[#All],[Lease Number]],ContactList[[#All],[Lease Number]],0),15))</f>
        <v>250 483 3208</v>
      </c>
      <c r="P87" s="87"/>
      <c r="Q87" s="98"/>
    </row>
    <row r="88" spans="1:17" ht="28.5" x14ac:dyDescent="0.25">
      <c r="A88" s="86" t="s">
        <v>623</v>
      </c>
      <c r="B88" s="96" t="str">
        <f>IF(ISERROR(INDEX(RTable[#All],MATCH(ActionTracker[[#All],[Lease Number]],RTable[[#All],[Lease Number]],0),1)),"",INDEX(RTable[#All],MATCH(ActionTracker[[#All],[Lease Number]],RTable[[#All],[Lease Number]],0),1))</f>
        <v>MCM Real Estate Ltd</v>
      </c>
      <c r="C88" s="98" t="str">
        <f>IF(ISERROR(INDEX(RTable[#All],MATCH(ActionTracker[[#All],[Lease Number]],RTable[[#All],[Lease Number]],0),1)),"",INDEX(RTable[#All],MATCH(ActionTracker[[#All],[Lease Number]],RTable[[#All],[Lease Number]],0),2)&amp;", "&amp;INDEX(RTable[#All],MATCH(ActionTracker[[#All],[Lease Number]],RTable[[#All],[Lease Number]],0),3))</f>
        <v>1-685 Tranquille Rd, Kamloops, B.C. V2B 3H7</v>
      </c>
      <c r="D88" s="51" t="str">
        <f>IF(ISNUMBER(SEARCH($D$1,INDEX(RTable[#All],MATCH(ActionTracker[[#All],[Lease Number]],RTable[[#All],[Lease Number]],0),5))),"x","")</f>
        <v/>
      </c>
      <c r="E88" s="51" t="str">
        <f>IF(ISNUMBER(SEARCH($E$1,INDEX(RTable[#All],MATCH(ActionTracker[[#All],[Lease Number]],RTable[[#All],[Lease Number]],0),5))),"x","")</f>
        <v/>
      </c>
      <c r="F88" s="51" t="str">
        <f>IF(ISNUMBER(SEARCH($F$1,INDEX(RTable[#All],MATCH(ActionTracker[[#All],[Lease Number]],RTable[[#All],[Lease Number]],0),5))),"x","")</f>
        <v/>
      </c>
      <c r="G88" s="51" t="str">
        <f>IF(ISNUMBER(SEARCH($G$1,INDEX(RTable[#All],MATCH(ActionTracker[[#All],[Lease Number]],RTable[[#All],[Lease Number]],0),5))),"x","")</f>
        <v/>
      </c>
      <c r="H88" s="51" t="str">
        <f>IF(ISNUMBER(SEARCH($H$1,INDEX(RTable[#All],MATCH(ActionTracker[[#All],[Lease Number]],RTable[[#All],[Lease Number]],0),5))),"x","")</f>
        <v/>
      </c>
      <c r="I88" s="51" t="str">
        <f>IF(ISNUMBER(SEARCH($I$1,INDEX(RTable[#All],MATCH(ActionTracker[[#All],[Lease Number]],RTable[[#All],[Lease Number]],0),5))),"x","")</f>
        <v/>
      </c>
      <c r="J88" s="51" t="str">
        <f>IF(ISNUMBER(SEARCH($J$1,INDEX(RTable[#All],MATCH(ActionTracker[[#All],[Lease Number]],RTable[[#All],[Lease Number]],0),5))),"x","")</f>
        <v>x</v>
      </c>
      <c r="K88"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None</v>
      </c>
      <c r="L88" s="99" t="str">
        <f>IF(ISERROR(INDEX(ContactList[#All],MATCH(ActionTracker[[#All],[Lease Number]],ContactList[[#All],[Lease Number]],0),12)),"",INDEX(ContactList[#All],MATCH(ActionTracker[[#All],[Lease Number]],ContactList[[#All],[Lease Number]],0),12))</f>
        <v>Mona</v>
      </c>
      <c r="M88" s="99" t="str">
        <f>IF(ISERROR(INDEX(ContactList[#All],MATCH(ActionTracker[[#All],[Lease Number]],ContactList[[#All],[Lease Number]],0),12)),"",INDEX(ContactList[#All],MATCH(ActionTracker[[#All],[Lease Number]],ContactList[[#All],[Lease Number]],0),13))</f>
        <v>Murray</v>
      </c>
      <c r="N88" s="99" t="str">
        <f>IF(ISERROR(INDEX(ContactList[#All],MATCH(ActionTracker[[#All],[Lease Number]],ContactList[[#All],[Lease Number]],0),12)),"",INDEX(ContactList[#All],MATCH(ActionTracker[[#All],[Lease Number]],ContactList[[#All],[Lease Number]],0),14))</f>
        <v>mona@mcmrealestate.ca</v>
      </c>
      <c r="O88" s="99" t="str">
        <f>IF(ISERROR(INDEX(ContactList[#All],MATCH(ActionTracker[[#All],[Lease Number]],ContactList[[#All],[Lease Number]],0),12)),"",INDEX(ContactList[#All],MATCH(ActionTracker[[#All],[Lease Number]],ContactList[[#All],[Lease Number]],0),15))</f>
        <v>250 372 2277</v>
      </c>
      <c r="P88" s="87"/>
      <c r="Q88" s="98"/>
    </row>
    <row r="89" spans="1:17" ht="28.5" x14ac:dyDescent="0.25">
      <c r="A89" s="86" t="s">
        <v>607</v>
      </c>
      <c r="B89" s="96" t="str">
        <f>IF(ISERROR(INDEX(RTable[#All],MATCH(ActionTracker[[#All],[Lease Number]],RTable[[#All],[Lease Number]],0),1)),"",INDEX(RTable[#All],MATCH(ActionTracker[[#All],[Lease Number]],RTable[[#All],[Lease Number]],0),1))</f>
        <v>MCM Real Estate Ltd</v>
      </c>
      <c r="C89" s="98" t="str">
        <f>IF(ISERROR(INDEX(RTable[#All],MATCH(ActionTracker[[#All],[Lease Number]],RTable[[#All],[Lease Number]],0),1)),"",INDEX(RTable[#All],MATCH(ActionTracker[[#All],[Lease Number]],RTable[[#All],[Lease Number]],0),2)&amp;", "&amp;INDEX(RTable[#All],MATCH(ActionTracker[[#All],[Lease Number]],RTable[[#All],[Lease Number]],0),3))</f>
        <v>135-546 St. Paul St. #120, Kamloops, B.C. V2C 5T1</v>
      </c>
      <c r="D89" s="51" t="str">
        <f>IF(ISNUMBER(SEARCH($D$1,INDEX(RTable[#All],MATCH(ActionTracker[[#All],[Lease Number]],RTable[[#All],[Lease Number]],0),5))),"x","")</f>
        <v/>
      </c>
      <c r="E89" s="51" t="str">
        <f>IF(ISNUMBER(SEARCH($E$1,INDEX(RTable[#All],MATCH(ActionTracker[[#All],[Lease Number]],RTable[[#All],[Lease Number]],0),5))),"x","")</f>
        <v/>
      </c>
      <c r="F89" s="51" t="str">
        <f>IF(ISNUMBER(SEARCH($F$1,INDEX(RTable[#All],MATCH(ActionTracker[[#All],[Lease Number]],RTable[[#All],[Lease Number]],0),5))),"x","")</f>
        <v/>
      </c>
      <c r="G89" s="51" t="str">
        <f>IF(ISNUMBER(SEARCH($G$1,INDEX(RTable[#All],MATCH(ActionTracker[[#All],[Lease Number]],RTable[[#All],[Lease Number]],0),5))),"x","")</f>
        <v/>
      </c>
      <c r="H89" s="51" t="str">
        <f>IF(ISNUMBER(SEARCH($H$1,INDEX(RTable[#All],MATCH(ActionTracker[[#All],[Lease Number]],RTable[[#All],[Lease Number]],0),5))),"x","")</f>
        <v/>
      </c>
      <c r="I89" s="51" t="str">
        <f>IF(ISNUMBER(SEARCH($I$1,INDEX(RTable[#All],MATCH(ActionTracker[[#All],[Lease Number]],RTable[[#All],[Lease Number]],0),5))),"x","")</f>
        <v/>
      </c>
      <c r="J89" s="51" t="str">
        <f>IF(ISNUMBER(SEARCH($J$1,INDEX(RTable[#All],MATCH(ActionTracker[[#All],[Lease Number]],RTable[[#All],[Lease Number]],0),5))),"x","")</f>
        <v>x</v>
      </c>
      <c r="K89"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None</v>
      </c>
      <c r="L89" s="99"/>
      <c r="M89" s="99" t="str">
        <f>IF(ISERROR(INDEX(ContactList[#All],MATCH(ActionTracker[[#All],[Lease Number]],ContactList[[#All],[Lease Number]],0),12)),"",INDEX(ContactList[#All],MATCH(ActionTracker[[#All],[Lease Number]],ContactList[[#All],[Lease Number]],0),13))</f>
        <v>.</v>
      </c>
      <c r="N89" s="99"/>
      <c r="O89" s="99" t="str">
        <f>IF(ISERROR(INDEX(ContactList[#All],MATCH(ActionTracker[[#All],[Lease Number]],ContactList[[#All],[Lease Number]],0),12)),"",INDEX(ContactList[#All],MATCH(ActionTracker[[#All],[Lease Number]],ContactList[[#All],[Lease Number]],0),15))</f>
        <v>.</v>
      </c>
      <c r="P89" s="87"/>
      <c r="Q89" s="98"/>
    </row>
    <row r="90" spans="1:17" ht="28.5" x14ac:dyDescent="0.25">
      <c r="A90" s="86" t="s">
        <v>635</v>
      </c>
      <c r="B90" s="96" t="str">
        <f>IF(ISERROR(INDEX(RTable[#All],MATCH(ActionTracker[[#All],[Lease Number]],RTable[[#All],[Lease Number]],0),1)),"",INDEX(RTable[#All],MATCH(ActionTracker[[#All],[Lease Number]],RTable[[#All],[Lease Number]],0),1))</f>
        <v>Daniella Leck</v>
      </c>
      <c r="C90" s="98" t="str">
        <f>IF(ISERROR(INDEX(RTable[#All],MATCH(ActionTracker[[#All],[Lease Number]],RTable[[#All],[Lease Number]],0),1)),"",INDEX(RTable[#All],MATCH(ActionTracker[[#All],[Lease Number]],RTable[[#All],[Lease Number]],0),2)&amp;", "&amp;INDEX(RTable[#All],MATCH(ActionTracker[[#All],[Lease Number]],RTable[[#All],[Lease Number]],0),3))</f>
        <v>610-620 - 26310 Fraser Hwy, Aldergrove, B.C.</v>
      </c>
      <c r="D90" s="51" t="str">
        <f>IF(ISNUMBER(SEARCH($D$1,INDEX(RTable[#All],MATCH(ActionTracker[[#All],[Lease Number]],RTable[[#All],[Lease Number]],0),5))),"x","")</f>
        <v/>
      </c>
      <c r="E90" s="51" t="str">
        <f>IF(ISNUMBER(SEARCH($E$1,INDEX(RTable[#All],MATCH(ActionTracker[[#All],[Lease Number]],RTable[[#All],[Lease Number]],0),5))),"x","")</f>
        <v/>
      </c>
      <c r="F90" s="51" t="str">
        <f>IF(ISNUMBER(SEARCH($F$1,INDEX(RTable[#All],MATCH(ActionTracker[[#All],[Lease Number]],RTable[[#All],[Lease Number]],0),5))),"x","")</f>
        <v/>
      </c>
      <c r="G90" s="51" t="str">
        <f>IF(ISNUMBER(SEARCH($G$1,INDEX(RTable[#All],MATCH(ActionTracker[[#All],[Lease Number]],RTable[[#All],[Lease Number]],0),5))),"x","")</f>
        <v>x</v>
      </c>
      <c r="H90" s="51" t="str">
        <f>IF(ISNUMBER(SEARCH($H$1,INDEX(RTable[#All],MATCH(ActionTracker[[#All],[Lease Number]],RTable[[#All],[Lease Number]],0),5))),"x","")</f>
        <v/>
      </c>
      <c r="I90" s="51" t="str">
        <f>IF(ISNUMBER(SEARCH($I$1,INDEX(RTable[#All],MATCH(ActionTracker[[#All],[Lease Number]],RTable[[#All],[Lease Number]],0),5))),"x","")</f>
        <v/>
      </c>
      <c r="J90" s="51" t="str">
        <f>IF(ISNUMBER(SEARCH($J$1,INDEX(RTable[#All],MATCH(ActionTracker[[#All],[Lease Number]],RTable[[#All],[Lease Number]],0),5))),"x","")</f>
        <v/>
      </c>
      <c r="K90" s="48"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90" s="99" t="str">
        <f>IF(ISERROR(INDEX(ContactList[#All],MATCH(ActionTracker[[#All],[Lease Number]],ContactList[[#All],[Lease Number]],0),12)),"",INDEX(ContactList[#All],MATCH(ActionTracker[[#All],[Lease Number]],ContactList[[#All],[Lease Number]],0),12))</f>
        <v>Daniella</v>
      </c>
      <c r="M90" s="99" t="str">
        <f>IF(ISERROR(INDEX(ContactList[#All],MATCH(ActionTracker[[#All],[Lease Number]],ContactList[[#All],[Lease Number]],0),12)),"",INDEX(ContactList[#All],MATCH(ActionTracker[[#All],[Lease Number]],ContactList[[#All],[Lease Number]],0),13))</f>
        <v>Leck</v>
      </c>
      <c r="N90" s="99" t="str">
        <f>IF(ISERROR(INDEX(ContactList[#All],MATCH(ActionTracker[[#All],[Lease Number]],ContactList[[#All],[Lease Number]],0),12)),"",INDEX(ContactList[#All],MATCH(ActionTracker[[#All],[Lease Number]],ContactList[[#All],[Lease Number]],0),14))</f>
        <v>info@mdcproperties.ca</v>
      </c>
      <c r="O90" s="99" t="str">
        <f>IF(ISERROR(INDEX(ContactList[#All],MATCH(ActionTracker[[#All],[Lease Number]],ContactList[[#All],[Lease Number]],0),12)),"",INDEX(ContactList[#All],MATCH(ActionTracker[[#All],[Lease Number]],ContactList[[#All],[Lease Number]],0),15))</f>
        <v>604 678 0244</v>
      </c>
      <c r="P90" s="87"/>
      <c r="Q90" s="98"/>
    </row>
    <row r="91" spans="1:17" x14ac:dyDescent="0.25">
      <c r="A91" s="86"/>
      <c r="B91" s="100" t="s">
        <v>310</v>
      </c>
      <c r="C91" s="97" t="str">
        <f>IF(ISERROR(INDEX(RTable[#All],MATCH(ActionTracker[[#All],[Lease Number]],RTable[[#All],[Lease Number]],0),1)),"",INDEX(RTable[#All],MATCH(ActionTracker[[#All],[Lease Number]],RTable[[#All],[Lease Number]],0),2)&amp;", "&amp;INDEX(RTable[#All],MATCH(ActionTracker[[#All],[Lease Number]],RTable[[#All],[Lease Number]],0),3))</f>
        <v/>
      </c>
      <c r="D91" s="51" t="str">
        <f>IF(ISNUMBER(SEARCH($D$1,INDEX(RTable[#All],MATCH(ActionTracker[[#All],[Lease Number]],RTable[[#All],[Lease Number]],0),5))),"x","")</f>
        <v/>
      </c>
      <c r="E91" s="51" t="str">
        <f>IF(ISNUMBER(SEARCH($E$1,INDEX(RTable[#All],MATCH(ActionTracker[[#All],[Lease Number]],RTable[[#All],[Lease Number]],0),5))),"x","")</f>
        <v/>
      </c>
      <c r="F91" s="51" t="str">
        <f>IF(ISNUMBER(SEARCH($F$1,INDEX(RTable[#All],MATCH(ActionTracker[[#All],[Lease Number]],RTable[[#All],[Lease Number]],0),5))),"x","")</f>
        <v/>
      </c>
      <c r="G91" s="51" t="str">
        <f>IF(ISNUMBER(SEARCH($G$1,INDEX(RTable[#All],MATCH(ActionTracker[[#All],[Lease Number]],RTable[[#All],[Lease Number]],0),5))),"x","")</f>
        <v/>
      </c>
      <c r="H91" s="51" t="str">
        <f>IF(ISNUMBER(SEARCH($H$1,INDEX(RTable[#All],MATCH(ActionTracker[[#All],[Lease Number]],RTable[[#All],[Lease Number]],0),5))),"x","")</f>
        <v/>
      </c>
      <c r="I91" s="51" t="str">
        <f>IF(ISNUMBER(SEARCH($I$1,INDEX(RTable[#All],MATCH(ActionTracker[[#All],[Lease Number]],RTable[[#All],[Lease Number]],0),5))),"x","")</f>
        <v/>
      </c>
      <c r="J91" s="51" t="str">
        <f>IF(ISNUMBER(SEARCH($J$1,INDEX(RTable[#All],MATCH(ActionTracker[[#All],[Lease Number]],RTable[[#All],[Lease Number]],0),5))),"x","")</f>
        <v/>
      </c>
      <c r="K91"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None</v>
      </c>
      <c r="L91" s="99" t="str">
        <f>IF(ISERROR(INDEX(ContactList[#All],MATCH(ActionTracker[[#All],[Lease Number]],ContactList[[#All],[Lease Number]],0),12)),"",INDEX(ContactList[#All],MATCH(ActionTracker[[#All],[Lease Number]],ContactList[[#All],[Lease Number]],0),12))</f>
        <v/>
      </c>
      <c r="M91" s="99" t="str">
        <f>IF(ISERROR(INDEX(ContactList[#All],MATCH(ActionTracker[[#All],[Lease Number]],ContactList[[#All],[Lease Number]],0),12)),"",INDEX(ContactList[#All],MATCH(ActionTracker[[#All],[Lease Number]],ContactList[[#All],[Lease Number]],0),13))</f>
        <v/>
      </c>
      <c r="N91" s="99" t="str">
        <f>IF(ISERROR(INDEX(ContactList[#All],MATCH(ActionTracker[[#All],[Lease Number]],ContactList[[#All],[Lease Number]],0),12)),"",INDEX(ContactList[#All],MATCH(ActionTracker[[#All],[Lease Number]],ContactList[[#All],[Lease Number]],0),14))</f>
        <v/>
      </c>
      <c r="O91" s="99" t="str">
        <f>IF(ISERROR(INDEX(ContactList[#All],MATCH(ActionTracker[[#All],[Lease Number]],ContactList[[#All],[Lease Number]],0),12)),"",INDEX(ContactList[#All],MATCH(ActionTracker[[#All],[Lease Number]],ContactList[[#All],[Lease Number]],0),15))</f>
        <v/>
      </c>
      <c r="P91" s="87"/>
      <c r="Q91" s="98"/>
    </row>
    <row r="92" spans="1:17" ht="28.5" x14ac:dyDescent="0.25">
      <c r="A92" s="86" t="s">
        <v>682</v>
      </c>
      <c r="B92" s="125" t="str">
        <f>IF(ISERROR(INDEX(RTable[#All],MATCH(ActionTracker[[#All],[Lease Number]],RTable[[#All],[Lease Number]],0),1)),"",INDEX(RTable[#All],MATCH(ActionTracker[[#All],[Lease Number]],RTable[[#All],[Lease Number]],0),1))</f>
        <v>Sharon Rozendaal</v>
      </c>
      <c r="C92" s="97" t="str">
        <f>IF(ISERROR(INDEX(RTable[#All],MATCH(ActionTracker[[#All],[Lease Number]],RTable[[#All],[Lease Number]],0),1)),"",INDEX(RTable[#All],MATCH(ActionTracker[[#All],[Lease Number]],RTable[[#All],[Lease Number]],0),2)&amp;", "&amp;INDEX(RTable[#All],MATCH(ActionTracker[[#All],[Lease Number]],RTable[[#All],[Lease Number]],0),3))</f>
        <v>750 West Broadway #701, Vancouver, B.C. V5Z 1H6</v>
      </c>
      <c r="D92" s="127" t="str">
        <f>IF(ISNUMBER(SEARCH($D$1,INDEX(RTable[#All],MATCH(ActionTracker[[#All],[Lease Number]],RTable[[#All],[Lease Number]],0),5))),"x","")</f>
        <v>x</v>
      </c>
      <c r="E92" s="127" t="str">
        <f>IF(ISNUMBER(SEARCH($E$1,INDEX(RTable[#All],MATCH(ActionTracker[[#All],[Lease Number]],RTable[[#All],[Lease Number]],0),5))),"x","")</f>
        <v>x</v>
      </c>
      <c r="F92" s="127" t="str">
        <f>IF(ISNUMBER(SEARCH($F$1,INDEX(RTable[#All],MATCH(ActionTracker[[#All],[Lease Number]],RTable[[#All],[Lease Number]],0),5))),"x","")</f>
        <v>x</v>
      </c>
      <c r="G92" s="127" t="str">
        <f>IF(ISNUMBER(SEARCH($G$1,INDEX(RTable[#All],MATCH(ActionTracker[[#All],[Lease Number]],RTable[[#All],[Lease Number]],0),5))),"x","")</f>
        <v>x</v>
      </c>
      <c r="H92" s="127" t="str">
        <f>IF(ISNUMBER(SEARCH($H$1,INDEX(RTable[#All],MATCH(ActionTracker[[#All],[Lease Number]],RTable[[#All],[Lease Number]],0),5))),"x","")</f>
        <v>x</v>
      </c>
      <c r="I92" s="127" t="str">
        <f>IF(ISNUMBER(SEARCH($I$1,INDEX(RTable[#All],MATCH(ActionTracker[[#All],[Lease Number]],RTable[[#All],[Lease Number]],0),5))),"x","")</f>
        <v>x</v>
      </c>
      <c r="J92" s="127" t="str">
        <f>IF(ISNUMBER(SEARCH($J$1,INDEX(RTable[#All],MATCH(ActionTracker[[#All],[Lease Number]],RTable[[#All],[Lease Number]],0),5))),"x","")</f>
        <v/>
      </c>
      <c r="K92"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Complete</v>
      </c>
      <c r="L92" s="126" t="str">
        <f>IF(ISERROR(INDEX(ContactList[#All],MATCH(ActionTracker[[#All],[Lease Number]],ContactList[[#All],[Lease Number]],0),12)),"",INDEX(ContactList[#All],MATCH(ActionTracker[[#All],[Lease Number]],ContactList[[#All],[Lease Number]],0),12))</f>
        <v>Sharon</v>
      </c>
      <c r="M92" s="126" t="str">
        <f>IF(ISERROR(INDEX(ContactList[#All],MATCH(ActionTracker[[#All],[Lease Number]],ContactList[[#All],[Lease Number]],0),12)),"",INDEX(ContactList[#All],MATCH(ActionTracker[[#All],[Lease Number]],ContactList[[#All],[Lease Number]],0),13))</f>
        <v>Rozendaal</v>
      </c>
      <c r="N92" s="126" t="str">
        <f>IF(ISERROR(INDEX(ContactList[#All],MATCH(ActionTracker[[#All],[Lease Number]],ContactList[[#All],[Lease Number]],0),12)),"",INDEX(ContactList[#All],MATCH(ActionTracker[[#All],[Lease Number]],ContactList[[#All],[Lease Number]],0),14))</f>
        <v>sharonr@petersonbc.com</v>
      </c>
      <c r="O92" s="126" t="str">
        <f>IF(ISERROR(INDEX(ContactList[#All],MATCH(ActionTracker[[#All],[Lease Number]],ContactList[[#All],[Lease Number]],0),12)),"",INDEX(ContactList[#All],MATCH(ActionTracker[[#All],[Lease Number]],ContactList[[#All],[Lease Number]],0),15))</f>
        <v>604 872 4540</v>
      </c>
      <c r="P92" s="87"/>
      <c r="Q92" s="98"/>
    </row>
    <row r="93" spans="1:17" ht="28.5" x14ac:dyDescent="0.25">
      <c r="A93" s="86" t="s">
        <v>1109</v>
      </c>
      <c r="B93" s="125" t="str">
        <f>IF(ISERROR(INDEX(RTable[#All],MATCH(ActionTracker[[#All],[Lease Number]],RTable[[#All],[Lease Number]],0),1)),"",INDEX(RTable[#All],MATCH(ActionTracker[[#All],[Lease Number]],RTable[[#All],[Lease Number]],0),1))</f>
        <v>Dr. Damian White</v>
      </c>
      <c r="C93" s="97" t="str">
        <f>IF(ISERROR(INDEX(RTable[#All],MATCH(ActionTracker[[#All],[Lease Number]],RTable[[#All],[Lease Number]],0),1)),"",INDEX(RTable[#All],MATCH(ActionTracker[[#All],[Lease Number]],RTable[[#All],[Lease Number]],0),2)&amp;", "&amp;INDEX(RTable[#All],MATCH(ActionTracker[[#All],[Lease Number]],RTable[[#All],[Lease Number]],0),3))</f>
        <v>Maple Way Port #106, Port Alberni, B.C. V9Y 0B2</v>
      </c>
      <c r="D93" s="127" t="str">
        <f>IF(ISNUMBER(SEARCH($D$1,INDEX(RTable[#All],MATCH(ActionTracker[[#All],[Lease Number]],RTable[[#All],[Lease Number]],0),5))),"x","")</f>
        <v>x</v>
      </c>
      <c r="E93" s="127" t="str">
        <f>IF(ISNUMBER(SEARCH($E$1,INDEX(RTable[#All],MATCH(ActionTracker[[#All],[Lease Number]],RTable[[#All],[Lease Number]],0),5))),"x","")</f>
        <v/>
      </c>
      <c r="F93" s="127" t="str">
        <f>IF(ISNUMBER(SEARCH($F$1,INDEX(RTable[#All],MATCH(ActionTracker[[#All],[Lease Number]],RTable[[#All],[Lease Number]],0),5))),"x","")</f>
        <v/>
      </c>
      <c r="G93" s="127" t="str">
        <f>IF(ISNUMBER(SEARCH($G$1,INDEX(RTable[#All],MATCH(ActionTracker[[#All],[Lease Number]],RTable[[#All],[Lease Number]],0),5))),"x","")</f>
        <v>x</v>
      </c>
      <c r="H93" s="127" t="str">
        <f>IF(ISNUMBER(SEARCH($H$1,INDEX(RTable[#All],MATCH(ActionTracker[[#All],[Lease Number]],RTable[[#All],[Lease Number]],0),5))),"x","")</f>
        <v>x</v>
      </c>
      <c r="I93" s="127" t="str">
        <f>IF(ISNUMBER(SEARCH($I$1,INDEX(RTable[#All],MATCH(ActionTracker[[#All],[Lease Number]],RTable[[#All],[Lease Number]],0),5))),"x","")</f>
        <v/>
      </c>
      <c r="J93" s="127" t="str">
        <f>IF(ISNUMBER(SEARCH($J$1,INDEX(RTable[#All],MATCH(ActionTracker[[#All],[Lease Number]],RTable[[#All],[Lease Number]],0),5))),"x","")</f>
        <v/>
      </c>
      <c r="K93"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93" s="126" t="str">
        <f>IF(ISERROR(INDEX(ContactList[#All],MATCH(ActionTracker[[#All],[Lease Number]],ContactList[[#All],[Lease Number]],0),12)),"",INDEX(ContactList[#All],MATCH(ActionTracker[[#All],[Lease Number]],ContactList[[#All],[Lease Number]],0),12))</f>
        <v>Damian</v>
      </c>
      <c r="M93" s="126" t="str">
        <f>IF(ISERROR(INDEX(ContactList[#All],MATCH(ActionTracker[[#All],[Lease Number]],ContactList[[#All],[Lease Number]],0),12)),"",INDEX(ContactList[#All],MATCH(ActionTracker[[#All],[Lease Number]],ContactList[[#All],[Lease Number]],0),13))</f>
        <v>Dr. White</v>
      </c>
      <c r="N93" s="126" t="str">
        <f>IF(ISERROR(INDEX(ContactList[#All],MATCH(ActionTracker[[#All],[Lease Number]],ContactList[[#All],[Lease Number]],0),12)),"",INDEX(ContactList[#All],MATCH(ActionTracker[[#All],[Lease Number]],ContactList[[#All],[Lease Number]],0),14))</f>
        <v>dadewhite@shaw.ca</v>
      </c>
      <c r="O93" s="126" t="str">
        <f>IF(ISERROR(INDEX(ContactList[#All],MATCH(ActionTracker[[#All],[Lease Number]],ContactList[[#All],[Lease Number]],0),12)),"",INDEX(ContactList[#All],MATCH(ActionTracker[[#All],[Lease Number]],ContactList[[#All],[Lease Number]],0),15))</f>
        <v>250 723 3581</v>
      </c>
      <c r="P93" s="87"/>
      <c r="Q93" s="98"/>
    </row>
    <row r="94" spans="1:17" ht="28.5" x14ac:dyDescent="0.25">
      <c r="A94" s="86" t="s">
        <v>1028</v>
      </c>
      <c r="B94" s="125" t="str">
        <f>IF(ISERROR(INDEX(RTable[#All],MATCH(ActionTracker[[#All],[Lease Number]],RTable[[#All],[Lease Number]],0),1)),"",INDEX(RTable[#All],MATCH(ActionTracker[[#All],[Lease Number]],RTable[[#All],[Lease Number]],0),1))</f>
        <v>Barry Holmes</v>
      </c>
      <c r="C94" s="97" t="str">
        <f>IF(ISERROR(INDEX(RTable[#All],MATCH(ActionTracker[[#All],[Lease Number]],RTable[[#All],[Lease Number]],0),1)),"",INDEX(RTable[#All],MATCH(ActionTracker[[#All],[Lease Number]],RTable[[#All],[Lease Number]],0),2)&amp;", "&amp;INDEX(RTable[#All],MATCH(ActionTracker[[#All],[Lease Number]],RTable[[#All],[Lease Number]],0),3))</f>
        <v>#101-17760 56th Avenue, Surrey, B.C. V3S 1C7</v>
      </c>
      <c r="D94" s="127" t="str">
        <f>IF(ISNUMBER(SEARCH($D$1,INDEX(RTable[#All],MATCH(ActionTracker[[#All],[Lease Number]],RTable[[#All],[Lease Number]],0),5))),"x","")</f>
        <v/>
      </c>
      <c r="E94" s="127" t="str">
        <f>IF(ISNUMBER(SEARCH($E$1,INDEX(RTable[#All],MATCH(ActionTracker[[#All],[Lease Number]],RTable[[#All],[Lease Number]],0),5))),"x","")</f>
        <v/>
      </c>
      <c r="F94" s="127" t="str">
        <f>IF(ISNUMBER(SEARCH($F$1,INDEX(RTable[#All],MATCH(ActionTracker[[#All],[Lease Number]],RTable[[#All],[Lease Number]],0),5))),"x","")</f>
        <v/>
      </c>
      <c r="G94" s="127" t="str">
        <f>IF(ISNUMBER(SEARCH($G$1,INDEX(RTable[#All],MATCH(ActionTracker[[#All],[Lease Number]],RTable[[#All],[Lease Number]],0),5))),"x","")</f>
        <v>x</v>
      </c>
      <c r="H94" s="127" t="str">
        <f>IF(ISNUMBER(SEARCH($H$1,INDEX(RTable[#All],MATCH(ActionTracker[[#All],[Lease Number]],RTable[[#All],[Lease Number]],0),5))),"x","")</f>
        <v/>
      </c>
      <c r="I94" s="127" t="str">
        <f>IF(ISNUMBER(SEARCH($I$1,INDEX(RTable[#All],MATCH(ActionTracker[[#All],[Lease Number]],RTable[[#All],[Lease Number]],0),5))),"x","")</f>
        <v>x</v>
      </c>
      <c r="J94" s="127" t="str">
        <f>IF(ISNUMBER(SEARCH($J$1,INDEX(RTable[#All],MATCH(ActionTracker[[#All],[Lease Number]],RTable[[#All],[Lease Number]],0),5))),"x","")</f>
        <v/>
      </c>
      <c r="K94"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94" s="126" t="str">
        <f>IF(ISERROR(INDEX(ContactList[#All],MATCH(ActionTracker[[#All],[Lease Number]],ContactList[[#All],[Lease Number]],0),12)),"",INDEX(ContactList[#All],MATCH(ActionTracker[[#All],[Lease Number]],ContactList[[#All],[Lease Number]],0),12))</f>
        <v>Barry</v>
      </c>
      <c r="M94" s="126" t="str">
        <f>IF(ISERROR(INDEX(ContactList[#All],MATCH(ActionTracker[[#All],[Lease Number]],ContactList[[#All],[Lease Number]],0),12)),"",INDEX(ContactList[#All],MATCH(ActionTracker[[#All],[Lease Number]],ContactList[[#All],[Lease Number]],0),13))</f>
        <v>Holmes</v>
      </c>
      <c r="N94" s="126" t="str">
        <f>IF(ISERROR(INDEX(ContactList[#All],MATCH(ActionTracker[[#All],[Lease Number]],ContactList[[#All],[Lease Number]],0),12)),"",INDEX(ContactList[#All],MATCH(ActionTracker[[#All],[Lease Number]],ContactList[[#All],[Lease Number]],0),14))</f>
        <v>barry.holmes@colliers.com</v>
      </c>
      <c r="O94" s="126" t="str">
        <f>IF(ISERROR(INDEX(ContactList[#All],MATCH(ActionTracker[[#All],[Lease Number]],ContactList[[#All],[Lease Number]],0),12)),"",INDEX(ContactList[#All],MATCH(ActionTracker[[#All],[Lease Number]],ContactList[[#All],[Lease Number]],0),15))</f>
        <v>604 662 2623</v>
      </c>
      <c r="P94" s="87"/>
      <c r="Q94" s="98"/>
    </row>
    <row r="95" spans="1:17" ht="28.5" x14ac:dyDescent="0.25">
      <c r="A95" s="86" t="s">
        <v>1083</v>
      </c>
      <c r="B95" s="125" t="str">
        <f>IF(ISERROR(INDEX(RTable[#All],MATCH(ActionTracker[[#All],[Lease Number]],RTable[[#All],[Lease Number]],0),1)),"",INDEX(RTable[#All],MATCH(ActionTracker[[#All],[Lease Number]],RTable[[#All],[Lease Number]],0),1))</f>
        <v>Tom Hiatt</v>
      </c>
      <c r="C95" s="97" t="str">
        <f>IF(ISERROR(INDEX(RTable[#All],MATCH(ActionTracker[[#All],[Lease Number]],RTable[[#All],[Lease Number]],0),1)),"",INDEX(RTable[#All],MATCH(ActionTracker[[#All],[Lease Number]],RTable[[#All],[Lease Number]],0),2)&amp;", "&amp;INDEX(RTable[#All],MATCH(ActionTracker[[#All],[Lease Number]],RTable[[#All],[Lease Number]],0),3))</f>
        <v>Ste 118 - 1100 Sunshine Coast Hwy, Gibsons, B.C. V0N 1V0</v>
      </c>
      <c r="D95" s="127" t="str">
        <f>IF(ISNUMBER(SEARCH($D$1,INDEX(RTable[#All],MATCH(ActionTracker[[#All],[Lease Number]],RTable[[#All],[Lease Number]],0),5))),"x","")</f>
        <v/>
      </c>
      <c r="E95" s="127" t="str">
        <f>IF(ISNUMBER(SEARCH($E$1,INDEX(RTable[#All],MATCH(ActionTracker[[#All],[Lease Number]],RTable[[#All],[Lease Number]],0),5))),"x","")</f>
        <v/>
      </c>
      <c r="F95" s="127" t="str">
        <f>IF(ISNUMBER(SEARCH($F$1,INDEX(RTable[#All],MATCH(ActionTracker[[#All],[Lease Number]],RTable[[#All],[Lease Number]],0),5))),"x","")</f>
        <v/>
      </c>
      <c r="G95" s="127" t="str">
        <f>IF(ISNUMBER(SEARCH($G$1,INDEX(RTable[#All],MATCH(ActionTracker[[#All],[Lease Number]],RTable[[#All],[Lease Number]],0),5))),"x","")</f>
        <v>x</v>
      </c>
      <c r="H95" s="127" t="str">
        <f>IF(ISNUMBER(SEARCH($H$1,INDEX(RTable[#All],MATCH(ActionTracker[[#All],[Lease Number]],RTable[[#All],[Lease Number]],0),5))),"x","")</f>
        <v/>
      </c>
      <c r="I95" s="127" t="str">
        <f>IF(ISNUMBER(SEARCH($I$1,INDEX(RTable[#All],MATCH(ActionTracker[[#All],[Lease Number]],RTable[[#All],[Lease Number]],0),5))),"x","")</f>
        <v/>
      </c>
      <c r="J95" s="127" t="str">
        <f>IF(ISNUMBER(SEARCH($J$1,INDEX(RTable[#All],MATCH(ActionTracker[[#All],[Lease Number]],RTable[[#All],[Lease Number]],0),5))),"x","")</f>
        <v/>
      </c>
      <c r="K95"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95" s="126" t="str">
        <f>IF(ISERROR(INDEX(ContactList[#All],MATCH(ActionTracker[[#All],[Lease Number]],ContactList[[#All],[Lease Number]],0),12)),"",INDEX(ContactList[#All],MATCH(ActionTracker[[#All],[Lease Number]],ContactList[[#All],[Lease Number]],0),12))</f>
        <v>Kevin</v>
      </c>
      <c r="M95" s="126" t="str">
        <f>IF(ISERROR(INDEX(ContactList[#All],MATCH(ActionTracker[[#All],[Lease Number]],ContactList[[#All],[Lease Number]],0),12)),"",INDEX(ContactList[#All],MATCH(ActionTracker[[#All],[Lease Number]],ContactList[[#All],[Lease Number]],0),13))</f>
        <v>Wong</v>
      </c>
      <c r="N95" s="126" t="str">
        <f>IF(ISERROR(INDEX(ContactList[#All],MATCH(ActionTracker[[#All],[Lease Number]],ContactList[[#All],[Lease Number]],0),12)),"",INDEX(ContactList[#All],MATCH(ActionTracker[[#All],[Lease Number]],ContactList[[#All],[Lease Number]],0),14))</f>
        <v>kwong@wesbild.com</v>
      </c>
      <c r="O95" s="126" t="str">
        <f>IF(ISERROR(INDEX(ContactList[#All],MATCH(ActionTracker[[#All],[Lease Number]],ContactList[[#All],[Lease Number]],0),12)),"",INDEX(ContactList[#All],MATCH(ActionTracker[[#All],[Lease Number]],ContactList[[#All],[Lease Number]],0),15))</f>
        <v>604 694 8825</v>
      </c>
      <c r="P95" s="87"/>
      <c r="Q95" s="98"/>
    </row>
    <row r="96" spans="1:17" ht="30" x14ac:dyDescent="0.25">
      <c r="A96" s="86" t="s">
        <v>1130</v>
      </c>
      <c r="B96" s="125" t="str">
        <f>IF(ISERROR(INDEX(RTable[#All],MATCH(ActionTracker[[#All],[Lease Number]],RTable[[#All],[Lease Number]],0),1)),"",INDEX(RTable[#All],MATCH(ActionTracker[[#All],[Lease Number]],RTable[[#All],[Lease Number]],0),1))</f>
        <v>Cathy Mihailides (McCor Management)</v>
      </c>
      <c r="C96" s="97" t="str">
        <f>IF(ISERROR(INDEX(RTable[#All],MATCH(ActionTracker[[#All],[Lease Number]],RTable[[#All],[Lease Number]],0),1)),"",INDEX(RTable[#All],MATCH(ActionTracker[[#All],[Lease Number]],RTable[[#All],[Lease Number]],0),2)&amp;", "&amp;INDEX(RTable[#All],MATCH(ActionTracker[[#All],[Lease Number]],RTable[[#All],[Lease Number]],0),3))</f>
        <v>845 Marine Drive, North Vancouver, B.C. V7P 3K6</v>
      </c>
      <c r="D96" s="127" t="str">
        <f>IF(ISNUMBER(SEARCH($D$1,INDEX(RTable[#All],MATCH(ActionTracker[[#All],[Lease Number]],RTable[[#All],[Lease Number]],0),5))),"x","")</f>
        <v/>
      </c>
      <c r="E96" s="127" t="str">
        <f>IF(ISNUMBER(SEARCH($E$1,INDEX(RTable[#All],MATCH(ActionTracker[[#All],[Lease Number]],RTable[[#All],[Lease Number]],0),5))),"x","")</f>
        <v>x</v>
      </c>
      <c r="F96" s="127" t="str">
        <f>IF(ISNUMBER(SEARCH($F$1,INDEX(RTable[#All],MATCH(ActionTracker[[#All],[Lease Number]],RTable[[#All],[Lease Number]],0),5))),"x","")</f>
        <v/>
      </c>
      <c r="G96" s="127" t="str">
        <f>IF(ISNUMBER(SEARCH($G$1,INDEX(RTable[#All],MATCH(ActionTracker[[#All],[Lease Number]],RTable[[#All],[Lease Number]],0),5))),"x","")</f>
        <v>x</v>
      </c>
      <c r="H96" s="127" t="str">
        <f>IF(ISNUMBER(SEARCH($H$1,INDEX(RTable[#All],MATCH(ActionTracker[[#All],[Lease Number]],RTable[[#All],[Lease Number]],0),5))),"x","")</f>
        <v>x</v>
      </c>
      <c r="I96" s="127" t="str">
        <f>IF(ISNUMBER(SEARCH($I$1,INDEX(RTable[#All],MATCH(ActionTracker[[#All],[Lease Number]],RTable[[#All],[Lease Number]],0),5))),"x","")</f>
        <v>x</v>
      </c>
      <c r="J96" s="127" t="str">
        <f>IF(ISNUMBER(SEARCH($J$1,INDEX(RTable[#All],MATCH(ActionTracker[[#All],[Lease Number]],RTable[[#All],[Lease Number]],0),5))),"x","")</f>
        <v/>
      </c>
      <c r="K96"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96" s="126" t="str">
        <f>IF(ISERROR(INDEX(ContactList[#All],MATCH(ActionTracker[[#All],[Lease Number]],ContactList[[#All],[Lease Number]],0),12)),"",INDEX(ContactList[#All],MATCH(ActionTracker[[#All],[Lease Number]],ContactList[[#All],[Lease Number]],0),12))</f>
        <v>Cathy</v>
      </c>
      <c r="M96" s="126" t="str">
        <f>IF(ISERROR(INDEX(ContactList[#All],MATCH(ActionTracker[[#All],[Lease Number]],ContactList[[#All],[Lease Number]],0),12)),"",INDEX(ContactList[#All],MATCH(ActionTracker[[#All],[Lease Number]],ContactList[[#All],[Lease Number]],0),13))</f>
        <v>Mihailides</v>
      </c>
      <c r="N96" s="126" t="str">
        <f>IF(ISERROR(INDEX(ContactList[#All],MATCH(ActionTracker[[#All],[Lease Number]],ContactList[[#All],[Lease Number]],0),12)),"",INDEX(ContactList[#All],MATCH(ActionTracker[[#All],[Lease Number]],ContactList[[#All],[Lease Number]],0),14))</f>
        <v>Cmihailides@nwe.ca</v>
      </c>
      <c r="O96" s="126" t="str">
        <f>IF(ISERROR(INDEX(ContactList[#All],MATCH(ActionTracker[[#All],[Lease Number]],ContactList[[#All],[Lease Number]],0),12)),"",INDEX(ContactList[#All],MATCH(ActionTracker[[#All],[Lease Number]],ContactList[[#All],[Lease Number]],0),15))</f>
        <v>604 683 7133</v>
      </c>
      <c r="P96" s="87"/>
      <c r="Q96" s="98"/>
    </row>
    <row r="97" spans="1:17" ht="28.5" x14ac:dyDescent="0.25">
      <c r="A97" s="86" t="s">
        <v>752</v>
      </c>
      <c r="B97" s="125" t="str">
        <f>IF(ISERROR(INDEX(RTable[#All],MATCH(ActionTracker[[#All],[Lease Number]],RTable[[#All],[Lease Number]],0),1)),"",INDEX(RTable[#All],MATCH(ActionTracker[[#All],[Lease Number]],RTable[[#All],[Lease Number]],0),1))</f>
        <v>Camille Poon</v>
      </c>
      <c r="C97" s="97" t="str">
        <f>IF(ISERROR(INDEX(RTable[#All],MATCH(ActionTracker[[#All],[Lease Number]],RTable[[#All],[Lease Number]],0),1)),"",INDEX(RTable[#All],MATCH(ActionTracker[[#All],[Lease Number]],RTable[[#All],[Lease Number]],0),2)&amp;", "&amp;INDEX(RTable[#All],MATCH(ActionTracker[[#All],[Lease Number]],RTable[[#All],[Lease Number]],0),3))</f>
        <v>6540 Fraser St, Vancouver, B.C. V5X 3T3</v>
      </c>
      <c r="D97" s="127" t="str">
        <f>IF(ISNUMBER(SEARCH($D$1,INDEX(RTable[#All],MATCH(ActionTracker[[#All],[Lease Number]],RTable[[#All],[Lease Number]],0),5))),"x","")</f>
        <v>x</v>
      </c>
      <c r="E97" s="127" t="str">
        <f>IF(ISNUMBER(SEARCH($E$1,INDEX(RTable[#All],MATCH(ActionTracker[[#All],[Lease Number]],RTable[[#All],[Lease Number]],0),5))),"x","")</f>
        <v>x</v>
      </c>
      <c r="F97" s="127" t="str">
        <f>IF(ISNUMBER(SEARCH($F$1,INDEX(RTable[#All],MATCH(ActionTracker[[#All],[Lease Number]],RTable[[#All],[Lease Number]],0),5))),"x","")</f>
        <v>x</v>
      </c>
      <c r="G97" s="127" t="str">
        <f>IF(ISNUMBER(SEARCH($G$1,INDEX(RTable[#All],MATCH(ActionTracker[[#All],[Lease Number]],RTable[[#All],[Lease Number]],0),5))),"x","")</f>
        <v>x</v>
      </c>
      <c r="H97" s="127" t="str">
        <f>IF(ISNUMBER(SEARCH($H$1,INDEX(RTable[#All],MATCH(ActionTracker[[#All],[Lease Number]],RTable[[#All],[Lease Number]],0),5))),"x","")</f>
        <v>x</v>
      </c>
      <c r="I97" s="127" t="str">
        <f>IF(ISNUMBER(SEARCH($I$1,INDEX(RTable[#All],MATCH(ActionTracker[[#All],[Lease Number]],RTable[[#All],[Lease Number]],0),5))),"x","")</f>
        <v>x</v>
      </c>
      <c r="J97" s="127" t="str">
        <f>IF(ISNUMBER(SEARCH($J$1,INDEX(RTable[#All],MATCH(ActionTracker[[#All],[Lease Number]],RTable[[#All],[Lease Number]],0),5))),"x","")</f>
        <v/>
      </c>
      <c r="K97"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Complete</v>
      </c>
      <c r="L97" s="126" t="str">
        <f>IF(ISERROR(INDEX(ContactList[#All],MATCH(ActionTracker[[#All],[Lease Number]],ContactList[[#All],[Lease Number]],0),12)),"",INDEX(ContactList[#All],MATCH(ActionTracker[[#All],[Lease Number]],ContactList[[#All],[Lease Number]],0),12))</f>
        <v>Karen</v>
      </c>
      <c r="M97" s="126" t="str">
        <f>IF(ISERROR(INDEX(ContactList[#All],MATCH(ActionTracker[[#All],[Lease Number]],ContactList[[#All],[Lease Number]],0),12)),"",INDEX(ContactList[#All],MATCH(ActionTracker[[#All],[Lease Number]],ContactList[[#All],[Lease Number]],0),13))</f>
        <v>Woo</v>
      </c>
      <c r="N97" s="126" t="str">
        <f>IF(ISERROR(INDEX(ContactList[#All],MATCH(ActionTracker[[#All],[Lease Number]],ContactList[[#All],[Lease Number]],0),12)),"",INDEX(ContactList[#All],MATCH(ActionTracker[[#All],[Lease Number]],ContactList[[#All],[Lease Number]],0),14))</f>
        <v>karen@kapmanagement.com; camille@kapmanagement.com</v>
      </c>
      <c r="O97" s="126" t="str">
        <f>IF(ISERROR(INDEX(ContactList[#All],MATCH(ActionTracker[[#All],[Lease Number]],ContactList[[#All],[Lease Number]],0),12)),"",INDEX(ContactList[#All],MATCH(ActionTracker[[#All],[Lease Number]],ContactList[[#All],[Lease Number]],0),15))</f>
        <v>604 669 9398</v>
      </c>
      <c r="P97" s="87"/>
      <c r="Q97" s="98"/>
    </row>
    <row r="98" spans="1:17" ht="16.5" customHeight="1" x14ac:dyDescent="0.25">
      <c r="A98" s="86" t="s">
        <v>1213</v>
      </c>
      <c r="B98" s="125" t="str">
        <f>IF(ISERROR(INDEX(RTable[#All],MATCH(ActionTracker[[#All],[Lease Number]],RTable[[#All],[Lease Number]],0),1)),"",INDEX(RTable[#All],MATCH(ActionTracker[[#All],[Lease Number]],RTable[[#All],[Lease Number]],0),1))</f>
        <v>Lynn Bastien</v>
      </c>
      <c r="C98" s="97" t="str">
        <f>IF(ISERROR(INDEX(RTable[#All],MATCH(ActionTracker[[#All],[Lease Number]],RTable[[#All],[Lease Number]],0),1)),"",INDEX(RTable[#All],MATCH(ActionTracker[[#All],[Lease Number]],RTable[[#All],[Lease Number]],0),2)&amp;", "&amp;INDEX(RTable[#All],MATCH(ActionTracker[[#All],[Lease Number]],RTable[[#All],[Lease Number]],0),3))</f>
        <v>370 Davis Road, Ladysmith, B.C. V9G 1T9</v>
      </c>
      <c r="D98" s="127" t="str">
        <f>IF(ISNUMBER(SEARCH($D$1,INDEX(RTable[#All],MATCH(ActionTracker[[#All],[Lease Number]],RTable[[#All],[Lease Number]],0),5))),"x","")</f>
        <v/>
      </c>
      <c r="E98" s="127" t="str">
        <f>IF(ISNUMBER(SEARCH($E$1,INDEX(RTable[#All],MATCH(ActionTracker[[#All],[Lease Number]],RTable[[#All],[Lease Number]],0),5))),"x","")</f>
        <v/>
      </c>
      <c r="F98" s="127" t="str">
        <f>IF(ISNUMBER(SEARCH($F$1,INDEX(RTable[#All],MATCH(ActionTracker[[#All],[Lease Number]],RTable[[#All],[Lease Number]],0),5))),"x","")</f>
        <v/>
      </c>
      <c r="G98" s="127" t="str">
        <f>IF(ISNUMBER(SEARCH($G$1,INDEX(RTable[#All],MATCH(ActionTracker[[#All],[Lease Number]],RTable[[#All],[Lease Number]],0),5))),"x","")</f>
        <v>x</v>
      </c>
      <c r="H98" s="127" t="str">
        <f>IF(ISNUMBER(SEARCH($H$1,INDEX(RTable[#All],MATCH(ActionTracker[[#All],[Lease Number]],RTable[[#All],[Lease Number]],0),5))),"x","")</f>
        <v/>
      </c>
      <c r="I98" s="127" t="str">
        <f>IF(ISNUMBER(SEARCH($I$1,INDEX(RTable[#All],MATCH(ActionTracker[[#All],[Lease Number]],RTable[[#All],[Lease Number]],0),5))),"x","")</f>
        <v/>
      </c>
      <c r="J98" s="127" t="str">
        <f>IF(ISNUMBER(SEARCH($J$1,INDEX(RTable[#All],MATCH(ActionTracker[[#All],[Lease Number]],RTable[[#All],[Lease Number]],0),5))),"x","")</f>
        <v/>
      </c>
      <c r="K98"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98" s="126" t="str">
        <f>IF(ISERROR(INDEX(ContactList[#All],MATCH(ActionTracker[[#All],[Lease Number]],ContactList[[#All],[Lease Number]],0),12)),"",INDEX(ContactList[#All],MATCH(ActionTracker[[#All],[Lease Number]],ContactList[[#All],[Lease Number]],0),12))</f>
        <v>Deb</v>
      </c>
      <c r="M98" s="126" t="str">
        <f>IF(ISERROR(INDEX(ContactList[#All],MATCH(ActionTracker[[#All],[Lease Number]],ContactList[[#All],[Lease Number]],0),12)),"",INDEX(ContactList[#All],MATCH(ActionTracker[[#All],[Lease Number]],ContactList[[#All],[Lease Number]],0),13))</f>
        <v>Moore</v>
      </c>
      <c r="N98" s="126" t="str">
        <f>IF(ISERROR(INDEX(ContactList[#All],MATCH(ActionTracker[[#All],[Lease Number]],ContactList[[#All],[Lease Number]],0),12)),"",INDEX(ContactList[#All],MATCH(ActionTracker[[#All],[Lease Number]],ContactList[[#All],[Lease Number]],0),14))</f>
        <v>service@riserrealty.com</v>
      </c>
      <c r="O98" s="126" t="str">
        <f>IF(ISERROR(INDEX(ContactList[#All],MATCH(ActionTracker[[#All],[Lease Number]],ContactList[[#All],[Lease Number]],0),12)),"",INDEX(ContactList[#All],MATCH(ActionTracker[[#All],[Lease Number]],ContactList[[#All],[Lease Number]],0),15))</f>
        <v>250 999 9876</v>
      </c>
      <c r="P98" s="87"/>
      <c r="Q98" s="98"/>
    </row>
    <row r="99" spans="1:17" ht="28.5" x14ac:dyDescent="0.25">
      <c r="A99" s="86" t="s">
        <v>791</v>
      </c>
      <c r="B99" s="125" t="str">
        <f>IF(ISERROR(INDEX(RTable[#All],MATCH(ActionTracker[[#All],[Lease Number]],RTable[[#All],[Lease Number]],0),1)),"",INDEX(RTable[#All],MATCH(ActionTracker[[#All],[Lease Number]],RTable[[#All],[Lease Number]],0),1))</f>
        <v>Karin Fung</v>
      </c>
      <c r="C99" s="97" t="str">
        <f>IF(ISERROR(INDEX(RTable[#All],MATCH(ActionTracker[[#All],[Lease Number]],RTable[[#All],[Lease Number]],0),1)),"",INDEX(RTable[#All],MATCH(ActionTracker[[#All],[Lease Number]],RTable[[#All],[Lease Number]],0),2)&amp;", "&amp;INDEX(RTable[#All],MATCH(ActionTracker[[#All],[Lease Number]],RTable[[#All],[Lease Number]],0),3))</f>
        <v>215-1916 Lonsdale, North Vancouver, B.C. V7M 2K1</v>
      </c>
      <c r="D99" s="127" t="str">
        <f>IF(ISNUMBER(SEARCH($D$1,INDEX(RTable[#All],MATCH(ActionTracker[[#All],[Lease Number]],RTable[[#All],[Lease Number]],0),5))),"x","")</f>
        <v>x</v>
      </c>
      <c r="E99" s="127" t="str">
        <f>IF(ISNUMBER(SEARCH($E$1,INDEX(RTable[#All],MATCH(ActionTracker[[#All],[Lease Number]],RTable[[#All],[Lease Number]],0),5))),"x","")</f>
        <v>x</v>
      </c>
      <c r="F99" s="127" t="str">
        <f>IF(ISNUMBER(SEARCH($F$1,INDEX(RTable[#All],MATCH(ActionTracker[[#All],[Lease Number]],RTable[[#All],[Lease Number]],0),5))),"x","")</f>
        <v>x</v>
      </c>
      <c r="G99" s="127" t="str">
        <f>IF(ISNUMBER(SEARCH($G$1,INDEX(RTable[#All],MATCH(ActionTracker[[#All],[Lease Number]],RTable[[#All],[Lease Number]],0),5))),"x","")</f>
        <v>x</v>
      </c>
      <c r="H99" s="127" t="str">
        <f>IF(ISNUMBER(SEARCH($H$1,INDEX(RTable[#All],MATCH(ActionTracker[[#All],[Lease Number]],RTable[[#All],[Lease Number]],0),5))),"x","")</f>
        <v>x</v>
      </c>
      <c r="I99" s="127" t="str">
        <f>IF(ISNUMBER(SEARCH($I$1,INDEX(RTable[#All],MATCH(ActionTracker[[#All],[Lease Number]],RTable[[#All],[Lease Number]],0),5))),"x","")</f>
        <v>x</v>
      </c>
      <c r="J99" s="127" t="str">
        <f>IF(ISNUMBER(SEARCH($J$1,INDEX(RTable[#All],MATCH(ActionTracker[[#All],[Lease Number]],RTable[[#All],[Lease Number]],0),5))),"x","")</f>
        <v/>
      </c>
      <c r="K99"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Complete</v>
      </c>
      <c r="L99" s="126" t="str">
        <f>IF(ISERROR(INDEX(ContactList[#All],MATCH(ActionTracker[[#All],[Lease Number]],ContactList[[#All],[Lease Number]],0),12)),"",INDEX(ContactList[#All],MATCH(ActionTracker[[#All],[Lease Number]],ContactList[[#All],[Lease Number]],0),12))</f>
        <v>Karin</v>
      </c>
      <c r="M99" s="126" t="str">
        <f>IF(ISERROR(INDEX(ContactList[#All],MATCH(ActionTracker[[#All],[Lease Number]],ContactList[[#All],[Lease Number]],0),12)),"",INDEX(ContactList[#All],MATCH(ActionTracker[[#All],[Lease Number]],ContactList[[#All],[Lease Number]],0),13))</f>
        <v>Fung</v>
      </c>
      <c r="N99" s="126" t="str">
        <f>IF(ISERROR(INDEX(ContactList[#All],MATCH(ActionTracker[[#All],[Lease Number]],ContactList[[#All],[Lease Number]],0),12)),"",INDEX(ContactList[#All],MATCH(ActionTracker[[#All],[Lease Number]],ContactList[[#All],[Lease Number]],0),14))</f>
        <v>kfung@warringtonpci.com</v>
      </c>
      <c r="O99" s="126" t="str">
        <f>IF(ISERROR(INDEX(ContactList[#All],MATCH(ActionTracker[[#All],[Lease Number]],ContactList[[#All],[Lease Number]],0),12)),"",INDEX(ContactList[#All],MATCH(ActionTracker[[#All],[Lease Number]],ContactList[[#All],[Lease Number]],0),15))</f>
        <v>604 331 5236</v>
      </c>
      <c r="P99" s="87"/>
      <c r="Q99" s="98"/>
    </row>
    <row r="100" spans="1:17" x14ac:dyDescent="0.25">
      <c r="A100" s="86" t="s">
        <v>2247</v>
      </c>
      <c r="B100" s="125" t="str">
        <f>IF(ISERROR(INDEX(RTable[#All],MATCH(ActionTracker[[#All],[Lease Number]],RTable[[#All],[Lease Number]],0),1)),"",INDEX(RTable[#All],MATCH(ActionTracker[[#All],[Lease Number]],RTable[[#All],[Lease Number]],0),1))</f>
        <v>Salim Kanani</v>
      </c>
      <c r="C100" s="97" t="str">
        <f>IF(ISERROR(INDEX(RTable[#All],MATCH(ActionTracker[[#All],[Lease Number]],RTable[[#All],[Lease Number]],0),1)),"",INDEX(RTable[#All],MATCH(ActionTracker[[#All],[Lease Number]],RTable[[#All],[Lease Number]],0),2)&amp;", "&amp;INDEX(RTable[#All],MATCH(ActionTracker[[#All],[Lease Number]],RTable[[#All],[Lease Number]],0),3))</f>
        <v>200 Lorraine Ave, Kitchener, O.N.</v>
      </c>
      <c r="D100" s="127" t="str">
        <f>IF(ISNUMBER(SEARCH($D$1,INDEX(RTable[#All],MATCH(ActionTracker[[#All],[Lease Number]],RTable[[#All],[Lease Number]],0),5))),"x","")</f>
        <v/>
      </c>
      <c r="E100" s="127" t="str">
        <f>IF(ISNUMBER(SEARCH($E$1,INDEX(RTable[#All],MATCH(ActionTracker[[#All],[Lease Number]],RTable[[#All],[Lease Number]],0),5))),"x","")</f>
        <v/>
      </c>
      <c r="F100" s="127" t="str">
        <f>IF(ISNUMBER(SEARCH($F$1,INDEX(RTable[#All],MATCH(ActionTracker[[#All],[Lease Number]],RTable[[#All],[Lease Number]],0),5))),"x","")</f>
        <v/>
      </c>
      <c r="G100" s="127" t="str">
        <f>IF(ISNUMBER(SEARCH($G$1,INDEX(RTable[#All],MATCH(ActionTracker[[#All],[Lease Number]],RTable[[#All],[Lease Number]],0),5))),"x","")</f>
        <v>x</v>
      </c>
      <c r="H100" s="127" t="str">
        <f>IF(ISNUMBER(SEARCH($H$1,INDEX(RTable[#All],MATCH(ActionTracker[[#All],[Lease Number]],RTable[[#All],[Lease Number]],0),5))),"x","")</f>
        <v/>
      </c>
      <c r="I100" s="127" t="str">
        <f>IF(ISNUMBER(SEARCH($I$1,INDEX(RTable[#All],MATCH(ActionTracker[[#All],[Lease Number]],RTable[[#All],[Lease Number]],0),5))),"x","")</f>
        <v/>
      </c>
      <c r="J100" s="127" t="str">
        <f>IF(ISNUMBER(SEARCH($J$1,INDEX(RTable[#All],MATCH(ActionTracker[[#All],[Lease Number]],RTable[[#All],[Lease Number]],0),5))),"x","")</f>
        <v/>
      </c>
      <c r="K100"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00" s="126" t="str">
        <f>IF(ISERROR(INDEX(ContactList[#All],MATCH(ActionTracker[[#All],[Lease Number]],ContactList[[#All],[Lease Number]],0),12)),"",INDEX(ContactList[#All],MATCH(ActionTracker[[#All],[Lease Number]],ContactList[[#All],[Lease Number]],0),12))</f>
        <v>Salim</v>
      </c>
      <c r="M100" s="126" t="str">
        <f>IF(ISERROR(INDEX(ContactList[#All],MATCH(ActionTracker[[#All],[Lease Number]],ContactList[[#All],[Lease Number]],0),12)),"",INDEX(ContactList[#All],MATCH(ActionTracker[[#All],[Lease Number]],ContactList[[#All],[Lease Number]],0),13))</f>
        <v>Kanani</v>
      </c>
      <c r="N100" s="126" t="str">
        <f>IF(ISERROR(INDEX(ContactList[#All],MATCH(ActionTracker[[#All],[Lease Number]],ContactList[[#All],[Lease Number]],0),12)),"",INDEX(ContactList[#All],MATCH(ActionTracker[[#All],[Lease Number]],ContactList[[#All],[Lease Number]],0),14))</f>
        <v>skanani@rogers.com</v>
      </c>
      <c r="O100" s="126" t="str">
        <f>IF(ISERROR(INDEX(ContactList[#All],MATCH(ActionTracker[[#All],[Lease Number]],ContactList[[#All],[Lease Number]],0),12)),"",INDEX(ContactList[#All],MATCH(ActionTracker[[#All],[Lease Number]],ContactList[[#All],[Lease Number]],0),15))</f>
        <v>519 496 6667</v>
      </c>
      <c r="P100" s="87"/>
      <c r="Q100" s="98"/>
    </row>
    <row r="101" spans="1:17" ht="30" x14ac:dyDescent="0.25">
      <c r="A101" s="86" t="s">
        <v>2781</v>
      </c>
      <c r="B101" s="125" t="str">
        <f>IF(ISERROR(INDEX(RTable[#All],MATCH(ActionTracker[[#All],[Lease Number]],RTable[[#All],[Lease Number]],0),1)),"",INDEX(RTable[#All],MATCH(ActionTracker[[#All],[Lease Number]],RTable[[#All],[Lease Number]],0),1))</f>
        <v>Petawawa Centennial Family Health Centre</v>
      </c>
      <c r="C101" s="97" t="str">
        <f>IF(ISERROR(INDEX(RTable[#All],MATCH(ActionTracker[[#All],[Lease Number]],RTable[[#All],[Lease Number]],0),1)),"",INDEX(RTable[#All],MATCH(ActionTracker[[#All],[Lease Number]],RTable[[#All],[Lease Number]],0),2)&amp;", "&amp;INDEX(RTable[#All],MATCH(ActionTracker[[#All],[Lease Number]],RTable[[#All],[Lease Number]],0),3))</f>
        <v>154 Civic Centre Rd, Petawawa, O.N</v>
      </c>
      <c r="D101" s="127" t="str">
        <f>IF(ISNUMBER(SEARCH($D$1,INDEX(RTable[#All],MATCH(ActionTracker[[#All],[Lease Number]],RTable[[#All],[Lease Number]],0),5))),"x","")</f>
        <v>x</v>
      </c>
      <c r="E101" s="127" t="str">
        <f>IF(ISNUMBER(SEARCH($E$1,INDEX(RTable[#All],MATCH(ActionTracker[[#All],[Lease Number]],RTable[[#All],[Lease Number]],0),5))),"x","")</f>
        <v>x</v>
      </c>
      <c r="F101" s="127" t="str">
        <f>IF(ISNUMBER(SEARCH($F$1,INDEX(RTable[#All],MATCH(ActionTracker[[#All],[Lease Number]],RTable[[#All],[Lease Number]],0),5))),"x","")</f>
        <v>x</v>
      </c>
      <c r="G101" s="127" t="str">
        <f>IF(ISNUMBER(SEARCH($G$1,INDEX(RTable[#All],MATCH(ActionTracker[[#All],[Lease Number]],RTable[[#All],[Lease Number]],0),5))),"x","")</f>
        <v>x</v>
      </c>
      <c r="H101" s="127" t="str">
        <f>IF(ISNUMBER(SEARCH($H$1,INDEX(RTable[#All],MATCH(ActionTracker[[#All],[Lease Number]],RTable[[#All],[Lease Number]],0),5))),"x","")</f>
        <v>x</v>
      </c>
      <c r="I101" s="127" t="str">
        <f>IF(ISNUMBER(SEARCH($I$1,INDEX(RTable[#All],MATCH(ActionTracker[[#All],[Lease Number]],RTable[[#All],[Lease Number]],0),5))),"x","")</f>
        <v>x</v>
      </c>
      <c r="J101" s="127" t="str">
        <f>IF(ISNUMBER(SEARCH($J$1,INDEX(RTable[#All],MATCH(ActionTracker[[#All],[Lease Number]],RTable[[#All],[Lease Number]],0),5))),"x","")</f>
        <v/>
      </c>
      <c r="K101"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Complete</v>
      </c>
      <c r="L101" s="126" t="str">
        <f>IF(ISERROR(INDEX(ContactList[#All],MATCH(ActionTracker[[#All],[Lease Number]],ContactList[[#All],[Lease Number]],0),12)),"",INDEX(ContactList[#All],MATCH(ActionTracker[[#All],[Lease Number]],ContactList[[#All],[Lease Number]],0),12))</f>
        <v>Judy</v>
      </c>
      <c r="M101" s="126" t="str">
        <f>IF(ISERROR(INDEX(ContactList[#All],MATCH(ActionTracker[[#All],[Lease Number]],ContactList[[#All],[Lease Number]],0),12)),"",INDEX(ContactList[#All],MATCH(ActionTracker[[#All],[Lease Number]],ContactList[[#All],[Lease Number]],0),13))</f>
        <v>Hill</v>
      </c>
      <c r="N101" s="126" t="str">
        <f>IF(ISERROR(INDEX(ContactList[#All],MATCH(ActionTracker[[#All],[Lease Number]],ContactList[[#All],[Lease Number]],0),12)),"",INDEX(ContactList[#All],MATCH(ActionTracker[[#All],[Lease Number]],ContactList[[#All],[Lease Number]],0),14))</f>
        <v>Judy.Hill@pcfhc.ca</v>
      </c>
      <c r="O101" s="126" t="str">
        <f>IF(ISERROR(INDEX(ContactList[#All],MATCH(ActionTracker[[#All],[Lease Number]],ContactList[[#All],[Lease Number]],0),12)),"",INDEX(ContactList[#All],MATCH(ActionTracker[[#All],[Lease Number]],ContactList[[#All],[Lease Number]],0),15))</f>
        <v>613-687-8504</v>
      </c>
      <c r="P101" s="87"/>
      <c r="Q101" s="98"/>
    </row>
    <row r="102" spans="1:17" ht="28.5" x14ac:dyDescent="0.25">
      <c r="A102" s="86" t="s">
        <v>3451</v>
      </c>
      <c r="B102" s="125" t="str">
        <f>IF(ISERROR(INDEX(RTable[#All],MATCH(ActionTracker[[#All],[Lease Number]],RTable[[#All],[Lease Number]],0),1)),"",INDEX(RTable[#All],MATCH(ActionTracker[[#All],[Lease Number]],RTable[[#All],[Lease Number]],0),1))</f>
        <v>CRECCAL INVESTMENTS LTD</v>
      </c>
      <c r="C102" s="97" t="str">
        <f>IF(ISERROR(INDEX(RTable[#All],MATCH(ActionTracker[[#All],[Lease Number]],RTable[[#All],[Lease Number]],0),1)),"",INDEX(RTable[#All],MATCH(ActionTracker[[#All],[Lease Number]],RTable[[#All],[Lease Number]],0),2)&amp;", "&amp;INDEX(RTable[#All],MATCH(ActionTracker[[#All],[Lease Number]],RTable[[#All],[Lease Number]],0),3))</f>
        <v>2340 DUNDAS ST WEST, UNIT G-27, Toronto, O.N.</v>
      </c>
      <c r="D102" s="127" t="str">
        <f>IF(ISNUMBER(SEARCH($D$1,INDEX(RTable[#All],MATCH(ActionTracker[[#All],[Lease Number]],RTable[[#All],[Lease Number]],0),5))),"x","")</f>
        <v>x</v>
      </c>
      <c r="E102" s="127" t="str">
        <f>IF(ISNUMBER(SEARCH($E$1,INDEX(RTable[#All],MATCH(ActionTracker[[#All],[Lease Number]],RTable[[#All],[Lease Number]],0),5))),"x","")</f>
        <v>x</v>
      </c>
      <c r="F102" s="127" t="str">
        <f>IF(ISNUMBER(SEARCH($F$1,INDEX(RTable[#All],MATCH(ActionTracker[[#All],[Lease Number]],RTable[[#All],[Lease Number]],0),5))),"x","")</f>
        <v>x</v>
      </c>
      <c r="G102" s="127" t="str">
        <f>IF(ISNUMBER(SEARCH($G$1,INDEX(RTable[#All],MATCH(ActionTracker[[#All],[Lease Number]],RTable[[#All],[Lease Number]],0),5))),"x","")</f>
        <v>x</v>
      </c>
      <c r="H102" s="127" t="str">
        <f>IF(ISNUMBER(SEARCH($H$1,INDEX(RTable[#All],MATCH(ActionTracker[[#All],[Lease Number]],RTable[[#All],[Lease Number]],0),5))),"x","")</f>
        <v>x</v>
      </c>
      <c r="I102" s="127" t="str">
        <f>IF(ISNUMBER(SEARCH($I$1,INDEX(RTable[#All],MATCH(ActionTracker[[#All],[Lease Number]],RTable[[#All],[Lease Number]],0),5))),"x","")</f>
        <v/>
      </c>
      <c r="J102" s="127" t="str">
        <f>IF(ISNUMBER(SEARCH($J$1,INDEX(RTable[#All],MATCH(ActionTracker[[#All],[Lease Number]],RTable[[#All],[Lease Number]],0),5))),"x","")</f>
        <v/>
      </c>
      <c r="K102"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102" s="126" t="str">
        <f>IF(ISERROR(INDEX(ContactList[#All],MATCH(ActionTracker[[#All],[Lease Number]],ContactList[[#All],[Lease Number]],0),12)),"",INDEX(ContactList[#All],MATCH(ActionTracker[[#All],[Lease Number]],ContactList[[#All],[Lease Number]],0),12))</f>
        <v>Luigi</v>
      </c>
      <c r="M102" s="126" t="str">
        <f>IF(ISERROR(INDEX(ContactList[#All],MATCH(ActionTracker[[#All],[Lease Number]],ContactList[[#All],[Lease Number]],0),12)),"",INDEX(ContactList[#All],MATCH(ActionTracker[[#All],[Lease Number]],ContactList[[#All],[Lease Number]],0),13))</f>
        <v>Di Geso</v>
      </c>
      <c r="N102" s="126" t="str">
        <f>IF(ISERROR(INDEX(ContactList[#All],MATCH(ActionTracker[[#All],[Lease Number]],ContactList[[#All],[Lease Number]],0),12)),"",INDEX(ContactList[#All],MATCH(ActionTracker[[#All],[Lease Number]],ContactList[[#All],[Lease Number]],0),14))</f>
        <v>ldigeso@creccal.com</v>
      </c>
      <c r="O102" s="126" t="str">
        <f>IF(ISERROR(INDEX(ContactList[#All],MATCH(ActionTracker[[#All],[Lease Number]],ContactList[[#All],[Lease Number]],0),12)),"",INDEX(ContactList[#All],MATCH(ActionTracker[[#All],[Lease Number]],ContactList[[#All],[Lease Number]],0),15))</f>
        <v>416-532-3331</v>
      </c>
      <c r="P102" s="87"/>
      <c r="Q102" s="98"/>
    </row>
    <row r="103" spans="1:17" ht="28.5" x14ac:dyDescent="0.25">
      <c r="A103" s="135" t="s">
        <v>2533</v>
      </c>
      <c r="B103" s="136" t="str">
        <f>IF(ISERROR(INDEX(RTable[#All],MATCH(ActionTracker[[#All],[Lease Number]],RTable[[#All],[Lease Number]],0),1)),"",INDEX(RTable[#All],MATCH(ActionTracker[[#All],[Lease Number]],RTable[[#All],[Lease Number]],0),1))</f>
        <v>Gillian Rice</v>
      </c>
      <c r="C103" s="140" t="str">
        <f>IF(ISERROR(INDEX(RTable[#All],MATCH(ActionTracker[[#All],[Lease Number]],RTable[[#All],[Lease Number]],0),1)),"",INDEX(RTable[#All],MATCH(ActionTracker[[#All],[Lease Number]],RTable[[#All],[Lease Number]],0),2)&amp;", "&amp;INDEX(RTable[#All],MATCH(ActionTracker[[#All],[Lease Number]],RTable[[#All],[Lease Number]],0),3))</f>
        <v xml:space="preserve">14 Ramblewood Drive, Wasaga Beach, Collingwood, O.N. </v>
      </c>
      <c r="D103" s="141" t="str">
        <f>IF(ISNUMBER(SEARCH($D$1,INDEX(RTable[#All],MATCH(ActionTracker[[#All],[Lease Number]],RTable[[#All],[Lease Number]],0),5))),"x","")</f>
        <v>x</v>
      </c>
      <c r="E103" s="141" t="str">
        <f>IF(ISNUMBER(SEARCH($E$1,INDEX(RTable[#All],MATCH(ActionTracker[[#All],[Lease Number]],RTable[[#All],[Lease Number]],0),5))),"x","")</f>
        <v>x</v>
      </c>
      <c r="F103" s="141" t="str">
        <f>IF(ISNUMBER(SEARCH($F$1,INDEX(RTable[#All],MATCH(ActionTracker[[#All],[Lease Number]],RTable[[#All],[Lease Number]],0),5))),"x","")</f>
        <v>x</v>
      </c>
      <c r="G103" s="141" t="str">
        <f>IF(ISNUMBER(SEARCH($G$1,INDEX(RTable[#All],MATCH(ActionTracker[[#All],[Lease Number]],RTable[[#All],[Lease Number]],0),5))),"x","")</f>
        <v>x</v>
      </c>
      <c r="H103" s="141" t="str">
        <f>IF(ISNUMBER(SEARCH($H$1,INDEX(RTable[#All],MATCH(ActionTracker[[#All],[Lease Number]],RTable[[#All],[Lease Number]],0),5))),"x","")</f>
        <v>x</v>
      </c>
      <c r="I103" s="141" t="str">
        <f>IF(ISNUMBER(SEARCH($I$1,INDEX(RTable[#All],MATCH(ActionTracker[[#All],[Lease Number]],RTable[[#All],[Lease Number]],0),5))),"x","")</f>
        <v/>
      </c>
      <c r="J103" s="141" t="str">
        <f>IF(ISNUMBER(SEARCH($J$1,INDEX(RTable[#All],MATCH(ActionTracker[[#All],[Lease Number]],RTable[[#All],[Lease Number]],0),5))),"x","")</f>
        <v/>
      </c>
      <c r="K103"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103" s="137" t="str">
        <f>IF(ISERROR(INDEX(ContactList[#All],MATCH(ActionTracker[[#All],[Lease Number]],ContactList[[#All],[Lease Number]],0),12)),"",INDEX(ContactList[#All],MATCH(ActionTracker[[#All],[Lease Number]],ContactList[[#All],[Lease Number]],0),12))</f>
        <v>Mike</v>
      </c>
      <c r="M103" s="137" t="str">
        <f>IF(ISERROR(INDEX(ContactList[#All],MATCH(ActionTracker[[#All],[Lease Number]],ContactList[[#All],[Lease Number]],0),12)),"",INDEX(ContactList[#All],MATCH(ActionTracker[[#All],[Lease Number]],ContactList[[#All],[Lease Number]],0),13))</f>
        <v>Salneck</v>
      </c>
      <c r="N103" s="137" t="str">
        <f>IF(ISERROR(INDEX(ContactList[#All],MATCH(ActionTracker[[#All],[Lease Number]],ContactList[[#All],[Lease Number]],0),12)),"",INDEX(ContactList[#All],MATCH(ActionTracker[[#All],[Lease Number]],ContactList[[#All],[Lease Number]],0),14))</f>
        <v>pgm@proguardmgmt.com</v>
      </c>
      <c r="O103" s="137" t="str">
        <f>IF(ISERROR(INDEX(ContactList[#All],MATCH(ActionTracker[[#All],[Lease Number]],ContactList[[#All],[Lease Number]],0),12)),"",INDEX(ContactList[#All],MATCH(ActionTracker[[#All],[Lease Number]],ContactList[[#All],[Lease Number]],0),15))</f>
        <v>705 445 6383</v>
      </c>
      <c r="P103" s="138"/>
      <c r="Q103" s="139"/>
    </row>
    <row r="104" spans="1:17" ht="28.5" x14ac:dyDescent="0.25">
      <c r="A104" s="135" t="s">
        <v>3190</v>
      </c>
      <c r="B104" s="136" t="str">
        <f>IF(ISERROR(INDEX(RTable[#All],MATCH(ActionTracker[[#All],[Lease Number]],RTable[[#All],[Lease Number]],0),1)),"",INDEX(RTable[#All],MATCH(ActionTracker[[#All],[Lease Number]],RTable[[#All],[Lease Number]],0),1))</f>
        <v>Bernie Finkelstein</v>
      </c>
      <c r="C104" s="140" t="str">
        <f>IF(ISERROR(INDEX(RTable[#All],MATCH(ActionTracker[[#All],[Lease Number]],RTable[[#All],[Lease Number]],0),1)),"",INDEX(RTable[#All],MATCH(ActionTracker[[#All],[Lease Number]],RTable[[#All],[Lease Number]],0),2)&amp;", "&amp;INDEX(RTable[#All],MATCH(ActionTracker[[#All],[Lease Number]],RTable[[#All],[Lease Number]],0),3))</f>
        <v>130 Cedar Street Westgate Centre, Cambridge, O.N.</v>
      </c>
      <c r="D104" s="141" t="str">
        <f>IF(ISNUMBER(SEARCH($D$1,INDEX(RTable[#All],MATCH(ActionTracker[[#All],[Lease Number]],RTable[[#All],[Lease Number]],0),5))),"x","")</f>
        <v>x</v>
      </c>
      <c r="E104" s="141" t="str">
        <f>IF(ISNUMBER(SEARCH($E$1,INDEX(RTable[#All],MATCH(ActionTracker[[#All],[Lease Number]],RTable[[#All],[Lease Number]],0),5))),"x","")</f>
        <v>x</v>
      </c>
      <c r="F104" s="141" t="str">
        <f>IF(ISNUMBER(SEARCH($F$1,INDEX(RTable[#All],MATCH(ActionTracker[[#All],[Lease Number]],RTable[[#All],[Lease Number]],0),5))),"x","")</f>
        <v>x</v>
      </c>
      <c r="G104" s="141" t="str">
        <f>IF(ISNUMBER(SEARCH($G$1,INDEX(RTable[#All],MATCH(ActionTracker[[#All],[Lease Number]],RTable[[#All],[Lease Number]],0),5))),"x","")</f>
        <v>x</v>
      </c>
      <c r="H104" s="141" t="str">
        <f>IF(ISNUMBER(SEARCH($H$1,INDEX(RTable[#All],MATCH(ActionTracker[[#All],[Lease Number]],RTable[[#All],[Lease Number]],0),5))),"x","")</f>
        <v>x</v>
      </c>
      <c r="I104" s="141" t="str">
        <f>IF(ISNUMBER(SEARCH($I$1,INDEX(RTable[#All],MATCH(ActionTracker[[#All],[Lease Number]],RTable[[#All],[Lease Number]],0),5))),"x","")</f>
        <v>x</v>
      </c>
      <c r="J104" s="141" t="str">
        <f>IF(ISNUMBER(SEARCH($J$1,INDEX(RTable[#All],MATCH(ActionTracker[[#All],[Lease Number]],RTable[[#All],[Lease Number]],0),5))),"x","")</f>
        <v/>
      </c>
      <c r="K104"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Complete</v>
      </c>
      <c r="L104" s="137" t="str">
        <f>IF(ISERROR(INDEX(ContactList[#All],MATCH(ActionTracker[[#All],[Lease Number]],ContactList[[#All],[Lease Number]],0),12)),"",INDEX(ContactList[#All],MATCH(ActionTracker[[#All],[Lease Number]],ContactList[[#All],[Lease Number]],0),12))</f>
        <v>Harvey</v>
      </c>
      <c r="M104" s="137" t="str">
        <f>IF(ISERROR(INDEX(ContactList[#All],MATCH(ActionTracker[[#All],[Lease Number]],ContactList[[#All],[Lease Number]],0),12)),"",INDEX(ContactList[#All],MATCH(ActionTracker[[#All],[Lease Number]],ContactList[[#All],[Lease Number]],0),13))</f>
        <v>Diamond</v>
      </c>
      <c r="N104" s="137" t="str">
        <f>IF(ISERROR(INDEX(ContactList[#All],MATCH(ActionTracker[[#All],[Lease Number]],ContactList[[#All],[Lease Number]],0),12)),"",INDEX(ContactList[#All],MATCH(ActionTracker[[#All],[Lease Number]],ContactList[[#All],[Lease Number]],0),14))</f>
        <v>harvey@terracemanor.ca</v>
      </c>
      <c r="O104" s="137" t="str">
        <f>IF(ISERROR(INDEX(ContactList[#All],MATCH(ActionTracker[[#All],[Lease Number]],ContactList[[#All],[Lease Number]],0),12)),"",INDEX(ContactList[#All],MATCH(ActionTracker[[#All],[Lease Number]],ContactList[[#All],[Lease Number]],0),15))</f>
        <v>416 968-6555</v>
      </c>
      <c r="P104" s="138"/>
      <c r="Q104" s="139"/>
    </row>
    <row r="105" spans="1:17" x14ac:dyDescent="0.25">
      <c r="A105" s="135" t="s">
        <v>3354</v>
      </c>
      <c r="B105" s="136" t="str">
        <f>IF(ISERROR(INDEX(RTable[#All],MATCH(ActionTracker[[#All],[Lease Number]],RTable[[#All],[Lease Number]],0),1)),"",INDEX(RTable[#All],MATCH(ActionTracker[[#All],[Lease Number]],RTable[[#All],[Lease Number]],0),1))</f>
        <v>Edwin Buonanno</v>
      </c>
      <c r="C105" s="140" t="str">
        <f>IF(ISERROR(INDEX(RTable[#All],MATCH(ActionTracker[[#All],[Lease Number]],RTable[[#All],[Lease Number]],0),1)),"",INDEX(RTable[#All],MATCH(ActionTracker[[#All],[Lease Number]],RTable[[#All],[Lease Number]],0),2)&amp;", "&amp;INDEX(RTable[#All],MATCH(ActionTracker[[#All],[Lease Number]],RTable[[#All],[Lease Number]],0),3))</f>
        <v>7131 Bathurst St., Thornhill, O.N.</v>
      </c>
      <c r="D105" s="141" t="str">
        <f>IF(ISNUMBER(SEARCH($D$1,INDEX(RTable[#All],MATCH(ActionTracker[[#All],[Lease Number]],RTable[[#All],[Lease Number]],0),5))),"x","")</f>
        <v/>
      </c>
      <c r="E105" s="141" t="str">
        <f>IF(ISNUMBER(SEARCH($E$1,INDEX(RTable[#All],MATCH(ActionTracker[[#All],[Lease Number]],RTable[[#All],[Lease Number]],0),5))),"x","")</f>
        <v/>
      </c>
      <c r="F105" s="141" t="str">
        <f>IF(ISNUMBER(SEARCH($F$1,INDEX(RTable[#All],MATCH(ActionTracker[[#All],[Lease Number]],RTable[[#All],[Lease Number]],0),5))),"x","")</f>
        <v/>
      </c>
      <c r="G105" s="141" t="str">
        <f>IF(ISNUMBER(SEARCH($G$1,INDEX(RTable[#All],MATCH(ActionTracker[[#All],[Lease Number]],RTable[[#All],[Lease Number]],0),5))),"x","")</f>
        <v>x</v>
      </c>
      <c r="H105" s="141" t="str">
        <f>IF(ISNUMBER(SEARCH($H$1,INDEX(RTable[#All],MATCH(ActionTracker[[#All],[Lease Number]],RTable[[#All],[Lease Number]],0),5))),"x","")</f>
        <v/>
      </c>
      <c r="I105" s="141" t="str">
        <f>IF(ISNUMBER(SEARCH($I$1,INDEX(RTable[#All],MATCH(ActionTracker[[#All],[Lease Number]],RTable[[#All],[Lease Number]],0),5))),"x","")</f>
        <v/>
      </c>
      <c r="J105" s="141" t="str">
        <f>IF(ISNUMBER(SEARCH($J$1,INDEX(RTable[#All],MATCH(ActionTracker[[#All],[Lease Number]],RTable[[#All],[Lease Number]],0),5))),"x","")</f>
        <v/>
      </c>
      <c r="K105"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05" s="137" t="str">
        <f>IF(ISERROR(INDEX(ContactList[#All],MATCH(ActionTracker[[#All],[Lease Number]],ContactList[[#All],[Lease Number]],0),12)),"",INDEX(ContactList[#All],MATCH(ActionTracker[[#All],[Lease Number]],ContactList[[#All],[Lease Number]],0),12))</f>
        <v>Edwin</v>
      </c>
      <c r="M105" s="137" t="str">
        <f>IF(ISERROR(INDEX(ContactList[#All],MATCH(ActionTracker[[#All],[Lease Number]],ContactList[[#All],[Lease Number]],0),12)),"",INDEX(ContactList[#All],MATCH(ActionTracker[[#All],[Lease Number]],ContactList[[#All],[Lease Number]],0),13))</f>
        <v>Buonanno</v>
      </c>
      <c r="N105" s="137" t="str">
        <f>IF(ISERROR(INDEX(ContactList[#All],MATCH(ActionTracker[[#All],[Lease Number]],ContactList[[#All],[Lease Number]],0),12)),"",INDEX(ContactList[#All],MATCH(ActionTracker[[#All],[Lease Number]],ContactList[[#All],[Lease Number]],0),14))</f>
        <v>edwin@torgan.com</v>
      </c>
      <c r="O105" s="137" t="str">
        <f>IF(ISERROR(INDEX(ContactList[#All],MATCH(ActionTracker[[#All],[Lease Number]],ContactList[[#All],[Lease Number]],0),12)),"",INDEX(ContactList[#All],MATCH(ActionTracker[[#All],[Lease Number]],ContactList[[#All],[Lease Number]],0),15))</f>
        <v>416 221 9348</v>
      </c>
      <c r="P105" s="138"/>
      <c r="Q105" s="139"/>
    </row>
    <row r="106" spans="1:17" ht="45" x14ac:dyDescent="0.25">
      <c r="A106" s="135" t="s">
        <v>2715</v>
      </c>
      <c r="B106" s="136" t="str">
        <f>IF(ISERROR(INDEX(RTable[#All],MATCH(ActionTracker[[#All],[Lease Number]],RTable[[#All],[Lease Number]],0),1)),"",INDEX(RTable[#All],MATCH(ActionTracker[[#All],[Lease Number]],RTable[[#All],[Lease Number]],0),1))</f>
        <v>DOUBLE WIN INTERNATIONAL GROUP INC.</v>
      </c>
      <c r="C106" s="140" t="str">
        <f>IF(ISERROR(INDEX(RTable[#All],MATCH(ActionTracker[[#All],[Lease Number]],RTable[[#All],[Lease Number]],0),1)),"",INDEX(RTable[#All],MATCH(ActionTracker[[#All],[Lease Number]],RTable[[#All],[Lease Number]],0),2)&amp;", "&amp;INDEX(RTable[#All],MATCH(ActionTracker[[#All],[Lease Number]],RTable[[#All],[Lease Number]],0),3))</f>
        <v xml:space="preserve">3850 Finch Ave. E., Toronto, O.N. </v>
      </c>
      <c r="D106" s="141" t="str">
        <f>IF(ISNUMBER(SEARCH($D$1,INDEX(RTable[#All],MATCH(ActionTracker[[#All],[Lease Number]],RTable[[#All],[Lease Number]],0),5))),"x","")</f>
        <v/>
      </c>
      <c r="E106" s="141" t="str">
        <f>IF(ISNUMBER(SEARCH($E$1,INDEX(RTable[#All],MATCH(ActionTracker[[#All],[Lease Number]],RTable[[#All],[Lease Number]],0),5))),"x","")</f>
        <v/>
      </c>
      <c r="F106" s="141" t="str">
        <f>IF(ISNUMBER(SEARCH($F$1,INDEX(RTable[#All],MATCH(ActionTracker[[#All],[Lease Number]],RTable[[#All],[Lease Number]],0),5))),"x","")</f>
        <v/>
      </c>
      <c r="G106" s="141" t="str">
        <f>IF(ISNUMBER(SEARCH($G$1,INDEX(RTable[#All],MATCH(ActionTracker[[#All],[Lease Number]],RTable[[#All],[Lease Number]],0),5))),"x","")</f>
        <v/>
      </c>
      <c r="H106" s="141" t="str">
        <f>IF(ISNUMBER(SEARCH($H$1,INDEX(RTable[#All],MATCH(ActionTracker[[#All],[Lease Number]],RTable[[#All],[Lease Number]],0),5))),"x","")</f>
        <v/>
      </c>
      <c r="I106" s="141" t="str">
        <f>IF(ISNUMBER(SEARCH($I$1,INDEX(RTable[#All],MATCH(ActionTracker[[#All],[Lease Number]],RTable[[#All],[Lease Number]],0),5))),"x","")</f>
        <v/>
      </c>
      <c r="J106" s="141" t="str">
        <f>IF(ISNUMBER(SEARCH($J$1,INDEX(RTable[#All],MATCH(ActionTracker[[#All],[Lease Number]],RTable[[#All],[Lease Number]],0),5))),"x","")</f>
        <v>x</v>
      </c>
      <c r="K106"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None</v>
      </c>
      <c r="L106" s="137" t="str">
        <f>IF(ISERROR(INDEX(ContactList[#All],MATCH(ActionTracker[[#All],[Lease Number]],ContactList[[#All],[Lease Number]],0),12)),"",INDEX(ContactList[#All],MATCH(ActionTracker[[#All],[Lease Number]],ContactList[[#All],[Lease Number]],0),12))</f>
        <v>Peter</v>
      </c>
      <c r="M106" s="137" t="str">
        <f>IF(ISERROR(INDEX(ContactList[#All],MATCH(ActionTracker[[#All],[Lease Number]],ContactList[[#All],[Lease Number]],0),12)),"",INDEX(ContactList[#All],MATCH(ActionTracker[[#All],[Lease Number]],ContactList[[#All],[Lease Number]],0),13))</f>
        <v>Tsang</v>
      </c>
      <c r="N106" s="137" t="str">
        <f>IF(ISERROR(INDEX(ContactList[#All],MATCH(ActionTracker[[#All],[Lease Number]],ContactList[[#All],[Lease Number]],0),12)),"",INDEX(ContactList[#All],MATCH(ActionTracker[[#All],[Lease Number]],ContactList[[#All],[Lease Number]],0),14))</f>
        <v>3850finch@consultpwt.com</v>
      </c>
      <c r="O106" s="137" t="str">
        <f>IF(ISERROR(INDEX(ContactList[#All],MATCH(ActionTracker[[#All],[Lease Number]],ContactList[[#All],[Lease Number]],0),12)),"",INDEX(ContactList[#All],MATCH(ActionTracker[[#All],[Lease Number]],ContactList[[#All],[Lease Number]],0),15))</f>
        <v>647-727-1113</v>
      </c>
      <c r="P106" s="138"/>
      <c r="Q106" s="139"/>
    </row>
    <row r="107" spans="1:17" x14ac:dyDescent="0.25">
      <c r="A107" s="135" t="s">
        <v>2350</v>
      </c>
      <c r="B107" s="136" t="str">
        <f>IF(ISERROR(INDEX(RTable[#All],MATCH(ActionTracker[[#All],[Lease Number]],RTable[[#All],[Lease Number]],0),1)),"",INDEX(RTable[#All],MATCH(ActionTracker[[#All],[Lease Number]],RTable[[#All],[Lease Number]],0),1))</f>
        <v>Brian Nicholson</v>
      </c>
      <c r="C107" s="140" t="str">
        <f>IF(ISERROR(INDEX(RTable[#All],MATCH(ActionTracker[[#All],[Lease Number]],RTable[[#All],[Lease Number]],0),1)),"",INDEX(RTable[#All],MATCH(ActionTracker[[#All],[Lease Number]],RTable[[#All],[Lease Number]],0),2)&amp;", "&amp;INDEX(RTable[#All],MATCH(ActionTracker[[#All],[Lease Number]],RTable[[#All],[Lease Number]],0),3))</f>
        <v xml:space="preserve">7217 Gelert Rd, Haliburton, O.N. </v>
      </c>
      <c r="D107" s="141" t="str">
        <f>IF(ISNUMBER(SEARCH($D$1,INDEX(RTable[#All],MATCH(ActionTracker[[#All],[Lease Number]],RTable[[#All],[Lease Number]],0),5))),"x","")</f>
        <v>x</v>
      </c>
      <c r="E107" s="141" t="str">
        <f>IF(ISNUMBER(SEARCH($E$1,INDEX(RTable[#All],MATCH(ActionTracker[[#All],[Lease Number]],RTable[[#All],[Lease Number]],0),5))),"x","")</f>
        <v>x</v>
      </c>
      <c r="F107" s="141" t="str">
        <f>IF(ISNUMBER(SEARCH($F$1,INDEX(RTable[#All],MATCH(ActionTracker[[#All],[Lease Number]],RTable[[#All],[Lease Number]],0),5))),"x","")</f>
        <v>x</v>
      </c>
      <c r="G107" s="141" t="str">
        <f>IF(ISNUMBER(SEARCH($G$1,INDEX(RTable[#All],MATCH(ActionTracker[[#All],[Lease Number]],RTable[[#All],[Lease Number]],0),5))),"x","")</f>
        <v>x</v>
      </c>
      <c r="H107" s="141" t="str">
        <f>IF(ISNUMBER(SEARCH($H$1,INDEX(RTable[#All],MATCH(ActionTracker[[#All],[Lease Number]],RTable[[#All],[Lease Number]],0),5))),"x","")</f>
        <v>x</v>
      </c>
      <c r="I107" s="141" t="str">
        <f>IF(ISNUMBER(SEARCH($I$1,INDEX(RTable[#All],MATCH(ActionTracker[[#All],[Lease Number]],RTable[[#All],[Lease Number]],0),5))),"x","")</f>
        <v/>
      </c>
      <c r="J107" s="141" t="str">
        <f>IF(ISNUMBER(SEARCH($J$1,INDEX(RTable[#All],MATCH(ActionTracker[[#All],[Lease Number]],RTable[[#All],[Lease Number]],0),5))),"x","")</f>
        <v/>
      </c>
      <c r="K107"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107" s="137" t="str">
        <f>IF(ISERROR(INDEX(ContactList[#All],MATCH(ActionTracker[[#All],[Lease Number]],ContactList[[#All],[Lease Number]],0),12)),"",INDEX(ContactList[#All],MATCH(ActionTracker[[#All],[Lease Number]],ContactList[[#All],[Lease Number]],0),12))</f>
        <v>Cheryl</v>
      </c>
      <c r="M107" s="137" t="str">
        <f>IF(ISERROR(INDEX(ContactList[#All],MATCH(ActionTracker[[#All],[Lease Number]],ContactList[[#All],[Lease Number]],0),12)),"",INDEX(ContactList[#All],MATCH(ActionTracker[[#All],[Lease Number]],ContactList[[#All],[Lease Number]],0),13))</f>
        <v>Coulson</v>
      </c>
      <c r="N107" s="137" t="str">
        <f>IF(ISERROR(INDEX(ContactList[#All],MATCH(ActionTracker[[#All],[Lease Number]],ContactList[[#All],[Lease Number]],0),12)),"",INDEX(ContactList[#All],MATCH(ActionTracker[[#All],[Lease Number]],ContactList[[#All],[Lease Number]],0),14))</f>
        <v xml:space="preserve"> ccoulson@dysartetal.ca</v>
      </c>
      <c r="O107" s="137" t="str">
        <f>IF(ISERROR(INDEX(ContactList[#All],MATCH(ActionTracker[[#All],[Lease Number]],ContactList[[#All],[Lease Number]],0),12)),"",INDEX(ContactList[#All],MATCH(ActionTracker[[#All],[Lease Number]],ContactList[[#All],[Lease Number]],0),15))</f>
        <v>705 457 1740</v>
      </c>
      <c r="P107" s="138"/>
      <c r="Q107" s="139"/>
    </row>
    <row r="108" spans="1:17" x14ac:dyDescent="0.25">
      <c r="A108" s="135" t="s">
        <v>1964</v>
      </c>
      <c r="B108" s="136" t="str">
        <f>IF(ISERROR(INDEX(RTable[#All],MATCH(ActionTracker[[#All],[Lease Number]],RTable[[#All],[Lease Number]],0),1)),"",INDEX(RTable[#All],MATCH(ActionTracker[[#All],[Lease Number]],RTable[[#All],[Lease Number]],0),1))</f>
        <v>Debbie McKague</v>
      </c>
      <c r="C108" s="140" t="str">
        <f>IF(ISERROR(INDEX(RTable[#All],MATCH(ActionTracker[[#All],[Lease Number]],RTable[[#All],[Lease Number]],0),1)),"",INDEX(RTable[#All],MATCH(ActionTracker[[#All],[Lease Number]],RTable[[#All],[Lease Number]],0),2)&amp;", "&amp;INDEX(RTable[#All],MATCH(ActionTracker[[#All],[Lease Number]],RTable[[#All],[Lease Number]],0),3))</f>
        <v>945-3rd Ave. East, Owen Sound, O.N</v>
      </c>
      <c r="D108" s="141" t="str">
        <f>IF(ISNUMBER(SEARCH($D$1,INDEX(RTable[#All],MATCH(ActionTracker[[#All],[Lease Number]],RTable[[#All],[Lease Number]],0),5))),"x","")</f>
        <v>x</v>
      </c>
      <c r="E108" s="141" t="str">
        <f>IF(ISNUMBER(SEARCH($E$1,INDEX(RTable[#All],MATCH(ActionTracker[[#All],[Lease Number]],RTable[[#All],[Lease Number]],0),5))),"x","")</f>
        <v>x</v>
      </c>
      <c r="F108" s="141" t="str">
        <f>IF(ISNUMBER(SEARCH($F$1,INDEX(RTable[#All],MATCH(ActionTracker[[#All],[Lease Number]],RTable[[#All],[Lease Number]],0),5))),"x","")</f>
        <v>x</v>
      </c>
      <c r="G108" s="141" t="str">
        <f>IF(ISNUMBER(SEARCH($G$1,INDEX(RTable[#All],MATCH(ActionTracker[[#All],[Lease Number]],RTable[[#All],[Lease Number]],0),5))),"x","")</f>
        <v>x</v>
      </c>
      <c r="H108" s="141" t="str">
        <f>IF(ISNUMBER(SEARCH($H$1,INDEX(RTable[#All],MATCH(ActionTracker[[#All],[Lease Number]],RTable[[#All],[Lease Number]],0),5))),"x","")</f>
        <v>x</v>
      </c>
      <c r="I108" s="141" t="str">
        <f>IF(ISNUMBER(SEARCH($I$1,INDEX(RTable[#All],MATCH(ActionTracker[[#All],[Lease Number]],RTable[[#All],[Lease Number]],0),5))),"x","")</f>
        <v/>
      </c>
      <c r="J108" s="141" t="str">
        <f>IF(ISNUMBER(SEARCH($J$1,INDEX(RTable[#All],MATCH(ActionTracker[[#All],[Lease Number]],RTable[[#All],[Lease Number]],0),5))),"x","")</f>
        <v/>
      </c>
      <c r="K108"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108" s="137" t="str">
        <f>IF(ISERROR(INDEX(ContactList[#All],MATCH(ActionTracker[[#All],[Lease Number]],ContactList[[#All],[Lease Number]],0),12)),"",INDEX(ContactList[#All],MATCH(ActionTracker[[#All],[Lease Number]],ContactList[[#All],[Lease Number]],0),12))</f>
        <v>Debbie</v>
      </c>
      <c r="M108" s="137" t="str">
        <f>IF(ISERROR(INDEX(ContactList[#All],MATCH(ActionTracker[[#All],[Lease Number]],ContactList[[#All],[Lease Number]],0),12)),"",INDEX(ContactList[#All],MATCH(ActionTracker[[#All],[Lease Number]],ContactList[[#All],[Lease Number]],0),13))</f>
        <v>McKague</v>
      </c>
      <c r="N108" s="137" t="str">
        <f>IF(ISERROR(INDEX(ContactList[#All],MATCH(ActionTracker[[#All],[Lease Number]],ContactList[[#All],[Lease Number]],0),12)),"",INDEX(ContactList[#All],MATCH(ActionTracker[[#All],[Lease Number]],ContactList[[#All],[Lease Number]],0),14))</f>
        <v>ospcentre@rogers.com</v>
      </c>
      <c r="O108" s="137" t="str">
        <f>IF(ISERROR(INDEX(ContactList[#All],MATCH(ActionTracker[[#All],[Lease Number]],ContactList[[#All],[Lease Number]],0),12)),"",INDEX(ContactList[#All],MATCH(ActionTracker[[#All],[Lease Number]],ContactList[[#All],[Lease Number]],0),15))</f>
        <v>519 376-7552</v>
      </c>
      <c r="P108" s="138"/>
      <c r="Q108" s="139"/>
    </row>
    <row r="109" spans="1:17" x14ac:dyDescent="0.25">
      <c r="A109" s="135" t="s">
        <v>3160</v>
      </c>
      <c r="B109" s="136" t="str">
        <f>IF(ISERROR(INDEX(RTable[#All],MATCH(ActionTracker[[#All],[Lease Number]],RTable[[#All],[Lease Number]],0),1)),"",INDEX(RTable[#All],MATCH(ActionTracker[[#All],[Lease Number]],RTable[[#All],[Lease Number]],0),1))</f>
        <v>Elan Azar</v>
      </c>
      <c r="C109" s="140" t="str">
        <f>IF(ISERROR(INDEX(RTable[#All],MATCH(ActionTracker[[#All],[Lease Number]],RTable[[#All],[Lease Number]],0),1)),"",INDEX(RTable[#All],MATCH(ActionTracker[[#All],[Lease Number]],RTable[[#All],[Lease Number]],0),2)&amp;", "&amp;INDEX(RTable[#All],MATCH(ActionTracker[[#All],[Lease Number]],RTable[[#All],[Lease Number]],0),3))</f>
        <v>800 Bathurst Street, Toronto, O.N.</v>
      </c>
      <c r="D109" s="141" t="str">
        <f>IF(ISNUMBER(SEARCH($D$1,INDEX(RTable[#All],MATCH(ActionTracker[[#All],[Lease Number]],RTable[[#All],[Lease Number]],0),5))),"x","")</f>
        <v/>
      </c>
      <c r="E109" s="141" t="str">
        <f>IF(ISNUMBER(SEARCH($E$1,INDEX(RTable[#All],MATCH(ActionTracker[[#All],[Lease Number]],RTable[[#All],[Lease Number]],0),5))),"x","")</f>
        <v/>
      </c>
      <c r="F109" s="141" t="str">
        <f>IF(ISNUMBER(SEARCH($F$1,INDEX(RTable[#All],MATCH(ActionTracker[[#All],[Lease Number]],RTable[[#All],[Lease Number]],0),5))),"x","")</f>
        <v/>
      </c>
      <c r="G109" s="141" t="str">
        <f>IF(ISNUMBER(SEARCH($G$1,INDEX(RTable[#All],MATCH(ActionTracker[[#All],[Lease Number]],RTable[[#All],[Lease Number]],0),5))),"x","")</f>
        <v>x</v>
      </c>
      <c r="H109" s="141" t="str">
        <f>IF(ISNUMBER(SEARCH($H$1,INDEX(RTable[#All],MATCH(ActionTracker[[#All],[Lease Number]],RTable[[#All],[Lease Number]],0),5))),"x","")</f>
        <v/>
      </c>
      <c r="I109" s="141" t="str">
        <f>IF(ISNUMBER(SEARCH($I$1,INDEX(RTable[#All],MATCH(ActionTracker[[#All],[Lease Number]],RTable[[#All],[Lease Number]],0),5))),"x","")</f>
        <v/>
      </c>
      <c r="J109" s="141" t="str">
        <f>IF(ISNUMBER(SEARCH($J$1,INDEX(RTable[#All],MATCH(ActionTracker[[#All],[Lease Number]],RTable[[#All],[Lease Number]],0),5))),"x","")</f>
        <v/>
      </c>
      <c r="K109"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09" s="137" t="str">
        <f>IF(ISERROR(INDEX(ContactList[#All],MATCH(ActionTracker[[#All],[Lease Number]],ContactList[[#All],[Lease Number]],0),12)),"",INDEX(ContactList[#All],MATCH(ActionTracker[[#All],[Lease Number]],ContactList[[#All],[Lease Number]],0),12))</f>
        <v>Craig</v>
      </c>
      <c r="M109" s="137" t="str">
        <f>IF(ISERROR(INDEX(ContactList[#All],MATCH(ActionTracker[[#All],[Lease Number]],ContactList[[#All],[Lease Number]],0),12)),"",INDEX(ContactList[#All],MATCH(ActionTracker[[#All],[Lease Number]],ContactList[[#All],[Lease Number]],0),13))</f>
        <v>Mull</v>
      </c>
      <c r="N109" s="137" t="str">
        <f>IF(ISERROR(INDEX(ContactList[#All],MATCH(ActionTracker[[#All],[Lease Number]],ContactList[[#All],[Lease Number]],0),12)),"",INDEX(ContactList[#All],MATCH(ActionTracker[[#All],[Lease Number]],ContactList[[#All],[Lease Number]],0),14))</f>
        <v>cmull@typhon-group.com</v>
      </c>
      <c r="O109" s="137" t="str">
        <f>IF(ISERROR(INDEX(ContactList[#All],MATCH(ActionTracker[[#All],[Lease Number]],ContactList[[#All],[Lease Number]],0),12)),"",INDEX(ContactList[#All],MATCH(ActionTracker[[#All],[Lease Number]],ContactList[[#All],[Lease Number]],0),15))</f>
        <v>416 775 5382</v>
      </c>
      <c r="P109" s="138"/>
      <c r="Q109" s="139"/>
    </row>
    <row r="110" spans="1:17" x14ac:dyDescent="0.25">
      <c r="A110" s="135" t="s">
        <v>1872</v>
      </c>
      <c r="B110" s="136" t="str">
        <f>IF(ISERROR(INDEX(RTable[#All],MATCH(ActionTracker[[#All],[Lease Number]],RTable[[#All],[Lease Number]],0),1)),"",INDEX(RTable[#All],MATCH(ActionTracker[[#All],[Lease Number]],RTable[[#All],[Lease Number]],0),1))</f>
        <v>Elan Azar</v>
      </c>
      <c r="C110" s="140" t="str">
        <f>IF(ISERROR(INDEX(RTable[#All],MATCH(ActionTracker[[#All],[Lease Number]],RTable[[#All],[Lease Number]],0),1)),"",INDEX(RTable[#All],MATCH(ActionTracker[[#All],[Lease Number]],RTable[[#All],[Lease Number]],0),2)&amp;", "&amp;INDEX(RTable[#All],MATCH(ActionTracker[[#All],[Lease Number]],RTable[[#All],[Lease Number]],0),3))</f>
        <v xml:space="preserve">16 O'Brien St, Orillia, O.N. </v>
      </c>
      <c r="D110" s="141" t="str">
        <f>IF(ISNUMBER(SEARCH($D$1,INDEX(RTable[#All],MATCH(ActionTracker[[#All],[Lease Number]],RTable[[#All],[Lease Number]],0),5))),"x","")</f>
        <v/>
      </c>
      <c r="E110" s="141" t="str">
        <f>IF(ISNUMBER(SEARCH($E$1,INDEX(RTable[#All],MATCH(ActionTracker[[#All],[Lease Number]],RTable[[#All],[Lease Number]],0),5))),"x","")</f>
        <v/>
      </c>
      <c r="F110" s="141" t="str">
        <f>IF(ISNUMBER(SEARCH($F$1,INDEX(RTable[#All],MATCH(ActionTracker[[#All],[Lease Number]],RTable[[#All],[Lease Number]],0),5))),"x","")</f>
        <v/>
      </c>
      <c r="G110" s="141" t="str">
        <f>IF(ISNUMBER(SEARCH($G$1,INDEX(RTable[#All],MATCH(ActionTracker[[#All],[Lease Number]],RTable[[#All],[Lease Number]],0),5))),"x","")</f>
        <v/>
      </c>
      <c r="H110" s="141" t="str">
        <f>IF(ISNUMBER(SEARCH($H$1,INDEX(RTable[#All],MATCH(ActionTracker[[#All],[Lease Number]],RTable[[#All],[Lease Number]],0),5))),"x","")</f>
        <v/>
      </c>
      <c r="I110" s="141" t="str">
        <f>IF(ISNUMBER(SEARCH($I$1,INDEX(RTable[#All],MATCH(ActionTracker[[#All],[Lease Number]],RTable[[#All],[Lease Number]],0),5))),"x","")</f>
        <v/>
      </c>
      <c r="J110" s="141" t="str">
        <f>IF(ISNUMBER(SEARCH($J$1,INDEX(RTable[#All],MATCH(ActionTracker[[#All],[Lease Number]],RTable[[#All],[Lease Number]],0),5))),"x","")</f>
        <v>x</v>
      </c>
      <c r="K110"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None</v>
      </c>
      <c r="L110" s="137" t="str">
        <f>IF(ISERROR(INDEX(ContactList[#All],MATCH(ActionTracker[[#All],[Lease Number]],ContactList[[#All],[Lease Number]],0),12)),"",INDEX(ContactList[#All],MATCH(ActionTracker[[#All],[Lease Number]],ContactList[[#All],[Lease Number]],0),12))</f>
        <v>Aaron
Elan</v>
      </c>
      <c r="M110" s="137" t="str">
        <f>IF(ISERROR(INDEX(ContactList[#All],MATCH(ActionTracker[[#All],[Lease Number]],ContactList[[#All],[Lease Number]],0),12)),"",INDEX(ContactList[#All],MATCH(ActionTracker[[#All],[Lease Number]],ContactList[[#All],[Lease Number]],0),13))</f>
        <v>Goldenberg
Azar</v>
      </c>
      <c r="N110" s="137" t="str">
        <f>IF(ISERROR(INDEX(ContactList[#All],MATCH(ActionTracker[[#All],[Lease Number]],ContactList[[#All],[Lease Number]],0),12)),"",INDEX(ContactList[#All],MATCH(ActionTracker[[#All],[Lease Number]],ContactList[[#All],[Lease Number]],0),14))</f>
        <v>aaron@torgan.com
elan@torgan.com</v>
      </c>
      <c r="O110" s="137" t="str">
        <f>IF(ISERROR(INDEX(ContactList[#All],MATCH(ActionTracker[[#All],[Lease Number]],ContactList[[#All],[Lease Number]],0),12)),"",INDEX(ContactList[#All],MATCH(ActionTracker[[#All],[Lease Number]],ContactList[[#All],[Lease Number]],0),15))</f>
        <v>416 221 9348
416 221 9348</v>
      </c>
      <c r="P110" s="138"/>
      <c r="Q110" s="139"/>
    </row>
    <row r="111" spans="1:17" x14ac:dyDescent="0.25">
      <c r="A111" s="135"/>
      <c r="B111" s="136" t="s">
        <v>3732</v>
      </c>
      <c r="C111" s="100" t="s">
        <v>3750</v>
      </c>
      <c r="D111" s="141" t="str">
        <f>IF(ISNUMBER(SEARCH($D$1,INDEX(RTable[#All],MATCH(ActionTracker[[#All],[Lease Number]],RTable[[#All],[Lease Number]],0),5))),"x","")</f>
        <v/>
      </c>
      <c r="E111" s="141" t="str">
        <f>IF(ISNUMBER(SEARCH($E$1,INDEX(RTable[#All],MATCH(ActionTracker[[#All],[Lease Number]],RTable[[#All],[Lease Number]],0),5))),"x","")</f>
        <v/>
      </c>
      <c r="F111" s="141" t="str">
        <f>IF(ISNUMBER(SEARCH($F$1,INDEX(RTable[#All],MATCH(ActionTracker[[#All],[Lease Number]],RTable[[#All],[Lease Number]],0),5))),"x","")</f>
        <v/>
      </c>
      <c r="G111" s="141" t="str">
        <f>IF(ISNUMBER(SEARCH($G$1,INDEX(RTable[#All],MATCH(ActionTracker[[#All],[Lease Number]],RTable[[#All],[Lease Number]],0),5))),"x","")</f>
        <v/>
      </c>
      <c r="H111" s="141" t="str">
        <f>IF(ISNUMBER(SEARCH($H$1,INDEX(RTable[#All],MATCH(ActionTracker[[#All],[Lease Number]],RTable[[#All],[Lease Number]],0),5))),"x","")</f>
        <v/>
      </c>
      <c r="I111" s="141" t="str">
        <f>IF(ISNUMBER(SEARCH($I$1,INDEX(RTable[#All],MATCH(ActionTracker[[#All],[Lease Number]],RTable[[#All],[Lease Number]],0),5))),"x","")</f>
        <v/>
      </c>
      <c r="J111" s="141" t="s">
        <v>472</v>
      </c>
      <c r="K111"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None</v>
      </c>
      <c r="L111" s="137" t="s">
        <v>3751</v>
      </c>
      <c r="M111" s="137" t="s">
        <v>3752</v>
      </c>
      <c r="N111" s="11" t="s">
        <v>3753</v>
      </c>
      <c r="O111" s="137" t="s">
        <v>1854</v>
      </c>
      <c r="P111" s="138"/>
      <c r="Q111" s="139"/>
    </row>
    <row r="112" spans="1:17" x14ac:dyDescent="0.25">
      <c r="A112" s="135" t="s">
        <v>2414</v>
      </c>
      <c r="B112" s="136" t="str">
        <f>IF(ISERROR(INDEX(RTable[#All],MATCH(ActionTracker[[#All],[Lease Number]],RTable[[#All],[Lease Number]],0),1)),"",INDEX(RTable[#All],MATCH(ActionTracker[[#All],[Lease Number]],RTable[[#All],[Lease Number]],0),1))</f>
        <v>Longo Management Inc</v>
      </c>
      <c r="C112" s="140" t="str">
        <f>IF(ISERROR(INDEX(RTable[#All],MATCH(ActionTracker[[#All],[Lease Number]],RTable[[#All],[Lease Number]],0),1)),"",INDEX(RTable[#All],MATCH(ActionTracker[[#All],[Lease Number]],RTable[[#All],[Lease Number]],0),2)&amp;", "&amp;INDEX(RTable[#All],MATCH(ActionTracker[[#All],[Lease Number]],RTable[[#All],[Lease Number]],0),3))</f>
        <v>429 Exmouth St, Sarnia, O.N.</v>
      </c>
      <c r="D112" s="141" t="str">
        <f>IF(ISNUMBER(SEARCH($D$1,INDEX(RTable[#All],MATCH(ActionTracker[[#All],[Lease Number]],RTable[[#All],[Lease Number]],0),5))),"x","")</f>
        <v>x</v>
      </c>
      <c r="E112" s="141" t="str">
        <f>IF(ISNUMBER(SEARCH($E$1,INDEX(RTable[#All],MATCH(ActionTracker[[#All],[Lease Number]],RTable[[#All],[Lease Number]],0),5))),"x","")</f>
        <v>x</v>
      </c>
      <c r="F112" s="141" t="str">
        <f>IF(ISNUMBER(SEARCH($F$1,INDEX(RTable[#All],MATCH(ActionTracker[[#All],[Lease Number]],RTable[[#All],[Lease Number]],0),5))),"x","")</f>
        <v>x</v>
      </c>
      <c r="G112" s="141" t="str">
        <f>IF(ISNUMBER(SEARCH($G$1,INDEX(RTable[#All],MATCH(ActionTracker[[#All],[Lease Number]],RTable[[#All],[Lease Number]],0),5))),"x","")</f>
        <v>x</v>
      </c>
      <c r="H112" s="141" t="str">
        <f>IF(ISNUMBER(SEARCH($H$1,INDEX(RTable[#All],MATCH(ActionTracker[[#All],[Lease Number]],RTable[[#All],[Lease Number]],0),5))),"x","")</f>
        <v>x</v>
      </c>
      <c r="I112" s="141" t="str">
        <f>IF(ISNUMBER(SEARCH($I$1,INDEX(RTable[#All],MATCH(ActionTracker[[#All],[Lease Number]],RTable[[#All],[Lease Number]],0),5))),"x","")</f>
        <v/>
      </c>
      <c r="J112" s="141" t="str">
        <f>IF(ISNUMBER(SEARCH($J$1,INDEX(RTable[#All],MATCH(ActionTracker[[#All],[Lease Number]],RTable[[#All],[Lease Number]],0),5))),"x","")</f>
        <v/>
      </c>
      <c r="K112"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112" s="137" t="str">
        <f>IF(ISERROR(INDEX(ContactList[#All],MATCH(ActionTracker[[#All],[Lease Number]],ContactList[[#All],[Lease Number]],0),12)),"",INDEX(ContactList[#All],MATCH(ActionTracker[[#All],[Lease Number]],ContactList[[#All],[Lease Number]],0),12))</f>
        <v>Lou</v>
      </c>
      <c r="M112" s="137" t="str">
        <f>IF(ISERROR(INDEX(ContactList[#All],MATCH(ActionTracker[[#All],[Lease Number]],ContactList[[#All],[Lease Number]],0),12)),"",INDEX(ContactList[#All],MATCH(ActionTracker[[#All],[Lease Number]],ContactList[[#All],[Lease Number]],0),13))</f>
        <v>Longo</v>
      </c>
      <c r="N112" s="137" t="str">
        <f>IF(ISERROR(INDEX(ContactList[#All],MATCH(ActionTracker[[#All],[Lease Number]],ContactList[[#All],[Lease Number]],0),12)),"",INDEX(ContactList[#All],MATCH(ActionTracker[[#All],[Lease Number]],ContactList[[#All],[Lease Number]],0),14))</f>
        <v>llongo3@cogeco.ca</v>
      </c>
      <c r="O112" s="137" t="str">
        <f>IF(ISERROR(INDEX(ContactList[#All],MATCH(ActionTracker[[#All],[Lease Number]],ContactList[[#All],[Lease Number]],0),12)),"",INDEX(ContactList[#All],MATCH(ActionTracker[[#All],[Lease Number]],ContactList[[#All],[Lease Number]],0),15))</f>
        <v>519 481 0230</v>
      </c>
      <c r="P112" s="138"/>
      <c r="Q112" s="139"/>
    </row>
    <row r="113" spans="1:17" ht="28.5" x14ac:dyDescent="0.25">
      <c r="A113" s="135" t="s">
        <v>1981</v>
      </c>
      <c r="B113" s="136"/>
      <c r="C113" s="140" t="str">
        <f>IF(ISERROR(INDEX(RTable[#All],MATCH(ActionTracker[[#All],[Lease Number]],RTable[[#All],[Lease Number]],0),1)),"",INDEX(RTable[#All],MATCH(ActionTracker[[#All],[Lease Number]],RTable[[#All],[Lease Number]],0),2)&amp;", "&amp;INDEX(RTable[#All],MATCH(ActionTracker[[#All],[Lease Number]],RTable[[#All],[Lease Number]],0),3))</f>
        <v>955 Queen Street East, Sault Ste Marie, O.N.</v>
      </c>
      <c r="D113" s="141" t="str">
        <f>IF(ISNUMBER(SEARCH($D$1,INDEX(RTable[#All],MATCH(ActionTracker[[#All],[Lease Number]],RTable[[#All],[Lease Number]],0),5))),"x","")</f>
        <v/>
      </c>
      <c r="E113" s="141" t="str">
        <f>IF(ISNUMBER(SEARCH($E$1,INDEX(RTable[#All],MATCH(ActionTracker[[#All],[Lease Number]],RTable[[#All],[Lease Number]],0),5))),"x","")</f>
        <v/>
      </c>
      <c r="F113" s="141" t="str">
        <f>IF(ISNUMBER(SEARCH($F$1,INDEX(RTable[#All],MATCH(ActionTracker[[#All],[Lease Number]],RTable[[#All],[Lease Number]],0),5))),"x","")</f>
        <v/>
      </c>
      <c r="G113" s="141" t="str">
        <f>IF(ISNUMBER(SEARCH($G$1,INDEX(RTable[#All],MATCH(ActionTracker[[#All],[Lease Number]],RTable[[#All],[Lease Number]],0),5))),"x","")</f>
        <v>x</v>
      </c>
      <c r="H113" s="141" t="str">
        <f>IF(ISNUMBER(SEARCH($H$1,INDEX(RTable[#All],MATCH(ActionTracker[[#All],[Lease Number]],RTable[[#All],[Lease Number]],0),5))),"x","")</f>
        <v/>
      </c>
      <c r="I113" s="141" t="str">
        <f>IF(ISNUMBER(SEARCH($I$1,INDEX(RTable[#All],MATCH(ActionTracker[[#All],[Lease Number]],RTable[[#All],[Lease Number]],0),5))),"x","")</f>
        <v/>
      </c>
      <c r="J113" s="141" t="str">
        <f>IF(ISNUMBER(SEARCH($J$1,INDEX(RTable[#All],MATCH(ActionTracker[[#All],[Lease Number]],RTable[[#All],[Lease Number]],0),5))),"x","")</f>
        <v/>
      </c>
      <c r="K113"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13" s="137" t="str">
        <f>IF(ISERROR(INDEX(ContactList[#All],MATCH(ActionTracker[[#All],[Lease Number]],ContactList[[#All],[Lease Number]],0),12)),"",INDEX(ContactList[#All],MATCH(ActionTracker[[#All],[Lease Number]],ContactList[[#All],[Lease Number]],0),12))</f>
        <v>Rod</v>
      </c>
      <c r="M113" s="137" t="str">
        <f>IF(ISERROR(INDEX(ContactList[#All],MATCH(ActionTracker[[#All],[Lease Number]],ContactList[[#All],[Lease Number]],0),12)),"",INDEX(ContactList[#All],MATCH(ActionTracker[[#All],[Lease Number]],ContactList[[#All],[Lease Number]],0),13))</f>
        <v>McLeod</v>
      </c>
      <c r="N113" s="137" t="str">
        <f>IF(ISERROR(INDEX(ContactList[#All],MATCH(ActionTracker[[#All],[Lease Number]],ContactList[[#All],[Lease Number]],0),12)),"",INDEX(ContactList[#All],MATCH(ActionTracker[[#All],[Lease Number]],ContactList[[#All],[Lease Number]],0),14))</f>
        <v>rjmc@fsrental.ca</v>
      </c>
      <c r="O113" s="137" t="str">
        <f>IF(ISERROR(INDEX(ContactList[#All],MATCH(ActionTracker[[#All],[Lease Number]],ContactList[[#All],[Lease Number]],0),12)),"",INDEX(ContactList[#All],MATCH(ActionTracker[[#All],[Lease Number]],ContactList[[#All],[Lease Number]],0),15))</f>
        <v>705 949 5400</v>
      </c>
      <c r="P113" s="138"/>
      <c r="Q113" s="139"/>
    </row>
    <row r="114" spans="1:17" x14ac:dyDescent="0.25">
      <c r="A114" s="135" t="s">
        <v>2900</v>
      </c>
      <c r="B114" s="136" t="str">
        <f>IF(ISERROR(INDEX(RTable[#All],MATCH(ActionTracker[[#All],[Lease Number]],RTable[[#All],[Lease Number]],0),1)),"",INDEX(RTable[#All],MATCH(ActionTracker[[#All],[Lease Number]],RTable[[#All],[Lease Number]],0),1))</f>
        <v>Fort Frances Clinic Holdings</v>
      </c>
      <c r="C114" s="140" t="str">
        <f>IF(ISERROR(INDEX(RTable[#All],MATCH(ActionTracker[[#All],[Lease Number]],RTable[[#All],[Lease Number]],0),1)),"",INDEX(RTable[#All],MATCH(ActionTracker[[#All],[Lease Number]],RTable[[#All],[Lease Number]],0),2)&amp;", "&amp;INDEX(RTable[#All],MATCH(ActionTracker[[#All],[Lease Number]],RTable[[#All],[Lease Number]],0),3))</f>
        <v>301 Victoria Ave, Fort Frances, O.N.</v>
      </c>
      <c r="D114" s="141" t="str">
        <f>IF(ISNUMBER(SEARCH($D$1,INDEX(RTable[#All],MATCH(ActionTracker[[#All],[Lease Number]],RTable[[#All],[Lease Number]],0),5))),"x","")</f>
        <v>x</v>
      </c>
      <c r="E114" s="141" t="str">
        <f>IF(ISNUMBER(SEARCH($E$1,INDEX(RTable[#All],MATCH(ActionTracker[[#All],[Lease Number]],RTable[[#All],[Lease Number]],0),5))),"x","")</f>
        <v/>
      </c>
      <c r="F114" s="141" t="str">
        <f>IF(ISNUMBER(SEARCH($F$1,INDEX(RTable[#All],MATCH(ActionTracker[[#All],[Lease Number]],RTable[[#All],[Lease Number]],0),5))),"x","")</f>
        <v>x</v>
      </c>
      <c r="G114" s="141" t="str">
        <f>IF(ISNUMBER(SEARCH($G$1,INDEX(RTable[#All],MATCH(ActionTracker[[#All],[Lease Number]],RTable[[#All],[Lease Number]],0),5))),"x","")</f>
        <v>x</v>
      </c>
      <c r="H114" s="141" t="str">
        <f>IF(ISNUMBER(SEARCH($H$1,INDEX(RTable[#All],MATCH(ActionTracker[[#All],[Lease Number]],RTable[[#All],[Lease Number]],0),5))),"x","")</f>
        <v>x</v>
      </c>
      <c r="I114" s="141" t="str">
        <f>IF(ISNUMBER(SEARCH($I$1,INDEX(RTable[#All],MATCH(ActionTracker[[#All],[Lease Number]],RTable[[#All],[Lease Number]],0),5))),"x","")</f>
        <v/>
      </c>
      <c r="J114" s="141" t="str">
        <f>IF(ISNUMBER(SEARCH($J$1,INDEX(RTable[#All],MATCH(ActionTracker[[#All],[Lease Number]],RTable[[#All],[Lease Number]],0),5))),"x","")</f>
        <v/>
      </c>
      <c r="K114"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14" s="137" t="str">
        <f>IF(ISERROR(INDEX(ContactList[#All],MATCH(ActionTracker[[#All],[Lease Number]],ContactList[[#All],[Lease Number]],0),12)),"",INDEX(ContactList[#All],MATCH(ActionTracker[[#All],[Lease Number]],ContactList[[#All],[Lease Number]],0),12))</f>
        <v>Marlis</v>
      </c>
      <c r="M114" s="137" t="str">
        <f>IF(ISERROR(INDEX(ContactList[#All],MATCH(ActionTracker[[#All],[Lease Number]],ContactList[[#All],[Lease Number]],0),12)),"",INDEX(ContactList[#All],MATCH(ActionTracker[[#All],[Lease Number]],ContactList[[#All],[Lease Number]],0),13))</f>
        <v>Bruyere</v>
      </c>
      <c r="N114" s="137" t="str">
        <f>IF(ISERROR(INDEX(ContactList[#All],MATCH(ActionTracker[[#All],[Lease Number]],ContactList[[#All],[Lease Number]],0),12)),"",INDEX(ContactList[#All],MATCH(ActionTracker[[#All],[Lease Number]],ContactList[[#All],[Lease Number]],0),14))</f>
        <v>marlis@jam21.net</v>
      </c>
      <c r="O114" s="137" t="str">
        <f>IF(ISERROR(INDEX(ContactList[#All],MATCH(ActionTracker[[#All],[Lease Number]],ContactList[[#All],[Lease Number]],0),12)),"",INDEX(ContactList[#All],MATCH(ActionTracker[[#All],[Lease Number]],ContactList[[#All],[Lease Number]],0),15))</f>
        <v>807-274-3287</v>
      </c>
      <c r="P114" s="138"/>
      <c r="Q114" s="139"/>
    </row>
    <row r="115" spans="1:17" ht="28.5" x14ac:dyDescent="0.25">
      <c r="A115" s="135" t="s">
        <v>1021</v>
      </c>
      <c r="B115" s="136" t="str">
        <f>IF(ISERROR(INDEX(RTable[#All],MATCH(ActionTracker[[#All],[Lease Number]],RTable[[#All],[Lease Number]],0),1)),"",INDEX(RTable[#All],MATCH(ActionTracker[[#All],[Lease Number]],RTable[[#All],[Lease Number]],0),1))</f>
        <v>Paul J Royce</v>
      </c>
      <c r="C115" s="140" t="str">
        <f>IF(ISERROR(INDEX(RTable[#All],MATCH(ActionTracker[[#All],[Lease Number]],RTable[[#All],[Lease Number]],0),1)),"",INDEX(RTable[#All],MATCH(ActionTracker[[#All],[Lease Number]],RTable[[#All],[Lease Number]],0),2)&amp;", "&amp;INDEX(RTable[#All],MATCH(ActionTracker[[#All],[Lease Number]],RTable[[#All],[Lease Number]],0),3))</f>
        <v>170-6451 Buswell Street, Richmond, B.C.</v>
      </c>
      <c r="D115" s="141" t="str">
        <f>IF(ISNUMBER(SEARCH($D$1,INDEX(RTable[#All],MATCH(ActionTracker[[#All],[Lease Number]],RTable[[#All],[Lease Number]],0),5))),"x","")</f>
        <v/>
      </c>
      <c r="E115" s="141" t="str">
        <f>IF(ISNUMBER(SEARCH($E$1,INDEX(RTable[#All],MATCH(ActionTracker[[#All],[Lease Number]],RTable[[#All],[Lease Number]],0),5))),"x","")</f>
        <v/>
      </c>
      <c r="F115" s="141" t="str">
        <f>IF(ISNUMBER(SEARCH($F$1,INDEX(RTable[#All],MATCH(ActionTracker[[#All],[Lease Number]],RTable[[#All],[Lease Number]],0),5))),"x","")</f>
        <v>x</v>
      </c>
      <c r="G115" s="141" t="str">
        <f>IF(ISNUMBER(SEARCH($G$1,INDEX(RTable[#All],MATCH(ActionTracker[[#All],[Lease Number]],RTable[[#All],[Lease Number]],0),5))),"x","")</f>
        <v>x</v>
      </c>
      <c r="H115" s="141" t="str">
        <f>IF(ISNUMBER(SEARCH($H$1,INDEX(RTable[#All],MATCH(ActionTracker[[#All],[Lease Number]],RTable[[#All],[Lease Number]],0),5))),"x","")</f>
        <v/>
      </c>
      <c r="I115" s="141" t="str">
        <f>IF(ISNUMBER(SEARCH($I$1,INDEX(RTable[#All],MATCH(ActionTracker[[#All],[Lease Number]],RTable[[#All],[Lease Number]],0),5))),"x","")</f>
        <v/>
      </c>
      <c r="J115" s="141" t="str">
        <f>IF(ISNUMBER(SEARCH($J$1,INDEX(RTable[#All],MATCH(ActionTracker[[#All],[Lease Number]],RTable[[#All],[Lease Number]],0),5))),"x","")</f>
        <v/>
      </c>
      <c r="K115"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15" s="137" t="str">
        <f>IF(ISERROR(INDEX(ContactList[#All],MATCH(ActionTracker[[#All],[Lease Number]],ContactList[[#All],[Lease Number]],0),12)),"",INDEX(ContactList[#All],MATCH(ActionTracker[[#All],[Lease Number]],ContactList[[#All],[Lease Number]],0),12))</f>
        <v>Andrew</v>
      </c>
      <c r="M115" s="137" t="str">
        <f>IF(ISERROR(INDEX(ContactList[#All],MATCH(ActionTracker[[#All],[Lease Number]],ContactList[[#All],[Lease Number]],0),12)),"",INDEX(ContactList[#All],MATCH(ActionTracker[[#All],[Lease Number]],ContactList[[#All],[Lease Number]],0),13))</f>
        <v>Peck</v>
      </c>
      <c r="N115" s="137" t="str">
        <f>IF(ISERROR(INDEX(ContactList[#All],MATCH(ActionTracker[[#All],[Lease Number]],ContactList[[#All],[Lease Number]],0),12)),"",INDEX(ContactList[#All],MATCH(ActionTracker[[#All],[Lease Number]],ContactList[[#All],[Lease Number]],0),14))</f>
        <v>apeck@royalpacific.com</v>
      </c>
      <c r="O115" s="137" t="str">
        <f>IF(ISERROR(INDEX(ContactList[#All],MATCH(ActionTracker[[#All],[Lease Number]],ContactList[[#All],[Lease Number]],0),12)),"",INDEX(ContactList[#All],MATCH(ActionTracker[[#All],[Lease Number]],ContactList[[#All],[Lease Number]],0),15))</f>
        <v>604 266 8989</v>
      </c>
      <c r="P115" s="138"/>
      <c r="Q115" s="139"/>
    </row>
    <row r="116" spans="1:17" ht="28.5" x14ac:dyDescent="0.25">
      <c r="A116" s="135" t="s">
        <v>1007</v>
      </c>
      <c r="B116" s="136" t="str">
        <f>IF(ISERROR(INDEX(RTable[#All],MATCH(ActionTracker[[#All],[Lease Number]],RTable[[#All],[Lease Number]],0),1)),"",INDEX(RTable[#All],MATCH(ActionTracker[[#All],[Lease Number]],RTable[[#All],[Lease Number]],0),1))</f>
        <v>Gregory Almas</v>
      </c>
      <c r="C116" s="140" t="str">
        <f>IF(ISERROR(INDEX(RTable[#All],MATCH(ActionTracker[[#All],[Lease Number]],RTable[[#All],[Lease Number]],0),1)),"",INDEX(RTable[#All],MATCH(ActionTracker[[#All],[Lease Number]],RTable[[#All],[Lease Number]],0),2)&amp;", "&amp;INDEX(RTable[#All],MATCH(ActionTracker[[#All],[Lease Number]],RTable[[#All],[Lease Number]],0),3))</f>
        <v>115-2419 Bellevue Avenue, West Vancouver, B.C.</v>
      </c>
      <c r="D116" s="141" t="str">
        <f>IF(ISNUMBER(SEARCH($D$1,INDEX(RTable[#All],MATCH(ActionTracker[[#All],[Lease Number]],RTable[[#All],[Lease Number]],0),5))),"x","")</f>
        <v>x</v>
      </c>
      <c r="E116" s="141" t="str">
        <f>IF(ISNUMBER(SEARCH($E$1,INDEX(RTable[#All],MATCH(ActionTracker[[#All],[Lease Number]],RTable[[#All],[Lease Number]],0),5))),"x","")</f>
        <v>x</v>
      </c>
      <c r="F116" s="141" t="str">
        <f>IF(ISNUMBER(SEARCH($F$1,INDEX(RTable[#All],MATCH(ActionTracker[[#All],[Lease Number]],RTable[[#All],[Lease Number]],0),5))),"x","")</f>
        <v/>
      </c>
      <c r="G116" s="141" t="str">
        <f>IF(ISNUMBER(SEARCH($G$1,INDEX(RTable[#All],MATCH(ActionTracker[[#All],[Lease Number]],RTable[[#All],[Lease Number]],0),5))),"x","")</f>
        <v>x</v>
      </c>
      <c r="H116" s="141" t="str">
        <f>IF(ISNUMBER(SEARCH($H$1,INDEX(RTable[#All],MATCH(ActionTracker[[#All],[Lease Number]],RTable[[#All],[Lease Number]],0),5))),"x","")</f>
        <v/>
      </c>
      <c r="I116" s="141" t="str">
        <f>IF(ISNUMBER(SEARCH($I$1,INDEX(RTable[#All],MATCH(ActionTracker[[#All],[Lease Number]],RTable[[#All],[Lease Number]],0),5))),"x","")</f>
        <v>x</v>
      </c>
      <c r="J116" s="141" t="str">
        <f>IF(ISNUMBER(SEARCH($J$1,INDEX(RTable[#All],MATCH(ActionTracker[[#All],[Lease Number]],RTable[[#All],[Lease Number]],0),5))),"x","")</f>
        <v/>
      </c>
      <c r="K116"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16" s="137" t="str">
        <f>IF(ISERROR(INDEX(ContactList[#All],MATCH(ActionTracker[[#All],[Lease Number]],ContactList[[#All],[Lease Number]],0),12)),"",INDEX(ContactList[#All],MATCH(ActionTracker[[#All],[Lease Number]],ContactList[[#All],[Lease Number]],0),12))</f>
        <v>Gregory</v>
      </c>
      <c r="M116" s="137" t="str">
        <f>IF(ISERROR(INDEX(ContactList[#All],MATCH(ActionTracker[[#All],[Lease Number]],ContactList[[#All],[Lease Number]],0),12)),"",INDEX(ContactList[#All],MATCH(ActionTracker[[#All],[Lease Number]],ContactList[[#All],[Lease Number]],0),13))</f>
        <v>Almas</v>
      </c>
      <c r="N116" s="137" t="str">
        <f>IF(ISERROR(INDEX(ContactList[#All],MATCH(ActionTracker[[#All],[Lease Number]],ContactList[[#All],[Lease Number]],0),12)),"",INDEX(ContactList[#All],MATCH(ActionTracker[[#All],[Lease Number]],ContactList[[#All],[Lease Number]],0),14))</f>
        <v>gregory.almas@fsresidential.com</v>
      </c>
      <c r="O116" s="137" t="str">
        <f>IF(ISERROR(INDEX(ContactList[#All],MATCH(ActionTracker[[#All],[Lease Number]],ContactList[[#All],[Lease Number]],0),12)),"",INDEX(ContactList[#All],MATCH(ActionTracker[[#All],[Lease Number]],ContactList[[#All],[Lease Number]],0),15))</f>
        <v>604 648 4452</v>
      </c>
      <c r="P116" s="138"/>
      <c r="Q116" s="139"/>
    </row>
    <row r="117" spans="1:17" x14ac:dyDescent="0.25">
      <c r="A117" s="135" t="s">
        <v>952</v>
      </c>
      <c r="B117" s="136" t="str">
        <f>IF(ISERROR(INDEX(RTable[#All],MATCH(ActionTracker[[#All],[Lease Number]],RTable[[#All],[Lease Number]],0),1)),"",INDEX(RTable[#All],MATCH(ActionTracker[[#All],[Lease Number]],RTable[[#All],[Lease Number]],0),1))</f>
        <v>Amritpal Gill</v>
      </c>
      <c r="C117" s="140" t="str">
        <f>IF(ISERROR(INDEX(RTable[#All],MATCH(ActionTracker[[#All],[Lease Number]],RTable[[#All],[Lease Number]],0),1)),"",INDEX(RTable[#All],MATCH(ActionTracker[[#All],[Lease Number]],RTable[[#All],[Lease Number]],0),2)&amp;", "&amp;INDEX(RTable[#All],MATCH(ActionTracker[[#All],[Lease Number]],RTable[[#All],[Lease Number]],0),3))</f>
        <v>7120/7130 - 120 Street, Surrey, B.C.</v>
      </c>
      <c r="D117" s="141" t="str">
        <f>IF(ISNUMBER(SEARCH($D$1,INDEX(RTable[#All],MATCH(ActionTracker[[#All],[Lease Number]],RTable[[#All],[Lease Number]],0),5))),"x","")</f>
        <v/>
      </c>
      <c r="E117" s="141" t="str">
        <f>IF(ISNUMBER(SEARCH($E$1,INDEX(RTable[#All],MATCH(ActionTracker[[#All],[Lease Number]],RTable[[#All],[Lease Number]],0),5))),"x","")</f>
        <v/>
      </c>
      <c r="F117" s="141" t="str">
        <f>IF(ISNUMBER(SEARCH($F$1,INDEX(RTable[#All],MATCH(ActionTracker[[#All],[Lease Number]],RTable[[#All],[Lease Number]],0),5))),"x","")</f>
        <v>x</v>
      </c>
      <c r="G117" s="141" t="str">
        <f>IF(ISNUMBER(SEARCH($G$1,INDEX(RTable[#All],MATCH(ActionTracker[[#All],[Lease Number]],RTable[[#All],[Lease Number]],0),5))),"x","")</f>
        <v>x</v>
      </c>
      <c r="H117" s="141" t="str">
        <f>IF(ISNUMBER(SEARCH($H$1,INDEX(RTable[#All],MATCH(ActionTracker[[#All],[Lease Number]],RTable[[#All],[Lease Number]],0),5))),"x","")</f>
        <v/>
      </c>
      <c r="I117" s="141" t="str">
        <f>IF(ISNUMBER(SEARCH($I$1,INDEX(RTable[#All],MATCH(ActionTracker[[#All],[Lease Number]],RTable[[#All],[Lease Number]],0),5))),"x","")</f>
        <v>x</v>
      </c>
      <c r="J117" s="141" t="str">
        <f>IF(ISNUMBER(SEARCH($J$1,INDEX(RTable[#All],MATCH(ActionTracker[[#All],[Lease Number]],RTable[[#All],[Lease Number]],0),5))),"x","")</f>
        <v/>
      </c>
      <c r="K117"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17" s="137" t="str">
        <f>IF(ISERROR(INDEX(ContactList[#All],MATCH(ActionTracker[[#All],[Lease Number]],ContactList[[#All],[Lease Number]],0),12)),"",INDEX(ContactList[#All],MATCH(ActionTracker[[#All],[Lease Number]],ContactList[[#All],[Lease Number]],0),12))</f>
        <v>Amritpal</v>
      </c>
      <c r="M117" s="137" t="str">
        <f>IF(ISERROR(INDEX(ContactList[#All],MATCH(ActionTracker[[#All],[Lease Number]],ContactList[[#All],[Lease Number]],0),12)),"",INDEX(ContactList[#All],MATCH(ActionTracker[[#All],[Lease Number]],ContactList[[#All],[Lease Number]],0),13))</f>
        <v>Gill</v>
      </c>
      <c r="N117" s="137" t="str">
        <f>IF(ISERROR(INDEX(ContactList[#All],MATCH(ActionTracker[[#All],[Lease Number]],ContactList[[#All],[Lease Number]],0),12)),"",INDEX(ContactList[#All],MATCH(ActionTracker[[#All],[Lease Number]],ContactList[[#All],[Lease Number]],0),14))</f>
        <v>info@amritech.com</v>
      </c>
      <c r="O117" s="137" t="str">
        <f>IF(ISERROR(INDEX(ContactList[#All],MATCH(ActionTracker[[#All],[Lease Number]],ContactList[[#All],[Lease Number]],0),12)),"",INDEX(ContactList[#All],MATCH(ActionTracker[[#All],[Lease Number]],ContactList[[#All],[Lease Number]],0),15))</f>
        <v>604 572 9111</v>
      </c>
      <c r="P117" s="138"/>
      <c r="Q117" s="139"/>
    </row>
    <row r="118" spans="1:17" x14ac:dyDescent="0.25">
      <c r="A118" s="50" t="s">
        <v>2633</v>
      </c>
      <c r="B118" s="147" t="str">
        <f>IF(ISERROR(INDEX(RTable[#All],MATCH(ActionTracker[[#All],[Lease Number]],RTable[[#All],[Lease Number]],0),1)),"",INDEX(RTable[#All],MATCH(ActionTracker[[#All],[Lease Number]],RTable[[#All],[Lease Number]],0),1))</f>
        <v>Peter Tsang</v>
      </c>
      <c r="C118" s="148" t="str">
        <f>IF(ISERROR(INDEX(RTable[#All],MATCH(ActionTracker[[#All],[Lease Number]],RTable[[#All],[Lease Number]],0),1)),"",INDEX(RTable[#All],MATCH(ActionTracker[[#All],[Lease Number]],RTable[[#All],[Lease Number]],0),2)&amp;", "&amp;INDEX(RTable[#All],MATCH(ActionTracker[[#All],[Lease Number]],RTable[[#All],[Lease Number]],0),3))</f>
        <v xml:space="preserve">210 Memorial Avenue, Orillia, O.N. </v>
      </c>
      <c r="D118" s="149" t="str">
        <f>IF(ISNUMBER(SEARCH($D$1,INDEX(RTable[#All],MATCH(ActionTracker[[#All],[Lease Number]],RTable[[#All],[Lease Number]],0),5))),"x","")</f>
        <v/>
      </c>
      <c r="E118" s="149" t="str">
        <f>IF(ISNUMBER(SEARCH($E$1,INDEX(RTable[#All],MATCH(ActionTracker[[#All],[Lease Number]],RTable[[#All],[Lease Number]],0),5))),"x","")</f>
        <v/>
      </c>
      <c r="F118" s="149" t="str">
        <f>IF(ISNUMBER(SEARCH($F$1,INDEX(RTable[#All],MATCH(ActionTracker[[#All],[Lease Number]],RTable[[#All],[Lease Number]],0),5))),"x","")</f>
        <v>x</v>
      </c>
      <c r="G118" s="149" t="str">
        <f>IF(ISNUMBER(SEARCH($G$1,INDEX(RTable[#All],MATCH(ActionTracker[[#All],[Lease Number]],RTable[[#All],[Lease Number]],0),5))),"x","")</f>
        <v>x</v>
      </c>
      <c r="H118" s="149" t="str">
        <f>IF(ISNUMBER(SEARCH($H$1,INDEX(RTable[#All],MATCH(ActionTracker[[#All],[Lease Number]],RTable[[#All],[Lease Number]],0),5))),"x","")</f>
        <v/>
      </c>
      <c r="I118" s="149" t="str">
        <f>IF(ISNUMBER(SEARCH($I$1,INDEX(RTable[#All],MATCH(ActionTracker[[#All],[Lease Number]],RTable[[#All],[Lease Number]],0),5))),"x","")</f>
        <v/>
      </c>
      <c r="J118" s="149" t="str">
        <f>IF(ISNUMBER(SEARCH($J$1,INDEX(RTable[#All],MATCH(ActionTracker[[#All],[Lease Number]],RTable[[#All],[Lease Number]],0),5))),"x","")</f>
        <v/>
      </c>
      <c r="K118"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18" s="146" t="str">
        <f>IF(ISERROR(INDEX(ContactList[#All],MATCH(ActionTracker[[#All],[Lease Number]],ContactList[[#All],[Lease Number]],0),12)),"",INDEX(ContactList[#All],MATCH(ActionTracker[[#All],[Lease Number]],ContactList[[#All],[Lease Number]],0),12))</f>
        <v>Desmond
Peter</v>
      </c>
      <c r="M118" s="146" t="str">
        <f>IF(ISERROR(INDEX(ContactList[#All],MATCH(ActionTracker[[#All],[Lease Number]],ContactList[[#All],[Lease Number]],0),12)),"",INDEX(ContactList[#All],MATCH(ActionTracker[[#All],[Lease Number]],ContactList[[#All],[Lease Number]],0),13))</f>
        <v>Au
Tsang</v>
      </c>
      <c r="N118" s="146" t="str">
        <f>IF(ISERROR(INDEX(ContactList[#All],MATCH(ActionTracker[[#All],[Lease Number]],ContactList[[#All],[Lease Number]],0),12)),"",INDEX(ContactList[#All],MATCH(ActionTracker[[#All],[Lease Number]],ContactList[[#All],[Lease Number]],0),14))</f>
        <v>info@canust.com</v>
      </c>
      <c r="O118" s="146" t="str">
        <f>IF(ISERROR(INDEX(ContactList[#All],MATCH(ActionTracker[[#All],[Lease Number]],ContactList[[#All],[Lease Number]],0),12)),"",INDEX(ContactList[#All],MATCH(ActionTracker[[#All],[Lease Number]],ContactList[[#All],[Lease Number]],0),15))</f>
        <v>905 475 1223</v>
      </c>
      <c r="P118" s="44"/>
      <c r="Q118" s="89"/>
    </row>
    <row r="119" spans="1:17" ht="30" x14ac:dyDescent="0.25">
      <c r="A119" s="135" t="s">
        <v>2057</v>
      </c>
      <c r="B119" s="136" t="str">
        <f>IF(ISERROR(INDEX(RTable[#All],MATCH(ActionTracker[[#All],[Lease Number]],RTable[[#All],[Lease Number]],0),1)),"",INDEX(RTable[#All],MATCH(ActionTracker[[#All],[Lease Number]],RTable[[#All],[Lease Number]],0),1))</f>
        <v>Benefit Partners - Dan Millar</v>
      </c>
      <c r="C119" s="140" t="str">
        <f>IF(ISERROR(INDEX(RTable[#All],MATCH(ActionTracker[[#All],[Lease Number]],RTable[[#All],[Lease Number]],0),1)),"",INDEX(RTable[#All],MATCH(ActionTracker[[#All],[Lease Number]],RTable[[#All],[Lease Number]],0),2)&amp;", "&amp;INDEX(RTable[#All],MATCH(ActionTracker[[#All],[Lease Number]],RTable[[#All],[Lease Number]],0),3))</f>
        <v>222 Catharine St, Suite 3, Port Colborne</v>
      </c>
      <c r="D119" s="141" t="str">
        <f>IF(ISNUMBER(SEARCH($D$1,INDEX(RTable[#All],MATCH(ActionTracker[[#All],[Lease Number]],RTable[[#All],[Lease Number]],0),5))),"x","")</f>
        <v>x</v>
      </c>
      <c r="E119" s="141" t="str">
        <f>IF(ISNUMBER(SEARCH($E$1,INDEX(RTable[#All],MATCH(ActionTracker[[#All],[Lease Number]],RTable[[#All],[Lease Number]],0),5))),"x","")</f>
        <v>x</v>
      </c>
      <c r="F119" s="141" t="str">
        <f>IF(ISNUMBER(SEARCH($F$1,INDEX(RTable[#All],MATCH(ActionTracker[[#All],[Lease Number]],RTable[[#All],[Lease Number]],0),5))),"x","")</f>
        <v>x</v>
      </c>
      <c r="G119" s="141" t="str">
        <f>IF(ISNUMBER(SEARCH($G$1,INDEX(RTable[#All],MATCH(ActionTracker[[#All],[Lease Number]],RTable[[#All],[Lease Number]],0),5))),"x","")</f>
        <v>x</v>
      </c>
      <c r="H119" s="141" t="str">
        <f>IF(ISNUMBER(SEARCH($H$1,INDEX(RTable[#All],MATCH(ActionTracker[[#All],[Lease Number]],RTable[[#All],[Lease Number]],0),5))),"x","")</f>
        <v>x</v>
      </c>
      <c r="I119" s="141" t="str">
        <f>IF(ISNUMBER(SEARCH($I$1,INDEX(RTable[#All],MATCH(ActionTracker[[#All],[Lease Number]],RTable[[#All],[Lease Number]],0),5))),"x","")</f>
        <v>x</v>
      </c>
      <c r="J119" s="141" t="str">
        <f>IF(ISNUMBER(SEARCH($J$1,INDEX(RTable[#All],MATCH(ActionTracker[[#All],[Lease Number]],RTable[[#All],[Lease Number]],0),5))),"x","")</f>
        <v/>
      </c>
      <c r="K119"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Complete</v>
      </c>
      <c r="L119" s="137" t="str">
        <f>IF(ISERROR(INDEX(ContactList[#All],MATCH(ActionTracker[[#All],[Lease Number]],ContactList[[#All],[Lease Number]],0),12)),"",INDEX(ContactList[#All],MATCH(ActionTracker[[#All],[Lease Number]],ContactList[[#All],[Lease Number]],0),12))</f>
        <v>Daniel</v>
      </c>
      <c r="M119" s="137" t="str">
        <f>IF(ISERROR(INDEX(ContactList[#All],MATCH(ActionTracker[[#All],[Lease Number]],ContactList[[#All],[Lease Number]],0),12)),"",INDEX(ContactList[#All],MATCH(ActionTracker[[#All],[Lease Number]],ContactList[[#All],[Lease Number]],0),13))</f>
        <v>Millar</v>
      </c>
      <c r="N119" s="137" t="str">
        <f>IF(ISERROR(INDEX(ContactList[#All],MATCH(ActionTracker[[#All],[Lease Number]],ContactList[[#All],[Lease Number]],0),12)),"",INDEX(ContactList[#All],MATCH(ActionTracker[[#All],[Lease Number]],ContactList[[#All],[Lease Number]],0),14))</f>
        <v>dan.millar@benefitpartners.com</v>
      </c>
      <c r="O119" s="137" t="str">
        <f>IF(ISERROR(INDEX(ContactList[#All],MATCH(ActionTracker[[#All],[Lease Number]],ContactList[[#All],[Lease Number]],0),12)),"",INDEX(ContactList[#All],MATCH(ActionTracker[[#All],[Lease Number]],ContactList[[#All],[Lease Number]],0),15))</f>
        <v>905.834.9228</v>
      </c>
      <c r="P119" s="138"/>
      <c r="Q119" s="139"/>
    </row>
    <row r="120" spans="1:17" x14ac:dyDescent="0.25">
      <c r="A120" s="135" t="s">
        <v>1721</v>
      </c>
      <c r="B120" s="136"/>
      <c r="C120" s="140" t="str">
        <f>IF(ISERROR(INDEX(RTable[#All],MATCH(ActionTracker[[#All],[Lease Number]],RTable[[#All],[Lease Number]],0),1)),"",INDEX(RTable[#All],MATCH(ActionTracker[[#All],[Lease Number]],RTable[[#All],[Lease Number]],0),2)&amp;", "&amp;INDEX(RTable[#All],MATCH(ActionTracker[[#All],[Lease Number]],RTable[[#All],[Lease Number]],0),3))</f>
        <v>3680 Gilmore Way, Burnaby, B.C.</v>
      </c>
      <c r="D120" s="141" t="str">
        <f>IF(ISNUMBER(SEARCH($D$1,INDEX(RTable[#All],MATCH(ActionTracker[[#All],[Lease Number]],RTable[[#All],[Lease Number]],0),5))),"x","")</f>
        <v>x</v>
      </c>
      <c r="E120" s="141" t="str">
        <f>IF(ISNUMBER(SEARCH($E$1,INDEX(RTable[#All],MATCH(ActionTracker[[#All],[Lease Number]],RTable[[#All],[Lease Number]],0),5))),"x","")</f>
        <v>x</v>
      </c>
      <c r="F120" s="141" t="str">
        <f>IF(ISNUMBER(SEARCH($F$1,INDEX(RTable[#All],MATCH(ActionTracker[[#All],[Lease Number]],RTable[[#All],[Lease Number]],0),5))),"x","")</f>
        <v>x</v>
      </c>
      <c r="G120" s="141" t="str">
        <f>IF(ISNUMBER(SEARCH($G$1,INDEX(RTable[#All],MATCH(ActionTracker[[#All],[Lease Number]],RTable[[#All],[Lease Number]],0),5))),"x","")</f>
        <v>x</v>
      </c>
      <c r="H120" s="141" t="str">
        <f>IF(ISNUMBER(SEARCH($H$1,INDEX(RTable[#All],MATCH(ActionTracker[[#All],[Lease Number]],RTable[[#All],[Lease Number]],0),5))),"x","")</f>
        <v>x</v>
      </c>
      <c r="I120" s="141" t="str">
        <f>IF(ISNUMBER(SEARCH($I$1,INDEX(RTable[#All],MATCH(ActionTracker[[#All],[Lease Number]],RTable[[#All],[Lease Number]],0),5))),"x","")</f>
        <v>x</v>
      </c>
      <c r="J120" s="141" t="str">
        <f>IF(ISNUMBER(SEARCH($J$1,INDEX(RTable[#All],MATCH(ActionTracker[[#All],[Lease Number]],RTable[[#All],[Lease Number]],0),5))),"x","")</f>
        <v/>
      </c>
      <c r="K120"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Complete</v>
      </c>
      <c r="L120" s="137" t="str">
        <f>IF(ISERROR(INDEX(ContactList[#All],MATCH(ActionTracker[[#All],[Lease Number]],ContactList[[#All],[Lease Number]],0),12)),"",INDEX(ContactList[#All],MATCH(ActionTracker[[#All],[Lease Number]],ContactList[[#All],[Lease Number]],0),12))</f>
        <v>Kevin</v>
      </c>
      <c r="M120" s="137" t="str">
        <f>IF(ISERROR(INDEX(ContactList[#All],MATCH(ActionTracker[[#All],[Lease Number]],ContactList[[#All],[Lease Number]],0),12)),"",INDEX(ContactList[#All],MATCH(ActionTracker[[#All],[Lease Number]],ContactList[[#All],[Lease Number]],0),13))</f>
        <v>Wheeler</v>
      </c>
      <c r="N120" s="137" t="str">
        <f>IF(ISERROR(INDEX(ContactList[#All],MATCH(ActionTracker[[#All],[Lease Number]],ContactList[[#All],[Lease Number]],0),12)),"",INDEX(ContactList[#All],MATCH(ActionTracker[[#All],[Lease Number]],ContactList[[#All],[Lease Number]],0),14))</f>
        <v>Kevin.Wheeler@lifelabs.com</v>
      </c>
      <c r="O120" s="137" t="str">
        <f>IF(ISERROR(INDEX(ContactList[#All],MATCH(ActionTracker[[#All],[Lease Number]],ContactList[[#All],[Lease Number]],0),12)),"",INDEX(ContactList[#All],MATCH(ActionTracker[[#All],[Lease Number]],ContactList[[#All],[Lease Number]],0),15))</f>
        <v>604 412 4463</v>
      </c>
      <c r="P120" s="138"/>
      <c r="Q120" s="139"/>
    </row>
    <row r="121" spans="1:17" x14ac:dyDescent="0.25">
      <c r="A121" s="135" t="s">
        <v>1683</v>
      </c>
      <c r="B121" s="136"/>
      <c r="C121" s="140" t="str">
        <f>IF(ISERROR(INDEX(RTable[#All],MATCH(ActionTracker[[#All],[Lease Number]],RTable[[#All],[Lease Number]],0),1)),"",INDEX(RTable[#All],MATCH(ActionTracker[[#All],[Lease Number]],RTable[[#All],[Lease Number]],0),2)&amp;", "&amp;INDEX(RTable[#All],MATCH(ActionTracker[[#All],[Lease Number]],RTable[[#All],[Lease Number]],0),3))</f>
        <v>7455 130th Street, Surrey, B.C.</v>
      </c>
      <c r="D121" s="141" t="str">
        <f>IF(ISNUMBER(SEARCH($D$1,INDEX(RTable[#All],MATCH(ActionTracker[[#All],[Lease Number]],RTable[[#All],[Lease Number]],0),5))),"x","")</f>
        <v>x</v>
      </c>
      <c r="E121" s="141" t="str">
        <f>IF(ISNUMBER(SEARCH($E$1,INDEX(RTable[#All],MATCH(ActionTracker[[#All],[Lease Number]],RTable[[#All],[Lease Number]],0),5))),"x","")</f>
        <v>x</v>
      </c>
      <c r="F121" s="141" t="str">
        <f>IF(ISNUMBER(SEARCH($F$1,INDEX(RTable[#All],MATCH(ActionTracker[[#All],[Lease Number]],RTable[[#All],[Lease Number]],0),5))),"x","")</f>
        <v>x</v>
      </c>
      <c r="G121" s="141" t="str">
        <f>IF(ISNUMBER(SEARCH($G$1,INDEX(RTable[#All],MATCH(ActionTracker[[#All],[Lease Number]],RTable[[#All],[Lease Number]],0),5))),"x","")</f>
        <v>x</v>
      </c>
      <c r="H121" s="141" t="str">
        <f>IF(ISNUMBER(SEARCH($H$1,INDEX(RTable[#All],MATCH(ActionTracker[[#All],[Lease Number]],RTable[[#All],[Lease Number]],0),5))),"x","")</f>
        <v>x</v>
      </c>
      <c r="I121" s="141" t="str">
        <f>IF(ISNUMBER(SEARCH($I$1,INDEX(RTable[#All],MATCH(ActionTracker[[#All],[Lease Number]],RTable[[#All],[Lease Number]],0),5))),"x","")</f>
        <v>x</v>
      </c>
      <c r="J121" s="141" t="str">
        <f>IF(ISNUMBER(SEARCH($J$1,INDEX(RTable[#All],MATCH(ActionTracker[[#All],[Lease Number]],RTable[[#All],[Lease Number]],0),5))),"x","")</f>
        <v/>
      </c>
      <c r="K121"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Complete</v>
      </c>
      <c r="L121" s="137" t="str">
        <f>IF(ISERROR(INDEX(ContactList[#All],MATCH(ActionTracker[[#All],[Lease Number]],ContactList[[#All],[Lease Number]],0),12)),"",INDEX(ContactList[#All],MATCH(ActionTracker[[#All],[Lease Number]],ContactList[[#All],[Lease Number]],0),12))</f>
        <v>Kevin</v>
      </c>
      <c r="M121" s="137" t="str">
        <f>IF(ISERROR(INDEX(ContactList[#All],MATCH(ActionTracker[[#All],[Lease Number]],ContactList[[#All],[Lease Number]],0),12)),"",INDEX(ContactList[#All],MATCH(ActionTracker[[#All],[Lease Number]],ContactList[[#All],[Lease Number]],0),13))</f>
        <v>Wheeler</v>
      </c>
      <c r="N121" s="137" t="str">
        <f>IF(ISERROR(INDEX(ContactList[#All],MATCH(ActionTracker[[#All],[Lease Number]],ContactList[[#All],[Lease Number]],0),12)),"",INDEX(ContactList[#All],MATCH(ActionTracker[[#All],[Lease Number]],ContactList[[#All],[Lease Number]],0),14))</f>
        <v>Kevin.Wheeler@lifelabs.com</v>
      </c>
      <c r="O121" s="137" t="str">
        <f>IF(ISERROR(INDEX(ContactList[#All],MATCH(ActionTracker[[#All],[Lease Number]],ContactList[[#All],[Lease Number]],0),12)),"",INDEX(ContactList[#All],MATCH(ActionTracker[[#All],[Lease Number]],ContactList[[#All],[Lease Number]],0),15))</f>
        <v>604 412 4463</v>
      </c>
      <c r="P121" s="138"/>
      <c r="Q121" s="139"/>
    </row>
    <row r="122" spans="1:17" ht="45" x14ac:dyDescent="0.25">
      <c r="A122" s="135" t="s">
        <v>2706</v>
      </c>
      <c r="B122" s="136" t="str">
        <f>IF(ISERROR(INDEX(RTable[#All],MATCH(ActionTracker[[#All],[Lease Number]],RTable[[#All],[Lease Number]],0),1)),"",INDEX(RTable[#All],MATCH(ActionTracker[[#All],[Lease Number]],RTable[[#All],[Lease Number]],0),1))</f>
        <v>Grandview Property Management fro Surrey Street Medical Centre</v>
      </c>
      <c r="C122" s="140" t="str">
        <f>IF(ISERROR(INDEX(RTable[#All],MATCH(ActionTracker[[#All],[Lease Number]],RTable[[#All],[Lease Number]],0),1)),"",INDEX(RTable[#All],MATCH(ActionTracker[[#All],[Lease Number]],RTable[[#All],[Lease Number]],0),2)&amp;", "&amp;INDEX(RTable[#All],MATCH(ActionTracker[[#All],[Lease Number]],RTable[[#All],[Lease Number]],0),3))</f>
        <v>21 Surrey Street West , Guelph, O.N</v>
      </c>
      <c r="D122" s="141" t="str">
        <f>IF(ISNUMBER(SEARCH($D$1,INDEX(RTable[#All],MATCH(ActionTracker[[#All],[Lease Number]],RTable[[#All],[Lease Number]],0),5))),"x","")</f>
        <v>x</v>
      </c>
      <c r="E122" s="141" t="str">
        <f>IF(ISNUMBER(SEARCH($E$1,INDEX(RTable[#All],MATCH(ActionTracker[[#All],[Lease Number]],RTable[[#All],[Lease Number]],0),5))),"x","")</f>
        <v>x</v>
      </c>
      <c r="F122" s="141" t="str">
        <f>IF(ISNUMBER(SEARCH($F$1,INDEX(RTable[#All],MATCH(ActionTracker[[#All],[Lease Number]],RTable[[#All],[Lease Number]],0),5))),"x","")</f>
        <v>x</v>
      </c>
      <c r="G122" s="141" t="str">
        <f>IF(ISNUMBER(SEARCH($G$1,INDEX(RTable[#All],MATCH(ActionTracker[[#All],[Lease Number]],RTable[[#All],[Lease Number]],0),5))),"x","")</f>
        <v>x</v>
      </c>
      <c r="H122" s="141" t="str">
        <f>IF(ISNUMBER(SEARCH($H$1,INDEX(RTable[#All],MATCH(ActionTracker[[#All],[Lease Number]],RTable[[#All],[Lease Number]],0),5))),"x","")</f>
        <v>x</v>
      </c>
      <c r="I122" s="141" t="str">
        <f>IF(ISNUMBER(SEARCH($I$1,INDEX(RTable[#All],MATCH(ActionTracker[[#All],[Lease Number]],RTable[[#All],[Lease Number]],0),5))),"x","")</f>
        <v>x</v>
      </c>
      <c r="J122" s="141" t="str">
        <f>IF(ISNUMBER(SEARCH($J$1,INDEX(RTable[#All],MATCH(ActionTracker[[#All],[Lease Number]],RTable[[#All],[Lease Number]],0),5))),"x","")</f>
        <v/>
      </c>
      <c r="K122"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Complete</v>
      </c>
      <c r="L122" s="137" t="str">
        <f>IF(ISERROR(INDEX(ContactList[#All],MATCH(ActionTracker[[#All],[Lease Number]],ContactList[[#All],[Lease Number]],0),12)),"",INDEX(ContactList[#All],MATCH(ActionTracker[[#All],[Lease Number]],ContactList[[#All],[Lease Number]],0),12))</f>
        <v>Mike</v>
      </c>
      <c r="M122" s="137" t="str">
        <f>IF(ISERROR(INDEX(ContactList[#All],MATCH(ActionTracker[[#All],[Lease Number]],ContactList[[#All],[Lease Number]],0),12)),"",INDEX(ContactList[#All],MATCH(ActionTracker[[#All],[Lease Number]],ContactList[[#All],[Lease Number]],0),13))</f>
        <v>Von Teichman</v>
      </c>
      <c r="N122" s="137" t="str">
        <f>IF(ISERROR(INDEX(ContactList[#All],MATCH(ActionTracker[[#All],[Lease Number]],ContactList[[#All],[Lease Number]],0),12)),"",INDEX(ContactList[#All],MATCH(ActionTracker[[#All],[Lease Number]],ContactList[[#All],[Lease Number]],0),14))</f>
        <v>mike@grandviewpma.com</v>
      </c>
      <c r="O122" s="137" t="str">
        <f>IF(ISERROR(INDEX(ContactList[#All],MATCH(ActionTracker[[#All],[Lease Number]],ContactList[[#All],[Lease Number]],0),12)),"",INDEX(ContactList[#All],MATCH(ActionTracker[[#All],[Lease Number]],ContactList[[#All],[Lease Number]],0),15))</f>
        <v>416 817 3337</v>
      </c>
      <c r="P122" s="138"/>
      <c r="Q122" s="139"/>
    </row>
    <row r="123" spans="1:17" ht="28.5" x14ac:dyDescent="0.25">
      <c r="A123" s="135" t="s">
        <v>2216</v>
      </c>
      <c r="B123" s="136" t="str">
        <f>IF(ISERROR(INDEX(RTable[#All],MATCH(ActionTracker[[#All],[Lease Number]],RTable[[#All],[Lease Number]],0),1)),"",INDEX(RTable[#All],MATCH(ActionTracker[[#All],[Lease Number]],RTable[[#All],[Lease Number]],0),1))</f>
        <v>Syl Carle</v>
      </c>
      <c r="C123" s="140" t="str">
        <f>IF(ISERROR(INDEX(RTable[#All],MATCH(ActionTracker[[#All],[Lease Number]],RTable[[#All],[Lease Number]],0),1)),"",INDEX(RTable[#All],MATCH(ActionTracker[[#All],[Lease Number]],RTable[[#All],[Lease Number]],0),2)&amp;", "&amp;INDEX(RTable[#All],MATCH(ActionTracker[[#All],[Lease Number]],RTable[[#All],[Lease Number]],0),3))</f>
        <v>1A Princess Anne Drive, Georgetown, O.N.</v>
      </c>
      <c r="D123" s="141" t="str">
        <f>IF(ISNUMBER(SEARCH($D$1,INDEX(RTable[#All],MATCH(ActionTracker[[#All],[Lease Number]],RTable[[#All],[Lease Number]],0),5))),"x","")</f>
        <v/>
      </c>
      <c r="E123" s="141" t="str">
        <f>IF(ISNUMBER(SEARCH($E$1,INDEX(RTable[#All],MATCH(ActionTracker[[#All],[Lease Number]],RTable[[#All],[Lease Number]],0),5))),"x","")</f>
        <v/>
      </c>
      <c r="F123" s="141" t="str">
        <f>IF(ISNUMBER(SEARCH($F$1,INDEX(RTable[#All],MATCH(ActionTracker[[#All],[Lease Number]],RTable[[#All],[Lease Number]],0),5))),"x","")</f>
        <v/>
      </c>
      <c r="G123" s="141" t="str">
        <f>IF(ISNUMBER(SEARCH($G$1,INDEX(RTable[#All],MATCH(ActionTracker[[#All],[Lease Number]],RTable[[#All],[Lease Number]],0),5))),"x","")</f>
        <v/>
      </c>
      <c r="H123" s="141" t="str">
        <f>IF(ISNUMBER(SEARCH($H$1,INDEX(RTable[#All],MATCH(ActionTracker[[#All],[Lease Number]],RTable[[#All],[Lease Number]],0),5))),"x","")</f>
        <v/>
      </c>
      <c r="I123" s="141" t="str">
        <f>IF(ISNUMBER(SEARCH($I$1,INDEX(RTable[#All],MATCH(ActionTracker[[#All],[Lease Number]],RTable[[#All],[Lease Number]],0),5))),"x","")</f>
        <v/>
      </c>
      <c r="J123" s="141" t="str">
        <f>IF(ISNUMBER(SEARCH($J$1,INDEX(RTable[#All],MATCH(ActionTracker[[#All],[Lease Number]],RTable[[#All],[Lease Number]],0),5))),"x","")</f>
        <v>x</v>
      </c>
      <c r="K123"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None</v>
      </c>
      <c r="L123" s="137" t="str">
        <f>IF(ISERROR(INDEX(ContactList[#All],MATCH(ActionTracker[[#All],[Lease Number]],ContactList[[#All],[Lease Number]],0),12)),"",INDEX(ContactList[#All],MATCH(ActionTracker[[#All],[Lease Number]],ContactList[[#All],[Lease Number]],0),12))</f>
        <v>Syl</v>
      </c>
      <c r="M123" s="137" t="str">
        <f>IF(ISERROR(INDEX(ContactList[#All],MATCH(ActionTracker[[#All],[Lease Number]],ContactList[[#All],[Lease Number]],0),12)),"",INDEX(ContactList[#All],MATCH(ActionTracker[[#All],[Lease Number]],ContactList[[#All],[Lease Number]],0),13))</f>
        <v>Carle</v>
      </c>
      <c r="N123" s="137" t="str">
        <f>IF(ISERROR(INDEX(ContactList[#All],MATCH(ActionTracker[[#All],[Lease Number]],ContactList[[#All],[Lease Number]],0),12)),"",INDEX(ContactList[#All],MATCH(ActionTracker[[#All],[Lease Number]],ContactList[[#All],[Lease Number]],0),14))</f>
        <v>syl.carle@northhaltongroup.com</v>
      </c>
      <c r="O123" s="137" t="str">
        <f>IF(ISERROR(INDEX(ContactList[#All],MATCH(ActionTracker[[#All],[Lease Number]],ContactList[[#All],[Lease Number]],0),12)),"",INDEX(ContactList[#All],MATCH(ActionTracker[[#All],[Lease Number]],ContactList[[#All],[Lease Number]],0),15))</f>
        <v>416 305 9901</v>
      </c>
      <c r="P123" s="138"/>
      <c r="Q123" s="139"/>
    </row>
    <row r="124" spans="1:17" ht="45" x14ac:dyDescent="0.25">
      <c r="A124" s="135" t="s">
        <v>3492</v>
      </c>
      <c r="B124" s="136" t="str">
        <f>IF(ISERROR(INDEX(RTable[#All],MATCH(ActionTracker[[#All],[Lease Number]],RTable[[#All],[Lease Number]],0),1)),"",INDEX(RTable[#All],MATCH(ActionTracker[[#All],[Lease Number]],RTable[[#All],[Lease Number]],0),1))</f>
        <v>Today Management (Windsor) Inc. for K &amp; G Management</v>
      </c>
      <c r="C124" s="140" t="str">
        <f>IF(ISERROR(INDEX(RTable[#All],MATCH(ActionTracker[[#All],[Lease Number]],RTable[[#All],[Lease Number]],0),1)),"",INDEX(RTable[#All],MATCH(ActionTracker[[#All],[Lease Number]],RTable[[#All],[Lease Number]],0),2)&amp;", "&amp;INDEX(RTable[#All],MATCH(ActionTracker[[#All],[Lease Number]],RTable[[#All],[Lease Number]],0),3))</f>
        <v>6505 Tecumseh Road East, Windsor, O.N.</v>
      </c>
      <c r="D124" s="141" t="str">
        <f>IF(ISNUMBER(SEARCH($D$1,INDEX(RTable[#All],MATCH(ActionTracker[[#All],[Lease Number]],RTable[[#All],[Lease Number]],0),5))),"x","")</f>
        <v/>
      </c>
      <c r="E124" s="141" t="str">
        <f>IF(ISNUMBER(SEARCH($E$1,INDEX(RTable[#All],MATCH(ActionTracker[[#All],[Lease Number]],RTable[[#All],[Lease Number]],0),5))),"x","")</f>
        <v/>
      </c>
      <c r="F124" s="141" t="str">
        <f>IF(ISNUMBER(SEARCH($F$1,INDEX(RTable[#All],MATCH(ActionTracker[[#All],[Lease Number]],RTable[[#All],[Lease Number]],0),5))),"x","")</f>
        <v/>
      </c>
      <c r="G124" s="141" t="str">
        <f>IF(ISNUMBER(SEARCH($G$1,INDEX(RTable[#All],MATCH(ActionTracker[[#All],[Lease Number]],RTable[[#All],[Lease Number]],0),5))),"x","")</f>
        <v>x</v>
      </c>
      <c r="H124" s="141" t="str">
        <f>IF(ISNUMBER(SEARCH($H$1,INDEX(RTable[#All],MATCH(ActionTracker[[#All],[Lease Number]],RTable[[#All],[Lease Number]],0),5))),"x","")</f>
        <v/>
      </c>
      <c r="I124" s="141" t="str">
        <f>IF(ISNUMBER(SEARCH($I$1,INDEX(RTable[#All],MATCH(ActionTracker[[#All],[Lease Number]],RTable[[#All],[Lease Number]],0),5))),"x","")</f>
        <v/>
      </c>
      <c r="J124" s="141" t="str">
        <f>IF(ISNUMBER(SEARCH($J$1,INDEX(RTable[#All],MATCH(ActionTracker[[#All],[Lease Number]],RTable[[#All],[Lease Number]],0),5))),"x","")</f>
        <v/>
      </c>
      <c r="K124"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24" s="137" t="str">
        <f>IF(ISERROR(INDEX(ContactList[#All],MATCH(ActionTracker[[#All],[Lease Number]],ContactList[[#All],[Lease Number]],0),12)),"",INDEX(ContactList[#All],MATCH(ActionTracker[[#All],[Lease Number]],ContactList[[#All],[Lease Number]],0),12))</f>
        <v>Joy</v>
      </c>
      <c r="M124" s="137" t="str">
        <f>IF(ISERROR(INDEX(ContactList[#All],MATCH(ActionTracker[[#All],[Lease Number]],ContactList[[#All],[Lease Number]],0),12)),"",INDEX(ContactList[#All],MATCH(ActionTracker[[#All],[Lease Number]],ContactList[[#All],[Lease Number]],0),13))</f>
        <v>Laramie</v>
      </c>
      <c r="N124" s="137" t="str">
        <f>IF(ISERROR(INDEX(ContactList[#All],MATCH(ActionTracker[[#All],[Lease Number]],ContactList[[#All],[Lease Number]],0),12)),"",INDEX(ContactList[#All],MATCH(ActionTracker[[#All],[Lease Number]],ContactList[[#All],[Lease Number]],0),14))</f>
        <v>tmwi@mnsi.net</v>
      </c>
      <c r="O124" s="137" t="str">
        <f>IF(ISERROR(INDEX(ContactList[#All],MATCH(ActionTracker[[#All],[Lease Number]],ContactList[[#All],[Lease Number]],0),12)),"",INDEX(ContactList[#All],MATCH(ActionTracker[[#All],[Lease Number]],ContactList[[#All],[Lease Number]],0),15))</f>
        <v>519-254-5193</v>
      </c>
      <c r="P124" s="138"/>
      <c r="Q124" s="139"/>
    </row>
    <row r="125" spans="1:17" ht="28.5" x14ac:dyDescent="0.25">
      <c r="A125" s="135" t="s">
        <v>2493</v>
      </c>
      <c r="B125" s="136" t="str">
        <f>IF(ISERROR(INDEX(RTable[#All],MATCH(ActionTracker[[#All],[Lease Number]],RTable[[#All],[Lease Number]],0),1)),"",INDEX(RTable[#All],MATCH(ActionTracker[[#All],[Lease Number]],RTable[[#All],[Lease Number]],0),1))</f>
        <v>GARRISON SQUARE PLAZA</v>
      </c>
      <c r="C125" s="140" t="str">
        <f>IF(ISERROR(INDEX(RTable[#All],MATCH(ActionTracker[[#All],[Lease Number]],RTable[[#All],[Lease Number]],0),1)),"",INDEX(RTable[#All],MATCH(ActionTracker[[#All],[Lease Number]],RTable[[#All],[Lease Number]],0),2)&amp;", "&amp;INDEX(RTable[#All],MATCH(ActionTracker[[#All],[Lease Number]],RTable[[#All],[Lease Number]],0),3))</f>
        <v>660 GARRIOSN ROAD, FORT ERIE, O.N.</v>
      </c>
      <c r="D125" s="141" t="str">
        <f>IF(ISNUMBER(SEARCH($D$1,INDEX(RTable[#All],MATCH(ActionTracker[[#All],[Lease Number]],RTable[[#All],[Lease Number]],0),5))),"x","")</f>
        <v>x</v>
      </c>
      <c r="E125" s="141" t="str">
        <f>IF(ISNUMBER(SEARCH($E$1,INDEX(RTable[#All],MATCH(ActionTracker[[#All],[Lease Number]],RTable[[#All],[Lease Number]],0),5))),"x","")</f>
        <v>x</v>
      </c>
      <c r="F125" s="141" t="str">
        <f>IF(ISNUMBER(SEARCH($F$1,INDEX(RTable[#All],MATCH(ActionTracker[[#All],[Lease Number]],RTable[[#All],[Lease Number]],0),5))),"x","")</f>
        <v>x</v>
      </c>
      <c r="G125" s="141" t="str">
        <f>IF(ISNUMBER(SEARCH($G$1,INDEX(RTable[#All],MATCH(ActionTracker[[#All],[Lease Number]],RTable[[#All],[Lease Number]],0),5))),"x","")</f>
        <v>x</v>
      </c>
      <c r="H125" s="141" t="str">
        <f>IF(ISNUMBER(SEARCH($H$1,INDEX(RTable[#All],MATCH(ActionTracker[[#All],[Lease Number]],RTable[[#All],[Lease Number]],0),5))),"x","")</f>
        <v>x</v>
      </c>
      <c r="I125" s="141" t="str">
        <f>IF(ISNUMBER(SEARCH($I$1,INDEX(RTable[#All],MATCH(ActionTracker[[#All],[Lease Number]],RTable[[#All],[Lease Number]],0),5))),"x","")</f>
        <v/>
      </c>
      <c r="J125" s="141" t="str">
        <f>IF(ISNUMBER(SEARCH($J$1,INDEX(RTable[#All],MATCH(ActionTracker[[#All],[Lease Number]],RTable[[#All],[Lease Number]],0),5))),"x","")</f>
        <v/>
      </c>
      <c r="K125"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125" s="137" t="str">
        <f>IF(ISERROR(INDEX(ContactList[#All],MATCH(ActionTracker[[#All],[Lease Number]],ContactList[[#All],[Lease Number]],0),12)),"",INDEX(ContactList[#All],MATCH(ActionTracker[[#All],[Lease Number]],ContactList[[#All],[Lease Number]],0),12))</f>
        <v>Tim</v>
      </c>
      <c r="M125" s="137" t="str">
        <f>IF(ISERROR(INDEX(ContactList[#All],MATCH(ActionTracker[[#All],[Lease Number]],ContactList[[#All],[Lease Number]],0),12)),"",INDEX(ContactList[#All],MATCH(ActionTracker[[#All],[Lease Number]],ContactList[[#All],[Lease Number]],0),13))</f>
        <v>Windsor</v>
      </c>
      <c r="N125" s="137" t="str">
        <f>IF(ISERROR(INDEX(ContactList[#All],MATCH(ActionTracker[[#All],[Lease Number]],ContactList[[#All],[Lease Number]],0),12)),"",INDEX(ContactList[#All],MATCH(ActionTracker[[#All],[Lease Number]],ContactList[[#All],[Lease Number]],0),14))</f>
        <v>admin@primarycareniagara.com</v>
      </c>
      <c r="O125" s="137" t="str">
        <f>IF(ISERROR(INDEX(ContactList[#All],MATCH(ActionTracker[[#All],[Lease Number]],ContactList[[#All],[Lease Number]],0),12)),"",INDEX(ContactList[#All],MATCH(ActionTracker[[#All],[Lease Number]],ContactList[[#All],[Lease Number]],0),15))</f>
        <v>905 371 1881</v>
      </c>
      <c r="P125" s="138"/>
      <c r="Q125" s="139"/>
    </row>
    <row r="126" spans="1:17" ht="30" x14ac:dyDescent="0.25">
      <c r="A126" s="135" t="s">
        <v>1893</v>
      </c>
      <c r="B126" s="136" t="str">
        <f>IF(ISERROR(INDEX(RTable[#All],MATCH(ActionTracker[[#All],[Lease Number]],RTable[[#All],[Lease Number]],0),1)),"",INDEX(RTable[#All],MATCH(ActionTracker[[#All],[Lease Number]],RTable[[#All],[Lease Number]],0),1))</f>
        <v>2915 Bloor Developments Limited</v>
      </c>
      <c r="C126" s="140" t="str">
        <f>IF(ISERROR(INDEX(RTable[#All],MATCH(ActionTracker[[#All],[Lease Number]],RTable[[#All],[Lease Number]],0),1)),"",INDEX(RTable[#All],MATCH(ActionTracker[[#All],[Lease Number]],RTable[[#All],[Lease Number]],0),2)&amp;", "&amp;INDEX(RTable[#All],MATCH(ActionTracker[[#All],[Lease Number]],RTable[[#All],[Lease Number]],0),3))</f>
        <v>2917 Bloor St. West, Toronto, O.N.</v>
      </c>
      <c r="D126" s="141" t="str">
        <f>IF(ISNUMBER(SEARCH($D$1,INDEX(RTable[#All],MATCH(ActionTracker[[#All],[Lease Number]],RTable[[#All],[Lease Number]],0),5))),"x","")</f>
        <v>x</v>
      </c>
      <c r="E126" s="141" t="str">
        <f>IF(ISNUMBER(SEARCH($E$1,INDEX(RTable[#All],MATCH(ActionTracker[[#All],[Lease Number]],RTable[[#All],[Lease Number]],0),5))),"x","")</f>
        <v>x</v>
      </c>
      <c r="F126" s="141" t="str">
        <f>IF(ISNUMBER(SEARCH($F$1,INDEX(RTable[#All],MATCH(ActionTracker[[#All],[Lease Number]],RTable[[#All],[Lease Number]],0),5))),"x","")</f>
        <v>x</v>
      </c>
      <c r="G126" s="141" t="str">
        <f>IF(ISNUMBER(SEARCH($G$1,INDEX(RTable[#All],MATCH(ActionTracker[[#All],[Lease Number]],RTable[[#All],[Lease Number]],0),5))),"x","")</f>
        <v>x</v>
      </c>
      <c r="H126" s="141" t="str">
        <f>IF(ISNUMBER(SEARCH($H$1,INDEX(RTable[#All],MATCH(ActionTracker[[#All],[Lease Number]],RTable[[#All],[Lease Number]],0),5))),"x","")</f>
        <v>x</v>
      </c>
      <c r="I126" s="141" t="str">
        <f>IF(ISNUMBER(SEARCH($I$1,INDEX(RTable[#All],MATCH(ActionTracker[[#All],[Lease Number]],RTable[[#All],[Lease Number]],0),5))),"x","")</f>
        <v/>
      </c>
      <c r="J126" s="141" t="str">
        <f>IF(ISNUMBER(SEARCH($J$1,INDEX(RTable[#All],MATCH(ActionTracker[[#All],[Lease Number]],RTable[[#All],[Lease Number]],0),5))),"x","")</f>
        <v/>
      </c>
      <c r="K126"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126" s="137" t="str">
        <f>IF(ISERROR(INDEX(ContactList[#All],MATCH(ActionTracker[[#All],[Lease Number]],ContactList[[#All],[Lease Number]],0),12)),"",INDEX(ContactList[#All],MATCH(ActionTracker[[#All],[Lease Number]],ContactList[[#All],[Lease Number]],0),12))</f>
        <v>Susanne</v>
      </c>
      <c r="M126" s="137" t="str">
        <f>IF(ISERROR(INDEX(ContactList[#All],MATCH(ActionTracker[[#All],[Lease Number]],ContactList[[#All],[Lease Number]],0),12)),"",INDEX(ContactList[#All],MATCH(ActionTracker[[#All],[Lease Number]],ContactList[[#All],[Lease Number]],0),13))</f>
        <v xml:space="preserve"> Gilbert</v>
      </c>
      <c r="N126" s="137" t="str">
        <f>IF(ISERROR(INDEX(ContactList[#All],MATCH(ActionTracker[[#All],[Lease Number]],ContactList[[#All],[Lease Number]],0),12)),"",INDEX(ContactList[#All],MATCH(ActionTracker[[#All],[Lease Number]],ContactList[[#All],[Lease Number]],0),14))</f>
        <v>cetuskingsway@rogers.com</v>
      </c>
      <c r="O126" s="137" t="str">
        <f>IF(ISERROR(INDEX(ContactList[#All],MATCH(ActionTracker[[#All],[Lease Number]],ContactList[[#All],[Lease Number]],0),12)),"",INDEX(ContactList[#All],MATCH(ActionTracker[[#All],[Lease Number]],ContactList[[#All],[Lease Number]],0),15))</f>
        <v>416 236 7878</v>
      </c>
      <c r="P126" s="138"/>
      <c r="Q126" s="139"/>
    </row>
    <row r="127" spans="1:17" ht="28.5" x14ac:dyDescent="0.25">
      <c r="A127" s="135" t="s">
        <v>1957</v>
      </c>
      <c r="B127" s="136" t="str">
        <f>IF(ISERROR(INDEX(RTable[#All],MATCH(ActionTracker[[#All],[Lease Number]],RTable[[#All],[Lease Number]],0),1)),"",INDEX(RTable[#All],MATCH(ActionTracker[[#All],[Lease Number]],RTable[[#All],[Lease Number]],0),1))</f>
        <v>George Tsintaris</v>
      </c>
      <c r="C127" s="140" t="str">
        <f>IF(ISERROR(INDEX(RTable[#All],MATCH(ActionTracker[[#All],[Lease Number]],RTable[[#All],[Lease Number]],0),1)),"",INDEX(RTable[#All],MATCH(ActionTracker[[#All],[Lease Number]],RTable[[#All],[Lease Number]],0),2)&amp;", "&amp;INDEX(RTable[#All],MATCH(ActionTracker[[#All],[Lease Number]],RTable[[#All],[Lease Number]],0),3))</f>
        <v>65 University Avenue East, Waterloo, O.N.</v>
      </c>
      <c r="D127" s="141" t="str">
        <f>IF(ISNUMBER(SEARCH($D$1,INDEX(RTable[#All],MATCH(ActionTracker[[#All],[Lease Number]],RTable[[#All],[Lease Number]],0),5))),"x","")</f>
        <v>x</v>
      </c>
      <c r="E127" s="141" t="str">
        <f>IF(ISNUMBER(SEARCH($E$1,INDEX(RTable[#All],MATCH(ActionTracker[[#All],[Lease Number]],RTable[[#All],[Lease Number]],0),5))),"x","")</f>
        <v>x</v>
      </c>
      <c r="F127" s="141" t="str">
        <f>IF(ISNUMBER(SEARCH($F$1,INDEX(RTable[#All],MATCH(ActionTracker[[#All],[Lease Number]],RTable[[#All],[Lease Number]],0),5))),"x","")</f>
        <v>x</v>
      </c>
      <c r="G127" s="141" t="str">
        <f>IF(ISNUMBER(SEARCH($G$1,INDEX(RTable[#All],MATCH(ActionTracker[[#All],[Lease Number]],RTable[[#All],[Lease Number]],0),5))),"x","")</f>
        <v>x</v>
      </c>
      <c r="H127" s="141" t="str">
        <f>IF(ISNUMBER(SEARCH($H$1,INDEX(RTable[#All],MATCH(ActionTracker[[#All],[Lease Number]],RTable[[#All],[Lease Number]],0),5))),"x","")</f>
        <v>x</v>
      </c>
      <c r="I127" s="141" t="str">
        <f>IF(ISNUMBER(SEARCH($I$1,INDEX(RTable[#All],MATCH(ActionTracker[[#All],[Lease Number]],RTable[[#All],[Lease Number]],0),5))),"x","")</f>
        <v/>
      </c>
      <c r="J127" s="141" t="str">
        <f>IF(ISNUMBER(SEARCH($J$1,INDEX(RTable[#All],MATCH(ActionTracker[[#All],[Lease Number]],RTable[[#All],[Lease Number]],0),5))),"x","")</f>
        <v/>
      </c>
      <c r="K127"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127" s="137" t="str">
        <f>IF(ISERROR(INDEX(ContactList[#All],MATCH(ActionTracker[[#All],[Lease Number]],ContactList[[#All],[Lease Number]],0),12)),"",INDEX(ContactList[#All],MATCH(ActionTracker[[#All],[Lease Number]],ContactList[[#All],[Lease Number]],0),12))</f>
        <v>George
George</v>
      </c>
      <c r="M127" s="137" t="str">
        <f>IF(ISERROR(INDEX(ContactList[#All],MATCH(ActionTracker[[#All],[Lease Number]],ContactList[[#All],[Lease Number]],0),12)),"",INDEX(ContactList[#All],MATCH(ActionTracker[[#All],[Lease Number]],ContactList[[#All],[Lease Number]],0),13))</f>
        <v>Georghiades
Tsintaris</v>
      </c>
      <c r="N127" s="137" t="str">
        <f>IF(ISERROR(INDEX(ContactList[#All],MATCH(ActionTracker[[#All],[Lease Number]],ContactList[[#All],[Lease Number]],0),12)),"",INDEX(ContactList[#All],MATCH(ActionTracker[[#All],[Lease Number]],ContactList[[#All],[Lease Number]],0),14))</f>
        <v>George.Georghiades@lexingtonpark.ca
george.tsintaris@pm365.ca</v>
      </c>
      <c r="O127" s="137" t="str">
        <f>IF(ISERROR(INDEX(ContactList[#All],MATCH(ActionTracker[[#All],[Lease Number]],ContactList[[#All],[Lease Number]],0),12)),"",INDEX(ContactList[#All],MATCH(ActionTracker[[#All],[Lease Number]],ContactList[[#All],[Lease Number]],0),15))</f>
        <v>519 725 4900
519 886 5400</v>
      </c>
      <c r="P127" s="138"/>
      <c r="Q127" s="139"/>
    </row>
    <row r="128" spans="1:17" ht="28.5" x14ac:dyDescent="0.25">
      <c r="A128" s="135" t="s">
        <v>3077</v>
      </c>
      <c r="B128" s="136" t="str">
        <f>IF(ISERROR(INDEX(RTable[#All],MATCH(ActionTracker[[#All],[Lease Number]],RTable[[#All],[Lease Number]],0),1)),"",INDEX(RTable[#All],MATCH(ActionTracker[[#All],[Lease Number]],RTable[[#All],[Lease Number]],0),1))</f>
        <v>Whitby Clinic</v>
      </c>
      <c r="C128" s="140" t="str">
        <f>IF(ISERROR(INDEX(RTable[#All],MATCH(ActionTracker[[#All],[Lease Number]],RTable[[#All],[Lease Number]],0),1)),"",INDEX(RTable[#All],MATCH(ActionTracker[[#All],[Lease Number]],RTable[[#All],[Lease Number]],0),2)&amp;", "&amp;INDEX(RTable[#All],MATCH(ActionTracker[[#All],[Lease Number]],RTable[[#All],[Lease Number]],0),3))</f>
        <v>200 Brock Street North, Whitby, O.N. L1H 4H5</v>
      </c>
      <c r="D128" s="141" t="str">
        <f>IF(ISNUMBER(SEARCH($D$1,INDEX(RTable[#All],MATCH(ActionTracker[[#All],[Lease Number]],RTable[[#All],[Lease Number]],0),5))),"x","")</f>
        <v>x</v>
      </c>
      <c r="E128" s="141" t="str">
        <f>IF(ISNUMBER(SEARCH($E$1,INDEX(RTable[#All],MATCH(ActionTracker[[#All],[Lease Number]],RTable[[#All],[Lease Number]],0),5))),"x","")</f>
        <v>x</v>
      </c>
      <c r="F128" s="141" t="str">
        <f>IF(ISNUMBER(SEARCH($F$1,INDEX(RTable[#All],MATCH(ActionTracker[[#All],[Lease Number]],RTable[[#All],[Lease Number]],0),5))),"x","")</f>
        <v>x</v>
      </c>
      <c r="G128" s="141" t="str">
        <f>IF(ISNUMBER(SEARCH($G$1,INDEX(RTable[#All],MATCH(ActionTracker[[#All],[Lease Number]],RTable[[#All],[Lease Number]],0),5))),"x","")</f>
        <v>x</v>
      </c>
      <c r="H128" s="141" t="str">
        <f>IF(ISNUMBER(SEARCH($H$1,INDEX(RTable[#All],MATCH(ActionTracker[[#All],[Lease Number]],RTable[[#All],[Lease Number]],0),5))),"x","")</f>
        <v>x</v>
      </c>
      <c r="I128" s="141" t="str">
        <f>IF(ISNUMBER(SEARCH($I$1,INDEX(RTable[#All],MATCH(ActionTracker[[#All],[Lease Number]],RTable[[#All],[Lease Number]],0),5))),"x","")</f>
        <v/>
      </c>
      <c r="J128" s="141" t="str">
        <f>IF(ISNUMBER(SEARCH($J$1,INDEX(RTable[#All],MATCH(ActionTracker[[#All],[Lease Number]],RTable[[#All],[Lease Number]],0),5))),"x","")</f>
        <v/>
      </c>
      <c r="K128"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128" s="137" t="str">
        <f>IF(ISERROR(INDEX(ContactList[#All],MATCH(ActionTracker[[#All],[Lease Number]],ContactList[[#All],[Lease Number]],0),12)),"",INDEX(ContactList[#All],MATCH(ActionTracker[[#All],[Lease Number]],ContactList[[#All],[Lease Number]],0),12))</f>
        <v>Soomae</v>
      </c>
      <c r="M128" s="137" t="str">
        <f>IF(ISERROR(INDEX(ContactList[#All],MATCH(ActionTracker[[#All],[Lease Number]],ContactList[[#All],[Lease Number]],0),12)),"",INDEX(ContactList[#All],MATCH(ActionTracker[[#All],[Lease Number]],ContactList[[#All],[Lease Number]],0),13))</f>
        <v>Li</v>
      </c>
      <c r="N128" s="137" t="str">
        <f>IF(ISERROR(INDEX(ContactList[#All],MATCH(ActionTracker[[#All],[Lease Number]],ContactList[[#All],[Lease Number]],0),12)),"",INDEX(ContactList[#All],MATCH(ActionTracker[[#All],[Lease Number]],ContactList[[#All],[Lease Number]],0),14))</f>
        <v>whitbyclinic@hotmail.com</v>
      </c>
      <c r="O128" s="137" t="str">
        <f>IF(ISERROR(INDEX(ContactList[#All],MATCH(ActionTracker[[#All],[Lease Number]],ContactList[[#All],[Lease Number]],0),12)),"",INDEX(ContactList[#All],MATCH(ActionTracker[[#All],[Lease Number]],ContactList[[#All],[Lease Number]],0),15))</f>
        <v>905 668 3378</v>
      </c>
      <c r="P128" s="138"/>
      <c r="Q128" s="139"/>
    </row>
    <row r="129" spans="1:17" ht="30" x14ac:dyDescent="0.25">
      <c r="A129" s="135" t="s">
        <v>2227</v>
      </c>
      <c r="B129" s="136" t="str">
        <f>IF(ISERROR(INDEX(RTable[#All],MATCH(ActionTracker[[#All],[Lease Number]],RTable[[#All],[Lease Number]],0),1)),"",INDEX(RTable[#All],MATCH(ActionTracker[[#All],[Lease Number]],RTable[[#All],[Lease Number]],0),1))</f>
        <v>Trivieri Investments Limited</v>
      </c>
      <c r="C129" s="140" t="str">
        <f>IF(ISERROR(INDEX(RTable[#All],MATCH(ActionTracker[[#All],[Lease Number]],RTable[[#All],[Lease Number]],0),1)),"",INDEX(RTable[#All],MATCH(ActionTracker[[#All],[Lease Number]],RTable[[#All],[Lease Number]],0),2)&amp;", "&amp;INDEX(RTable[#All],MATCH(ActionTracker[[#All],[Lease Number]],RTable[[#All],[Lease Number]],0),3))</f>
        <v>282 Linwell Road, St. Catharines, O.N.</v>
      </c>
      <c r="D129" s="141" t="str">
        <f>IF(ISNUMBER(SEARCH($D$1,INDEX(RTable[#All],MATCH(ActionTracker[[#All],[Lease Number]],RTable[[#All],[Lease Number]],0),5))),"x","")</f>
        <v/>
      </c>
      <c r="E129" s="141" t="str">
        <f>IF(ISNUMBER(SEARCH($E$1,INDEX(RTable[#All],MATCH(ActionTracker[[#All],[Lease Number]],RTable[[#All],[Lease Number]],0),5))),"x","")</f>
        <v/>
      </c>
      <c r="F129" s="141" t="str">
        <f>IF(ISNUMBER(SEARCH($F$1,INDEX(RTable[#All],MATCH(ActionTracker[[#All],[Lease Number]],RTable[[#All],[Lease Number]],0),5))),"x","")</f>
        <v/>
      </c>
      <c r="G129" s="141" t="str">
        <f>IF(ISNUMBER(SEARCH($G$1,INDEX(RTable[#All],MATCH(ActionTracker[[#All],[Lease Number]],RTable[[#All],[Lease Number]],0),5))),"x","")</f>
        <v>x</v>
      </c>
      <c r="H129" s="141" t="str">
        <f>IF(ISNUMBER(SEARCH($H$1,INDEX(RTable[#All],MATCH(ActionTracker[[#All],[Lease Number]],RTable[[#All],[Lease Number]],0),5))),"x","")</f>
        <v/>
      </c>
      <c r="I129" s="141" t="str">
        <f>IF(ISNUMBER(SEARCH($I$1,INDEX(RTable[#All],MATCH(ActionTracker[[#All],[Lease Number]],RTable[[#All],[Lease Number]],0),5))),"x","")</f>
        <v/>
      </c>
      <c r="J129" s="141" t="str">
        <f>IF(ISNUMBER(SEARCH($J$1,INDEX(RTable[#All],MATCH(ActionTracker[[#All],[Lease Number]],RTable[[#All],[Lease Number]],0),5))),"x","")</f>
        <v/>
      </c>
      <c r="K129"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29" s="137" t="str">
        <f>IF(ISERROR(INDEX(ContactList[#All],MATCH(ActionTracker[[#All],[Lease Number]],ContactList[[#All],[Lease Number]],0),12)),"",INDEX(ContactList[#All],MATCH(ActionTracker[[#All],[Lease Number]],ContactList[[#All],[Lease Number]],0),12))</f>
        <v>John</v>
      </c>
      <c r="M129" s="137" t="str">
        <f>IF(ISERROR(INDEX(ContactList[#All],MATCH(ActionTracker[[#All],[Lease Number]],ContactList[[#All],[Lease Number]],0),12)),"",INDEX(ContactList[#All],MATCH(ActionTracker[[#All],[Lease Number]],ContactList[[#All],[Lease Number]],0),13))</f>
        <v>Trivieri</v>
      </c>
      <c r="N129" s="137" t="str">
        <f>IF(ISERROR(INDEX(ContactList[#All],MATCH(ActionTracker[[#All],[Lease Number]],ContactList[[#All],[Lease Number]],0),12)),"",INDEX(ContactList[#All],MATCH(ActionTracker[[#All],[Lease Number]],ContactList[[#All],[Lease Number]],0),14))</f>
        <v>jtrivieri@cogeco.ca</v>
      </c>
      <c r="O129" s="137" t="str">
        <f>IF(ISERROR(INDEX(ContactList[#All],MATCH(ActionTracker[[#All],[Lease Number]],ContactList[[#All],[Lease Number]],0),12)),"",INDEX(ContactList[#All],MATCH(ActionTracker[[#All],[Lease Number]],ContactList[[#All],[Lease Number]],0),15))</f>
        <v>905 708 3654</v>
      </c>
      <c r="P129" s="138"/>
      <c r="Q129" s="139"/>
    </row>
    <row r="130" spans="1:17" x14ac:dyDescent="0.25">
      <c r="A130" s="135" t="s">
        <v>1036</v>
      </c>
      <c r="B130" s="136" t="str">
        <f>IF(ISERROR(INDEX(RTable[#All],MATCH(ActionTracker[[#All],[Lease Number]],RTable[[#All],[Lease Number]],0),1)),"",INDEX(RTable[#All],MATCH(ActionTracker[[#All],[Lease Number]],RTable[[#All],[Lease Number]],0),1))</f>
        <v>Brianne Clark</v>
      </c>
      <c r="C130" s="140" t="str">
        <f>IF(ISERROR(INDEX(RTable[#All],MATCH(ActionTracker[[#All],[Lease Number]],RTable[[#All],[Lease Number]],0),1)),"",INDEX(RTable[#All],MATCH(ActionTracker[[#All],[Lease Number]],RTable[[#All],[Lease Number]],0),2)&amp;", "&amp;INDEX(RTable[#All],MATCH(ActionTracker[[#All],[Lease Number]],RTable[[#All],[Lease Number]],0),3))</f>
        <v>107 - 50 Tenth Street, Nanaimo, B.C.</v>
      </c>
      <c r="D130" s="141" t="str">
        <f>IF(ISNUMBER(SEARCH($D$1,INDEX(RTable[#All],MATCH(ActionTracker[[#All],[Lease Number]],RTable[[#All],[Lease Number]],0),5))),"x","")</f>
        <v/>
      </c>
      <c r="E130" s="141" t="str">
        <f>IF(ISNUMBER(SEARCH($E$1,INDEX(RTable[#All],MATCH(ActionTracker[[#All],[Lease Number]],RTable[[#All],[Lease Number]],0),5))),"x","")</f>
        <v/>
      </c>
      <c r="F130" s="141" t="str">
        <f>IF(ISNUMBER(SEARCH($F$1,INDEX(RTable[#All],MATCH(ActionTracker[[#All],[Lease Number]],RTable[[#All],[Lease Number]],0),5))),"x","")</f>
        <v/>
      </c>
      <c r="G130" s="141" t="str">
        <f>IF(ISNUMBER(SEARCH($G$1,INDEX(RTable[#All],MATCH(ActionTracker[[#All],[Lease Number]],RTable[[#All],[Lease Number]],0),5))),"x","")</f>
        <v/>
      </c>
      <c r="H130" s="141" t="str">
        <f>IF(ISNUMBER(SEARCH($H$1,INDEX(RTable[#All],MATCH(ActionTracker[[#All],[Lease Number]],RTable[[#All],[Lease Number]],0),5))),"x","")</f>
        <v/>
      </c>
      <c r="I130" s="141" t="str">
        <f>IF(ISNUMBER(SEARCH($I$1,INDEX(RTable[#All],MATCH(ActionTracker[[#All],[Lease Number]],RTable[[#All],[Lease Number]],0),5))),"x","")</f>
        <v/>
      </c>
      <c r="J130" s="141" t="str">
        <f>IF(ISNUMBER(SEARCH($J$1,INDEX(RTable[#All],MATCH(ActionTracker[[#All],[Lease Number]],RTable[[#All],[Lease Number]],0),5))),"x","")</f>
        <v>x</v>
      </c>
      <c r="K130"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None</v>
      </c>
      <c r="L130" s="137" t="str">
        <f>IF(ISERROR(INDEX(ContactList[#All],MATCH(ActionTracker[[#All],[Lease Number]],ContactList[[#All],[Lease Number]],0),12)),"",INDEX(ContactList[#All],MATCH(ActionTracker[[#All],[Lease Number]],ContactList[[#All],[Lease Number]],0),12))</f>
        <v>Karen</v>
      </c>
      <c r="M130" s="137" t="str">
        <f>IF(ISERROR(INDEX(ContactList[#All],MATCH(ActionTracker[[#All],[Lease Number]],ContactList[[#All],[Lease Number]],0),12)),"",INDEX(ContactList[#All],MATCH(ActionTracker[[#All],[Lease Number]],ContactList[[#All],[Lease Number]],0),13))</f>
        <v>Clarke</v>
      </c>
      <c r="N130" s="137" t="str">
        <f>IF(ISERROR(INDEX(ContactList[#All],MATCH(ActionTracker[[#All],[Lease Number]],ContactList[[#All],[Lease Number]],0),12)),"",INDEX(ContactList[#All],MATCH(ActionTracker[[#All],[Lease Number]],ContactList[[#All],[Lease Number]],0),14))</f>
        <v>kclarke@boultbee.ca</v>
      </c>
      <c r="O130" s="137" t="str">
        <f>IF(ISERROR(INDEX(ContactList[#All],MATCH(ActionTracker[[#All],[Lease Number]],ContactList[[#All],[Lease Number]],0),12)),"",INDEX(ContactList[#All],MATCH(ActionTracker[[#All],[Lease Number]],ContactList[[#All],[Lease Number]],0),15))</f>
        <v>604 661 7152</v>
      </c>
      <c r="P130" s="138"/>
      <c r="Q130" s="139"/>
    </row>
    <row r="131" spans="1:17" ht="28.5" x14ac:dyDescent="0.25">
      <c r="A131" s="135" t="s">
        <v>818</v>
      </c>
      <c r="B131" s="136" t="str">
        <f>IF(ISERROR(INDEX(RTable[#All],MATCH(ActionTracker[[#All],[Lease Number]],RTable[[#All],[Lease Number]],0),1)),"",INDEX(RTable[#All],MATCH(ActionTracker[[#All],[Lease Number]],RTable[[#All],[Lease Number]],0),1))</f>
        <v>Brianne Clark</v>
      </c>
      <c r="C131" s="140" t="str">
        <f>IF(ISERROR(INDEX(RTable[#All],MATCH(ActionTracker[[#All],[Lease Number]],RTable[[#All],[Lease Number]],0),1)),"",INDEX(RTable[#All],MATCH(ActionTracker[[#All],[Lease Number]],RTable[[#All],[Lease Number]],0),2)&amp;", "&amp;INDEX(RTable[#All],MATCH(ActionTracker[[#All],[Lease Number]],RTable[[#All],[Lease Number]],0),3))</f>
        <v>240 - 2720 Mill Bay Road, Mill Bay, B.C.</v>
      </c>
      <c r="D131" s="141" t="str">
        <f>IF(ISNUMBER(SEARCH($D$1,INDEX(RTable[#All],MATCH(ActionTracker[[#All],[Lease Number]],RTable[[#All],[Lease Number]],0),5))),"x","")</f>
        <v>x</v>
      </c>
      <c r="E131" s="141" t="str">
        <f>IF(ISNUMBER(SEARCH($E$1,INDEX(RTable[#All],MATCH(ActionTracker[[#All],[Lease Number]],RTable[[#All],[Lease Number]],0),5))),"x","")</f>
        <v/>
      </c>
      <c r="F131" s="141" t="str">
        <f>IF(ISNUMBER(SEARCH($F$1,INDEX(RTable[#All],MATCH(ActionTracker[[#All],[Lease Number]],RTable[[#All],[Lease Number]],0),5))),"x","")</f>
        <v>x</v>
      </c>
      <c r="G131" s="141" t="str">
        <f>IF(ISNUMBER(SEARCH($G$1,INDEX(RTable[#All],MATCH(ActionTracker[[#All],[Lease Number]],RTable[[#All],[Lease Number]],0),5))),"x","")</f>
        <v>x</v>
      </c>
      <c r="H131" s="141" t="str">
        <f>IF(ISNUMBER(SEARCH($H$1,INDEX(RTable[#All],MATCH(ActionTracker[[#All],[Lease Number]],RTable[[#All],[Lease Number]],0),5))),"x","")</f>
        <v/>
      </c>
      <c r="I131" s="141" t="str">
        <f>IF(ISNUMBER(SEARCH($I$1,INDEX(RTable[#All],MATCH(ActionTracker[[#All],[Lease Number]],RTable[[#All],[Lease Number]],0),5))),"x","")</f>
        <v/>
      </c>
      <c r="J131" s="141" t="str">
        <f>IF(ISNUMBER(SEARCH($J$1,INDEX(RTable[#All],MATCH(ActionTracker[[#All],[Lease Number]],RTable[[#All],[Lease Number]],0),5))),"x","")</f>
        <v/>
      </c>
      <c r="K131"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31" s="137" t="str">
        <f>IF(ISERROR(INDEX(ContactList[#All],MATCH(ActionTracker[[#All],[Lease Number]],ContactList[[#All],[Lease Number]],0),12)),"",INDEX(ContactList[#All],MATCH(ActionTracker[[#All],[Lease Number]],ContactList[[#All],[Lease Number]],0),12))</f>
        <v>Karen</v>
      </c>
      <c r="M131" s="137" t="str">
        <f>IF(ISERROR(INDEX(ContactList[#All],MATCH(ActionTracker[[#All],[Lease Number]],ContactList[[#All],[Lease Number]],0),12)),"",INDEX(ContactList[#All],MATCH(ActionTracker[[#All],[Lease Number]],ContactList[[#All],[Lease Number]],0),13))</f>
        <v>Clarke</v>
      </c>
      <c r="N131" s="137" t="str">
        <f>IF(ISERROR(INDEX(ContactList[#All],MATCH(ActionTracker[[#All],[Lease Number]],ContactList[[#All],[Lease Number]],0),12)),"",INDEX(ContactList[#All],MATCH(ActionTracker[[#All],[Lease Number]],ContactList[[#All],[Lease Number]],0),14))</f>
        <v>kclarke@boultbee.ca</v>
      </c>
      <c r="O131" s="137" t="str">
        <f>IF(ISERROR(INDEX(ContactList[#All],MATCH(ActionTracker[[#All],[Lease Number]],ContactList[[#All],[Lease Number]],0),12)),"",INDEX(ContactList[#All],MATCH(ActionTracker[[#All],[Lease Number]],ContactList[[#All],[Lease Number]],0),15))</f>
        <v>604-661-7152</v>
      </c>
      <c r="P131" s="138"/>
      <c r="Q131" s="139"/>
    </row>
    <row r="132" spans="1:17" x14ac:dyDescent="0.25">
      <c r="A132" s="135" t="s">
        <v>1040</v>
      </c>
      <c r="B132" s="136" t="str">
        <f>IF(ISERROR(INDEX(RTable[#All],MATCH(ActionTracker[[#All],[Lease Number]],RTable[[#All],[Lease Number]],0),1)),"",INDEX(RTable[#All],MATCH(ActionTracker[[#All],[Lease Number]],RTable[[#All],[Lease Number]],0),1))</f>
        <v>Brianne Clark</v>
      </c>
      <c r="C132" s="140" t="str">
        <f>IF(ISERROR(INDEX(RTable[#All],MATCH(ActionTracker[[#All],[Lease Number]],RTable[[#All],[Lease Number]],0),1)),"",INDEX(RTable[#All],MATCH(ActionTracker[[#All],[Lease Number]],RTable[[#All],[Lease Number]],0),2)&amp;", "&amp;INDEX(RTable[#All],MATCH(ActionTracker[[#All],[Lease Number]],RTable[[#All],[Lease Number]],0),3))</f>
        <v>207 - 12080 Nordel Way, Surrey, B.C.</v>
      </c>
      <c r="D132" s="141" t="str">
        <f>IF(ISNUMBER(SEARCH($D$1,INDEX(RTable[#All],MATCH(ActionTracker[[#All],[Lease Number]],RTable[[#All],[Lease Number]],0),5))),"x","")</f>
        <v/>
      </c>
      <c r="E132" s="141" t="str">
        <f>IF(ISNUMBER(SEARCH($E$1,INDEX(RTable[#All],MATCH(ActionTracker[[#All],[Lease Number]],RTable[[#All],[Lease Number]],0),5))),"x","")</f>
        <v/>
      </c>
      <c r="F132" s="141" t="str">
        <f>IF(ISNUMBER(SEARCH($F$1,INDEX(RTable[#All],MATCH(ActionTracker[[#All],[Lease Number]],RTable[[#All],[Lease Number]],0),5))),"x","")</f>
        <v>x</v>
      </c>
      <c r="G132" s="141" t="str">
        <f>IF(ISNUMBER(SEARCH($G$1,INDEX(RTable[#All],MATCH(ActionTracker[[#All],[Lease Number]],RTable[[#All],[Lease Number]],0),5))),"x","")</f>
        <v>x</v>
      </c>
      <c r="H132" s="141" t="str">
        <f>IF(ISNUMBER(SEARCH($H$1,INDEX(RTable[#All],MATCH(ActionTracker[[#All],[Lease Number]],RTable[[#All],[Lease Number]],0),5))),"x","")</f>
        <v/>
      </c>
      <c r="I132" s="141" t="str">
        <f>IF(ISNUMBER(SEARCH($I$1,INDEX(RTable[#All],MATCH(ActionTracker[[#All],[Lease Number]],RTable[[#All],[Lease Number]],0),5))),"x","")</f>
        <v>x</v>
      </c>
      <c r="J132" s="141" t="str">
        <f>IF(ISNUMBER(SEARCH($J$1,INDEX(RTable[#All],MATCH(ActionTracker[[#All],[Lease Number]],RTable[[#All],[Lease Number]],0),5))),"x","")</f>
        <v/>
      </c>
      <c r="K132"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32" s="137" t="str">
        <f>IF(ISERROR(INDEX(ContactList[#All],MATCH(ActionTracker[[#All],[Lease Number]],ContactList[[#All],[Lease Number]],0),12)),"",INDEX(ContactList[#All],MATCH(ActionTracker[[#All],[Lease Number]],ContactList[[#All],[Lease Number]],0),12))</f>
        <v>Karen</v>
      </c>
      <c r="M132" s="137" t="str">
        <f>IF(ISERROR(INDEX(ContactList[#All],MATCH(ActionTracker[[#All],[Lease Number]],ContactList[[#All],[Lease Number]],0),12)),"",INDEX(ContactList[#All],MATCH(ActionTracker[[#All],[Lease Number]],ContactList[[#All],[Lease Number]],0),13))</f>
        <v>Clarke</v>
      </c>
      <c r="N132" s="137" t="str">
        <f>IF(ISERROR(INDEX(ContactList[#All],MATCH(ActionTracker[[#All],[Lease Number]],ContactList[[#All],[Lease Number]],0),12)),"",INDEX(ContactList[#All],MATCH(ActionTracker[[#All],[Lease Number]],ContactList[[#All],[Lease Number]],0),14))</f>
        <v>kclarke@boultbee.ca</v>
      </c>
      <c r="O132" s="137" t="str">
        <f>IF(ISERROR(INDEX(ContactList[#All],MATCH(ActionTracker[[#All],[Lease Number]],ContactList[[#All],[Lease Number]],0),12)),"",INDEX(ContactList[#All],MATCH(ActionTracker[[#All],[Lease Number]],ContactList[[#All],[Lease Number]],0),15))</f>
        <v>604 661 7152</v>
      </c>
      <c r="P132" s="138"/>
      <c r="Q132" s="139"/>
    </row>
    <row r="133" spans="1:17" x14ac:dyDescent="0.25">
      <c r="A133" s="135" t="s">
        <v>3535</v>
      </c>
      <c r="B133" s="136" t="str">
        <f>IF(ISERROR(INDEX(RTable[#All],MATCH(ActionTracker[[#All],[Lease Number]],RTable[[#All],[Lease Number]],0),1)),"",INDEX(RTable[#All],MATCH(ActionTracker[[#All],[Lease Number]],RTable[[#All],[Lease Number]],0),1))</f>
        <v>Michael Caparelli</v>
      </c>
      <c r="C133" s="140" t="str">
        <f>IF(ISERROR(INDEX(RTable[#All],MATCH(ActionTracker[[#All],[Lease Number]],RTable[[#All],[Lease Number]],0),1)),"",INDEX(RTable[#All],MATCH(ActionTracker[[#All],[Lease Number]],RTable[[#All],[Lease Number]],0),2)&amp;", "&amp;INDEX(RTable[#All],MATCH(ActionTracker[[#All],[Lease Number]],RTable[[#All],[Lease Number]],0),3))</f>
        <v xml:space="preserve">139 Greenbank Road, Ottawa, O.N. </v>
      </c>
      <c r="D133" s="141" t="str">
        <f>IF(ISNUMBER(SEARCH($D$1,INDEX(RTable[#All],MATCH(ActionTracker[[#All],[Lease Number]],RTable[[#All],[Lease Number]],0),5))),"x","")</f>
        <v/>
      </c>
      <c r="E133" s="141" t="str">
        <f>IF(ISNUMBER(SEARCH($E$1,INDEX(RTable[#All],MATCH(ActionTracker[[#All],[Lease Number]],RTable[[#All],[Lease Number]],0),5))),"x","")</f>
        <v/>
      </c>
      <c r="F133" s="141" t="str">
        <f>IF(ISNUMBER(SEARCH($F$1,INDEX(RTable[#All],MATCH(ActionTracker[[#All],[Lease Number]],RTable[[#All],[Lease Number]],0),5))),"x","")</f>
        <v>x</v>
      </c>
      <c r="G133" s="141" t="str">
        <f>IF(ISNUMBER(SEARCH($G$1,INDEX(RTable[#All],MATCH(ActionTracker[[#All],[Lease Number]],RTable[[#All],[Lease Number]],0),5))),"x","")</f>
        <v/>
      </c>
      <c r="H133" s="141" t="str">
        <f>IF(ISNUMBER(SEARCH($H$1,INDEX(RTable[#All],MATCH(ActionTracker[[#All],[Lease Number]],RTable[[#All],[Lease Number]],0),5))),"x","")</f>
        <v/>
      </c>
      <c r="I133" s="141" t="str">
        <f>IF(ISNUMBER(SEARCH($I$1,INDEX(RTable[#All],MATCH(ActionTracker[[#All],[Lease Number]],RTable[[#All],[Lease Number]],0),5))),"x","")</f>
        <v/>
      </c>
      <c r="J133" s="141" t="str">
        <f>IF(ISNUMBER(SEARCH($J$1,INDEX(RTable[#All],MATCH(ActionTracker[[#All],[Lease Number]],RTable[[#All],[Lease Number]],0),5))),"x","")</f>
        <v/>
      </c>
      <c r="K133"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33" s="137" t="str">
        <f>IF(ISERROR(INDEX(ContactList[#All],MATCH(ActionTracker[[#All],[Lease Number]],ContactList[[#All],[Lease Number]],0),12)),"",INDEX(ContactList[#All],MATCH(ActionTracker[[#All],[Lease Number]],ContactList[[#All],[Lease Number]],0),12))</f>
        <v>Michael</v>
      </c>
      <c r="M133" s="137" t="str">
        <f>IF(ISERROR(INDEX(ContactList[#All],MATCH(ActionTracker[[#All],[Lease Number]],ContactList[[#All],[Lease Number]],0),12)),"",INDEX(ContactList[#All],MATCH(ActionTracker[[#All],[Lease Number]],ContactList[[#All],[Lease Number]],0),13))</f>
        <v>Caparelli</v>
      </c>
      <c r="N133" s="137" t="str">
        <f>IF(ISERROR(INDEX(ContactList[#All],MATCH(ActionTracker[[#All],[Lease Number]],ContactList[[#All],[Lease Number]],0),12)),"",INDEX(ContactList[#All],MATCH(ActionTracker[[#All],[Lease Number]],ContactList[[#All],[Lease Number]],0),14))</f>
        <v>Michael@high-rise.ca</v>
      </c>
      <c r="O133" s="137" t="str">
        <f>IF(ISERROR(INDEX(ContactList[#All],MATCH(ActionTracker[[#All],[Lease Number]],ContactList[[#All],[Lease Number]],0),12)),"",INDEX(ContactList[#All],MATCH(ActionTracker[[#All],[Lease Number]],ContactList[[#All],[Lease Number]],0),15))</f>
        <v>613-725-1111</v>
      </c>
      <c r="P133" s="138"/>
      <c r="Q133" s="139"/>
    </row>
    <row r="134" spans="1:17" x14ac:dyDescent="0.25">
      <c r="A134" s="135" t="s">
        <v>3472</v>
      </c>
      <c r="B134" s="136" t="str">
        <f>IF(ISERROR(INDEX(RTable[#All],MATCH(ActionTracker[[#All],[Lease Number]],RTable[[#All],[Lease Number]],0),1)),"",INDEX(RTable[#All],MATCH(ActionTracker[[#All],[Lease Number]],RTable[[#All],[Lease Number]],0),1))</f>
        <v>Karen Yip</v>
      </c>
      <c r="C134" s="140" t="str">
        <f>IF(ISERROR(INDEX(RTable[#All],MATCH(ActionTracker[[#All],[Lease Number]],RTable[[#All],[Lease Number]],0),1)),"",INDEX(RTable[#All],MATCH(ActionTracker[[#All],[Lease Number]],RTable[[#All],[Lease Number]],0),2)&amp;", "&amp;INDEX(RTable[#All],MATCH(ActionTracker[[#All],[Lease Number]],RTable[[#All],[Lease Number]],0),3))</f>
        <v>1448 Lawrence Ave E, North York</v>
      </c>
      <c r="D134" s="141" t="str">
        <f>IF(ISNUMBER(SEARCH($D$1,INDEX(RTable[#All],MATCH(ActionTracker[[#All],[Lease Number]],RTable[[#All],[Lease Number]],0),5))),"x","")</f>
        <v/>
      </c>
      <c r="E134" s="141" t="str">
        <f>IF(ISNUMBER(SEARCH($E$1,INDEX(RTable[#All],MATCH(ActionTracker[[#All],[Lease Number]],RTable[[#All],[Lease Number]],0),5))),"x","")</f>
        <v>x</v>
      </c>
      <c r="F134" s="141" t="str">
        <f>IF(ISNUMBER(SEARCH($F$1,INDEX(RTable[#All],MATCH(ActionTracker[[#All],[Lease Number]],RTable[[#All],[Lease Number]],0),5))),"x","")</f>
        <v>x</v>
      </c>
      <c r="G134" s="141" t="str">
        <f>IF(ISNUMBER(SEARCH($G$1,INDEX(RTable[#All],MATCH(ActionTracker[[#All],[Lease Number]],RTable[[#All],[Lease Number]],0),5))),"x","")</f>
        <v>x</v>
      </c>
      <c r="H134" s="141" t="str">
        <f>IF(ISNUMBER(SEARCH($H$1,INDEX(RTable[#All],MATCH(ActionTracker[[#All],[Lease Number]],RTable[[#All],[Lease Number]],0),5))),"x","")</f>
        <v/>
      </c>
      <c r="I134" s="141" t="str">
        <f>IF(ISNUMBER(SEARCH($I$1,INDEX(RTable[#All],MATCH(ActionTracker[[#All],[Lease Number]],RTable[[#All],[Lease Number]],0),5))),"x","")</f>
        <v/>
      </c>
      <c r="J134" s="141" t="str">
        <f>IF(ISNUMBER(SEARCH($J$1,INDEX(RTable[#All],MATCH(ActionTracker[[#All],[Lease Number]],RTable[[#All],[Lease Number]],0),5))),"x","")</f>
        <v/>
      </c>
      <c r="K134"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34" s="137" t="str">
        <f>IF(ISERROR(INDEX(ContactList[#All],MATCH(ActionTracker[[#All],[Lease Number]],ContactList[[#All],[Lease Number]],0),12)),"",INDEX(ContactList[#All],MATCH(ActionTracker[[#All],[Lease Number]],ContactList[[#All],[Lease Number]],0),12))</f>
        <v>Debora</v>
      </c>
      <c r="M134" s="137" t="str">
        <f>IF(ISERROR(INDEX(ContactList[#All],MATCH(ActionTracker[[#All],[Lease Number]],ContactList[[#All],[Lease Number]],0),12)),"",INDEX(ContactList[#All],MATCH(ActionTracker[[#All],[Lease Number]],ContactList[[#All],[Lease Number]],0),13))</f>
        <v>Heath</v>
      </c>
      <c r="N134" s="137" t="str">
        <f>IF(ISERROR(INDEX(ContactList[#All],MATCH(ActionTracker[[#All],[Lease Number]],ContactList[[#All],[Lease Number]],0),12)),"",INDEX(ContactList[#All],MATCH(ActionTracker[[#All],[Lease Number]],ContactList[[#All],[Lease Number]],0),14))</f>
        <v>debora.heath@fcrms.ca</v>
      </c>
      <c r="O134" s="137" t="str">
        <f>IF(ISERROR(INDEX(ContactList[#All],MATCH(ActionTracker[[#All],[Lease Number]],ContactList[[#All],[Lease Number]],0),12)),"",INDEX(ContactList[#All],MATCH(ActionTracker[[#All],[Lease Number]],ContactList[[#All],[Lease Number]],0),15))</f>
        <v>416-445-3108</v>
      </c>
      <c r="P134" s="138"/>
      <c r="Q134" s="139"/>
    </row>
    <row r="135" spans="1:17" ht="28.5" x14ac:dyDescent="0.25">
      <c r="A135" s="135" t="s">
        <v>3025</v>
      </c>
      <c r="B135" s="136" t="str">
        <f>IF(ISERROR(INDEX(RTable[#All],MATCH(ActionTracker[[#All],[Lease Number]],RTable[[#All],[Lease Number]],0),1)),"",INDEX(RTable[#All],MATCH(ActionTracker[[#All],[Lease Number]],RTable[[#All],[Lease Number]],0),1))</f>
        <v>John Choi</v>
      </c>
      <c r="C135" s="140" t="str">
        <f>IF(ISERROR(INDEX(RTable[#All],MATCH(ActionTracker[[#All],[Lease Number]],RTable[[#All],[Lease Number]],0),1)),"",INDEX(RTable[#All],MATCH(ActionTracker[[#All],[Lease Number]],RTable[[#All],[Lease Number]],0),2)&amp;", "&amp;INDEX(RTable[#All],MATCH(ActionTracker[[#All],[Lease Number]],RTable[[#All],[Lease Number]],0),3))</f>
        <v>2200 Fairview St. Burlington, Burlington, O.N</v>
      </c>
      <c r="D135" s="141" t="str">
        <f>IF(ISNUMBER(SEARCH($D$1,INDEX(RTable[#All],MATCH(ActionTracker[[#All],[Lease Number]],RTable[[#All],[Lease Number]],0),5))),"x","")</f>
        <v/>
      </c>
      <c r="E135" s="141" t="str">
        <f>IF(ISNUMBER(SEARCH($E$1,INDEX(RTable[#All],MATCH(ActionTracker[[#All],[Lease Number]],RTable[[#All],[Lease Number]],0),5))),"x","")</f>
        <v/>
      </c>
      <c r="F135" s="141" t="str">
        <f>IF(ISNUMBER(SEARCH($F$1,INDEX(RTable[#All],MATCH(ActionTracker[[#All],[Lease Number]],RTable[[#All],[Lease Number]],0),5))),"x","")</f>
        <v>x</v>
      </c>
      <c r="G135" s="141" t="str">
        <f>IF(ISNUMBER(SEARCH($G$1,INDEX(RTable[#All],MATCH(ActionTracker[[#All],[Lease Number]],RTable[[#All],[Lease Number]],0),5))),"x","")</f>
        <v>x</v>
      </c>
      <c r="H135" s="141" t="str">
        <f>IF(ISNUMBER(SEARCH($H$1,INDEX(RTable[#All],MATCH(ActionTracker[[#All],[Lease Number]],RTable[[#All],[Lease Number]],0),5))),"x","")</f>
        <v/>
      </c>
      <c r="I135" s="141" t="str">
        <f>IF(ISNUMBER(SEARCH($I$1,INDEX(RTable[#All],MATCH(ActionTracker[[#All],[Lease Number]],RTable[[#All],[Lease Number]],0),5))),"x","")</f>
        <v/>
      </c>
      <c r="J135" s="141" t="str">
        <f>IF(ISNUMBER(SEARCH($J$1,INDEX(RTable[#All],MATCH(ActionTracker[[#All],[Lease Number]],RTable[[#All],[Lease Number]],0),5))),"x","")</f>
        <v/>
      </c>
      <c r="K135"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35" s="137" t="str">
        <f>IF(ISERROR(INDEX(ContactList[#All],MATCH(ActionTracker[[#All],[Lease Number]],ContactList[[#All],[Lease Number]],0),12)),"",INDEX(ContactList[#All],MATCH(ActionTracker[[#All],[Lease Number]],ContactList[[#All],[Lease Number]],0),12))</f>
        <v>John</v>
      </c>
      <c r="M135" s="137" t="str">
        <f>IF(ISERROR(INDEX(ContactList[#All],MATCH(ActionTracker[[#All],[Lease Number]],ContactList[[#All],[Lease Number]],0),12)),"",INDEX(ContactList[#All],MATCH(ActionTracker[[#All],[Lease Number]],ContactList[[#All],[Lease Number]],0),13))</f>
        <v>Choi</v>
      </c>
      <c r="N135" s="137" t="str">
        <f>IF(ISERROR(INDEX(ContactList[#All],MATCH(ActionTracker[[#All],[Lease Number]],ContactList[[#All],[Lease Number]],0),12)),"",INDEX(ContactList[#All],MATCH(ActionTracker[[#All],[Lease Number]],ContactList[[#All],[Lease Number]],0),14))</f>
        <v>john.choi@utoronto.ca</v>
      </c>
      <c r="O135" s="137" t="str">
        <f>IF(ISERROR(INDEX(ContactList[#All],MATCH(ActionTracker[[#All],[Lease Number]],ContactList[[#All],[Lease Number]],0),12)),"",INDEX(ContactList[#All],MATCH(ActionTracker[[#All],[Lease Number]],ContactList[[#All],[Lease Number]],0),15))</f>
        <v>905 333 5668</v>
      </c>
      <c r="P135" s="138"/>
      <c r="Q135" s="139"/>
    </row>
    <row r="136" spans="1:17" ht="30" x14ac:dyDescent="0.25">
      <c r="A136" s="135" t="s">
        <v>3394</v>
      </c>
      <c r="B136" s="136" t="str">
        <f>IF(ISERROR(INDEX(RTable[#All],MATCH(ActionTracker[[#All],[Lease Number]],RTable[[#All],[Lease Number]],0),1)),"",INDEX(RTable[#All],MATCH(ActionTracker[[#All],[Lease Number]],RTable[[#All],[Lease Number]],0),1))</f>
        <v>SIMCOE DIAGNOSTIC IMAGING</v>
      </c>
      <c r="C136" s="140" t="str">
        <f>IF(ISERROR(INDEX(RTable[#All],MATCH(ActionTracker[[#All],[Lease Number]],RTable[[#All],[Lease Number]],0),1)),"",INDEX(RTable[#All],MATCH(ActionTracker[[#All],[Lease Number]],RTable[[#All],[Lease Number]],0),2)&amp;", "&amp;INDEX(RTable[#All],MATCH(ActionTracker[[#All],[Lease Number]],RTable[[#All],[Lease Number]],0),3))</f>
        <v>65 Donly Dr. North, Simcoe</v>
      </c>
      <c r="D136" s="141" t="str">
        <f>IF(ISNUMBER(SEARCH($D$1,INDEX(RTable[#All],MATCH(ActionTracker[[#All],[Lease Number]],RTable[[#All],[Lease Number]],0),5))),"x","")</f>
        <v>x</v>
      </c>
      <c r="E136" s="141" t="str">
        <f>IF(ISNUMBER(SEARCH($E$1,INDEX(RTable[#All],MATCH(ActionTracker[[#All],[Lease Number]],RTable[[#All],[Lease Number]],0),5))),"x","")</f>
        <v>x</v>
      </c>
      <c r="F136" s="141" t="str">
        <f>IF(ISNUMBER(SEARCH($F$1,INDEX(RTable[#All],MATCH(ActionTracker[[#All],[Lease Number]],RTable[[#All],[Lease Number]],0),5))),"x","")</f>
        <v>x</v>
      </c>
      <c r="G136" s="141" t="str">
        <f>IF(ISNUMBER(SEARCH($G$1,INDEX(RTable[#All],MATCH(ActionTracker[[#All],[Lease Number]],RTable[[#All],[Lease Number]],0),5))),"x","")</f>
        <v>x</v>
      </c>
      <c r="H136" s="141" t="str">
        <f>IF(ISNUMBER(SEARCH($H$1,INDEX(RTable[#All],MATCH(ActionTracker[[#All],[Lease Number]],RTable[[#All],[Lease Number]],0),5))),"x","")</f>
        <v>x</v>
      </c>
      <c r="I136" s="141" t="str">
        <f>IF(ISNUMBER(SEARCH($I$1,INDEX(RTable[#All],MATCH(ActionTracker[[#All],[Lease Number]],RTable[[#All],[Lease Number]],0),5))),"x","")</f>
        <v/>
      </c>
      <c r="J136" s="141" t="str">
        <f>IF(ISNUMBER(SEARCH($J$1,INDEX(RTable[#All],MATCH(ActionTracker[[#All],[Lease Number]],RTable[[#All],[Lease Number]],0),5))),"x","")</f>
        <v/>
      </c>
      <c r="K136"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136" s="137" t="str">
        <f>IF(ISERROR(INDEX(ContactList[#All],MATCH(ActionTracker[[#All],[Lease Number]],ContactList[[#All],[Lease Number]],0),12)),"",INDEX(ContactList[#All],MATCH(ActionTracker[[#All],[Lease Number]],ContactList[[#All],[Lease Number]],0),12))</f>
        <v>Anca</v>
      </c>
      <c r="M136" s="137" t="str">
        <f>IF(ISERROR(INDEX(ContactList[#All],MATCH(ActionTracker[[#All],[Lease Number]],ContactList[[#All],[Lease Number]],0),12)),"",INDEX(ContactList[#All],MATCH(ActionTracker[[#All],[Lease Number]],ContactList[[#All],[Lease Number]],0),13))</f>
        <v>Niculae</v>
      </c>
      <c r="N136" s="137" t="str">
        <f>IF(ISERROR(INDEX(ContactList[#All],MATCH(ActionTracker[[#All],[Lease Number]],ContactList[[#All],[Lease Number]],0),12)),"",INDEX(ContactList[#All],MATCH(ActionTracker[[#All],[Lease Number]],ContactList[[#All],[Lease Number]],0),14))</f>
        <v>aniculae@humbervalleyimaging.com</v>
      </c>
      <c r="O136" s="137" t="str">
        <f>IF(ISERROR(INDEX(ContactList[#All],MATCH(ActionTracker[[#All],[Lease Number]],ContactList[[#All],[Lease Number]],0),12)),"",INDEX(ContactList[#All],MATCH(ActionTracker[[#All],[Lease Number]],ContactList[[#All],[Lease Number]],0),15))</f>
        <v>416-748-8434</v>
      </c>
      <c r="P136" s="138"/>
      <c r="Q136" s="139"/>
    </row>
    <row r="137" spans="1:17" ht="30" x14ac:dyDescent="0.25">
      <c r="A137" s="135" t="s">
        <v>3414</v>
      </c>
      <c r="B137" s="136" t="str">
        <f>IF(ISERROR(INDEX(RTable[#All],MATCH(ActionTracker[[#All],[Lease Number]],RTable[[#All],[Lease Number]],0),1)),"",INDEX(RTable[#All],MATCH(ActionTracker[[#All],[Lease Number]],RTable[[#All],[Lease Number]],0),1))</f>
        <v>Agincourt Professional Centre</v>
      </c>
      <c r="C137" s="140" t="str">
        <f>IF(ISERROR(INDEX(RTable[#All],MATCH(ActionTracker[[#All],[Lease Number]],RTable[[#All],[Lease Number]],0),1)),"",INDEX(RTable[#All],MATCH(ActionTracker[[#All],[Lease Number]],RTable[[#All],[Lease Number]],0),2)&amp;", "&amp;INDEX(RTable[#All],MATCH(ActionTracker[[#All],[Lease Number]],RTable[[#All],[Lease Number]],0),3))</f>
        <v>2330 Kennedy Road, Scarborough</v>
      </c>
      <c r="D137" s="141" t="str">
        <f>IF(ISNUMBER(SEARCH($D$1,INDEX(RTable[#All],MATCH(ActionTracker[[#All],[Lease Number]],RTable[[#All],[Lease Number]],0),5))),"x","")</f>
        <v>x</v>
      </c>
      <c r="E137" s="141" t="str">
        <f>IF(ISNUMBER(SEARCH($E$1,INDEX(RTable[#All],MATCH(ActionTracker[[#All],[Lease Number]],RTable[[#All],[Lease Number]],0),5))),"x","")</f>
        <v>x</v>
      </c>
      <c r="F137" s="141" t="str">
        <f>IF(ISNUMBER(SEARCH($F$1,INDEX(RTable[#All],MATCH(ActionTracker[[#All],[Lease Number]],RTable[[#All],[Lease Number]],0),5))),"x","")</f>
        <v>x</v>
      </c>
      <c r="G137" s="141" t="str">
        <f>IF(ISNUMBER(SEARCH($G$1,INDEX(RTable[#All],MATCH(ActionTracker[[#All],[Lease Number]],RTable[[#All],[Lease Number]],0),5))),"x","")</f>
        <v>x</v>
      </c>
      <c r="H137" s="141" t="str">
        <f>IF(ISNUMBER(SEARCH($H$1,INDEX(RTable[#All],MATCH(ActionTracker[[#All],[Lease Number]],RTable[[#All],[Lease Number]],0),5))),"x","")</f>
        <v>x</v>
      </c>
      <c r="I137" s="141" t="str">
        <f>IF(ISNUMBER(SEARCH($I$1,INDEX(RTable[#All],MATCH(ActionTracker[[#All],[Lease Number]],RTable[[#All],[Lease Number]],0),5))),"x","")</f>
        <v/>
      </c>
      <c r="J137" s="141" t="str">
        <f>IF(ISNUMBER(SEARCH($J$1,INDEX(RTable[#All],MATCH(ActionTracker[[#All],[Lease Number]],RTable[[#All],[Lease Number]],0),5))),"x","")</f>
        <v/>
      </c>
      <c r="K137"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137" s="137" t="str">
        <f>IF(ISERROR(INDEX(ContactList[#All],MATCH(ActionTracker[[#All],[Lease Number]],ContactList[[#All],[Lease Number]],0),12)),"",INDEX(ContactList[#All],MATCH(ActionTracker[[#All],[Lease Number]],ContactList[[#All],[Lease Number]],0),12))</f>
        <v>Trent</v>
      </c>
      <c r="M137" s="137" t="str">
        <f>IF(ISERROR(INDEX(ContactList[#All],MATCH(ActionTracker[[#All],[Lease Number]],ContactList[[#All],[Lease Number]],0),12)),"",INDEX(ContactList[#All],MATCH(ActionTracker[[#All],[Lease Number]],ContactList[[#All],[Lease Number]],0),13))</f>
        <v>Pringle</v>
      </c>
      <c r="N137" s="137" t="str">
        <f>IF(ISERROR(INDEX(ContactList[#All],MATCH(ActionTracker[[#All],[Lease Number]],ContactList[[#All],[Lease Number]],0),12)),"",INDEX(ContactList[#All],MATCH(ActionTracker[[#All],[Lease Number]],ContactList[[#All],[Lease Number]],0),14))</f>
        <v>trent.pringle@cbre.com</v>
      </c>
      <c r="O137" s="137" t="str">
        <f>IF(ISERROR(INDEX(ContactList[#All],MATCH(ActionTracker[[#All],[Lease Number]],ContactList[[#All],[Lease Number]],0),12)),"",INDEX(ContactList[#All],MATCH(ActionTracker[[#All],[Lease Number]],ContactList[[#All],[Lease Number]],0),15))</f>
        <v>416-495-6242</v>
      </c>
      <c r="P137" s="138"/>
      <c r="Q137" s="139"/>
    </row>
    <row r="138" spans="1:17" x14ac:dyDescent="0.25">
      <c r="A138" s="135" t="s">
        <v>2483</v>
      </c>
      <c r="B138" s="136" t="str">
        <f>IF(ISERROR(INDEX(RTable[#All],MATCH(ActionTracker[[#All],[Lease Number]],RTable[[#All],[Lease Number]],0),1)),"",INDEX(RTable[#All],MATCH(ActionTracker[[#All],[Lease Number]],RTable[[#All],[Lease Number]],0),1))</f>
        <v>Alaric da Cunha</v>
      </c>
      <c r="C138" s="140" t="str">
        <f>IF(ISERROR(INDEX(RTable[#All],MATCH(ActionTracker[[#All],[Lease Number]],RTable[[#All],[Lease Number]],0),1)),"",INDEX(RTable[#All],MATCH(ActionTracker[[#All],[Lease Number]],RTable[[#All],[Lease Number]],0),2)&amp;", "&amp;INDEX(RTable[#All],MATCH(ActionTracker[[#All],[Lease Number]],RTable[[#All],[Lease Number]],0),3))</f>
        <v>365 Bloor St. E -Homecare, Toronto</v>
      </c>
      <c r="D138" s="141" t="str">
        <f>IF(ISNUMBER(SEARCH($D$1,INDEX(RTable[#All],MATCH(ActionTracker[[#All],[Lease Number]],RTable[[#All],[Lease Number]],0),5))),"x","")</f>
        <v>x</v>
      </c>
      <c r="E138" s="141" t="str">
        <f>IF(ISNUMBER(SEARCH($E$1,INDEX(RTable[#All],MATCH(ActionTracker[[#All],[Lease Number]],RTable[[#All],[Lease Number]],0),5))),"x","")</f>
        <v>x</v>
      </c>
      <c r="F138" s="141" t="str">
        <f>IF(ISNUMBER(SEARCH($F$1,INDEX(RTable[#All],MATCH(ActionTracker[[#All],[Lease Number]],RTable[[#All],[Lease Number]],0),5))),"x","")</f>
        <v>x</v>
      </c>
      <c r="G138" s="141" t="str">
        <f>IF(ISNUMBER(SEARCH($G$1,INDEX(RTable[#All],MATCH(ActionTracker[[#All],[Lease Number]],RTable[[#All],[Lease Number]],0),5))),"x","")</f>
        <v>x</v>
      </c>
      <c r="H138" s="141" t="str">
        <f>IF(ISNUMBER(SEARCH($H$1,INDEX(RTable[#All],MATCH(ActionTracker[[#All],[Lease Number]],RTable[[#All],[Lease Number]],0),5))),"x","")</f>
        <v>x</v>
      </c>
      <c r="I138" s="141" t="str">
        <f>IF(ISNUMBER(SEARCH($I$1,INDEX(RTable[#All],MATCH(ActionTracker[[#All],[Lease Number]],RTable[[#All],[Lease Number]],0),5))),"x","")</f>
        <v>x</v>
      </c>
      <c r="J138" s="141" t="str">
        <f>IF(ISNUMBER(SEARCH($J$1,INDEX(RTable[#All],MATCH(ActionTracker[[#All],[Lease Number]],RTable[[#All],[Lease Number]],0),5))),"x","")</f>
        <v/>
      </c>
      <c r="K138"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Complete</v>
      </c>
      <c r="L138" s="137" t="str">
        <f>IF(ISERROR(INDEX(ContactList[#All],MATCH(ActionTracker[[#All],[Lease Number]],ContactList[[#All],[Lease Number]],0),12)),"",INDEX(ContactList[#All],MATCH(ActionTracker[[#All],[Lease Number]],ContactList[[#All],[Lease Number]],0),12))</f>
        <v>Alaric</v>
      </c>
      <c r="M138" s="137" t="str">
        <f>IF(ISERROR(INDEX(ContactList[#All],MATCH(ActionTracker[[#All],[Lease Number]],ContactList[[#All],[Lease Number]],0),12)),"",INDEX(ContactList[#All],MATCH(ActionTracker[[#All],[Lease Number]],ContactList[[#All],[Lease Number]],0),13))</f>
        <v>da Cunha</v>
      </c>
      <c r="N138" s="137" t="str">
        <f>IF(ISERROR(INDEX(ContactList[#All],MATCH(ActionTracker[[#All],[Lease Number]],ContactList[[#All],[Lease Number]],0),12)),"",INDEX(ContactList[#All],MATCH(ActionTracker[[#All],[Lease Number]],ContactList[[#All],[Lease Number]],0),14))</f>
        <v>adacunha@greenrockpm.ca</v>
      </c>
      <c r="O138" s="137" t="str">
        <f>IF(ISERROR(INDEX(ContactList[#All],MATCH(ActionTracker[[#All],[Lease Number]],ContactList[[#All],[Lease Number]],0),12)),"",INDEX(ContactList[#All],MATCH(ActionTracker[[#All],[Lease Number]],ContactList[[#All],[Lease Number]],0),15))</f>
        <v>416-924-8388</v>
      </c>
      <c r="P138" s="138"/>
      <c r="Q138" s="139"/>
    </row>
    <row r="139" spans="1:17" ht="30" x14ac:dyDescent="0.25">
      <c r="A139" s="135" t="s">
        <v>3320</v>
      </c>
      <c r="B139" s="136" t="str">
        <f>IF(ISERROR(INDEX(RTable[#All],MATCH(ActionTracker[[#All],[Lease Number]],RTable[[#All],[Lease Number]],0),1)),"",INDEX(RTable[#All],MATCH(ActionTracker[[#All],[Lease Number]],RTable[[#All],[Lease Number]],0),1))</f>
        <v>Windsor Property Management</v>
      </c>
      <c r="C139" s="140" t="str">
        <f>IF(ISERROR(INDEX(RTable[#All],MATCH(ActionTracker[[#All],[Lease Number]],RTable[[#All],[Lease Number]],0),1)),"",INDEX(RTable[#All],MATCH(ActionTracker[[#All],[Lease Number]],RTable[[#All],[Lease Number]],0),2)&amp;", "&amp;INDEX(RTable[#All],MATCH(ActionTracker[[#All],[Lease Number]],RTable[[#All],[Lease Number]],0),3))</f>
        <v>2333 Dundas St. W., Toronto</v>
      </c>
      <c r="D139" s="141" t="str">
        <f>IF(ISNUMBER(SEARCH($D$1,INDEX(RTable[#All],MATCH(ActionTracker[[#All],[Lease Number]],RTable[[#All],[Lease Number]],0),5))),"x","")</f>
        <v/>
      </c>
      <c r="E139" s="141" t="str">
        <f>IF(ISNUMBER(SEARCH($E$1,INDEX(RTable[#All],MATCH(ActionTracker[[#All],[Lease Number]],RTable[[#All],[Lease Number]],0),5))),"x","")</f>
        <v/>
      </c>
      <c r="F139" s="141" t="str">
        <f>IF(ISNUMBER(SEARCH($F$1,INDEX(RTable[#All],MATCH(ActionTracker[[#All],[Lease Number]],RTable[[#All],[Lease Number]],0),5))),"x","")</f>
        <v/>
      </c>
      <c r="G139" s="141" t="str">
        <f>IF(ISNUMBER(SEARCH($G$1,INDEX(RTable[#All],MATCH(ActionTracker[[#All],[Lease Number]],RTable[[#All],[Lease Number]],0),5))),"x","")</f>
        <v/>
      </c>
      <c r="H139" s="141" t="str">
        <f>IF(ISNUMBER(SEARCH($H$1,INDEX(RTable[#All],MATCH(ActionTracker[[#All],[Lease Number]],RTable[[#All],[Lease Number]],0),5))),"x","")</f>
        <v/>
      </c>
      <c r="I139" s="141" t="str">
        <f>IF(ISNUMBER(SEARCH($I$1,INDEX(RTable[#All],MATCH(ActionTracker[[#All],[Lease Number]],RTable[[#All],[Lease Number]],0),5))),"x","")</f>
        <v/>
      </c>
      <c r="J139" s="141" t="str">
        <f>IF(ISNUMBER(SEARCH($J$1,INDEX(RTable[#All],MATCH(ActionTracker[[#All],[Lease Number]],RTable[[#All],[Lease Number]],0),5))),"x","")</f>
        <v/>
      </c>
      <c r="K139"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None</v>
      </c>
      <c r="L139" s="137" t="str">
        <f>IF(ISERROR(INDEX(ContactList[#All],MATCH(ActionTracker[[#All],[Lease Number]],ContactList[[#All],[Lease Number]],0),12)),"",INDEX(ContactList[#All],MATCH(ActionTracker[[#All],[Lease Number]],ContactList[[#All],[Lease Number]],0),12))</f>
        <v>Mark</v>
      </c>
      <c r="M139" s="137" t="str">
        <f>IF(ISERROR(INDEX(ContactList[#All],MATCH(ActionTracker[[#All],[Lease Number]],ContactList[[#All],[Lease Number]],0),12)),"",INDEX(ContactList[#All],MATCH(ActionTracker[[#All],[Lease Number]],ContactList[[#All],[Lease Number]],0),13))</f>
        <v>Koplowitz</v>
      </c>
      <c r="N139" s="137" t="str">
        <f>IF(ISERROR(INDEX(ContactList[#All],MATCH(ActionTracker[[#All],[Lease Number]],ContactList[[#All],[Lease Number]],0),12)),"",INDEX(ContactList[#All],MATCH(ActionTracker[[#All],[Lease Number]],ContactList[[#All],[Lease Number]],0),14))</f>
        <v>windsorconstruction@bellnet.ca</v>
      </c>
      <c r="O139" s="137" t="str">
        <f>IF(ISERROR(INDEX(ContactList[#All],MATCH(ActionTracker[[#All],[Lease Number]],ContactList[[#All],[Lease Number]],0),12)),"",INDEX(ContactList[#All],MATCH(ActionTracker[[#All],[Lease Number]],ContactList[[#All],[Lease Number]],0),15))</f>
        <v>416 534 6216</v>
      </c>
      <c r="P139" s="138"/>
      <c r="Q139" s="139"/>
    </row>
    <row r="140" spans="1:17" x14ac:dyDescent="0.25">
      <c r="A140" s="135" t="s">
        <v>2847</v>
      </c>
      <c r="B140" s="136" t="str">
        <f>IF(ISERROR(INDEX(RTable[#All],MATCH(ActionTracker[[#All],[Lease Number]],RTable[[#All],[Lease Number]],0),1)),"",INDEX(RTable[#All],MATCH(ActionTracker[[#All],[Lease Number]],RTable[[#All],[Lease Number]],0),1))</f>
        <v>Mogul Properties Ltd</v>
      </c>
      <c r="C140" s="140" t="str">
        <f>IF(ISERROR(INDEX(RTable[#All],MATCH(ActionTracker[[#All],[Lease Number]],RTable[[#All],[Lease Number]],0),1)),"",INDEX(RTable[#All],MATCH(ActionTracker[[#All],[Lease Number]],RTable[[#All],[Lease Number]],0),2)&amp;", "&amp;INDEX(RTable[#All],MATCH(ActionTracker[[#All],[Lease Number]],RTable[[#All],[Lease Number]],0),3))</f>
        <v>1011 Dufferin Street, Toronto</v>
      </c>
      <c r="D140" s="141" t="str">
        <f>IF(ISNUMBER(SEARCH($D$1,INDEX(RTable[#All],MATCH(ActionTracker[[#All],[Lease Number]],RTable[[#All],[Lease Number]],0),5))),"x","")</f>
        <v/>
      </c>
      <c r="E140" s="141" t="str">
        <f>IF(ISNUMBER(SEARCH($E$1,INDEX(RTable[#All],MATCH(ActionTracker[[#All],[Lease Number]],RTable[[#All],[Lease Number]],0),5))),"x","")</f>
        <v/>
      </c>
      <c r="F140" s="141" t="str">
        <f>IF(ISNUMBER(SEARCH($F$1,INDEX(RTable[#All],MATCH(ActionTracker[[#All],[Lease Number]],RTable[[#All],[Lease Number]],0),5))),"x","")</f>
        <v/>
      </c>
      <c r="G140" s="141" t="str">
        <f>IF(ISNUMBER(SEARCH($G$1,INDEX(RTable[#All],MATCH(ActionTracker[[#All],[Lease Number]],RTable[[#All],[Lease Number]],0),5))),"x","")</f>
        <v/>
      </c>
      <c r="H140" s="141" t="str">
        <f>IF(ISNUMBER(SEARCH($H$1,INDEX(RTable[#All],MATCH(ActionTracker[[#All],[Lease Number]],RTable[[#All],[Lease Number]],0),5))),"x","")</f>
        <v/>
      </c>
      <c r="I140" s="141" t="str">
        <f>IF(ISNUMBER(SEARCH($I$1,INDEX(RTable[#All],MATCH(ActionTracker[[#All],[Lease Number]],RTable[[#All],[Lease Number]],0),5))),"x","")</f>
        <v/>
      </c>
      <c r="J140" s="141" t="str">
        <f>IF(ISNUMBER(SEARCH($J$1,INDEX(RTable[#All],MATCH(ActionTracker[[#All],[Lease Number]],RTable[[#All],[Lease Number]],0),5))),"x","")</f>
        <v>x</v>
      </c>
      <c r="K140"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None</v>
      </c>
      <c r="L140" s="137" t="str">
        <f>IF(ISERROR(INDEX(ContactList[#All],MATCH(ActionTracker[[#All],[Lease Number]],ContactList[[#All],[Lease Number]],0),12)),"",INDEX(ContactList[#All],MATCH(ActionTracker[[#All],[Lease Number]],ContactList[[#All],[Lease Number]],0),12))</f>
        <v>Sheik</v>
      </c>
      <c r="M140" s="137" t="str">
        <f>IF(ISERROR(INDEX(ContactList[#All],MATCH(ActionTracker[[#All],[Lease Number]],ContactList[[#All],[Lease Number]],0),12)),"",INDEX(ContactList[#All],MATCH(ActionTracker[[#All],[Lease Number]],ContactList[[#All],[Lease Number]],0),13))</f>
        <v>Husein</v>
      </c>
      <c r="N140" s="137" t="str">
        <f>IF(ISERROR(INDEX(ContactList[#All],MATCH(ActionTracker[[#All],[Lease Number]],ContactList[[#All],[Lease Number]],0),12)),"",INDEX(ContactList[#All],MATCH(ActionTracker[[#All],[Lease Number]],ContactList[[#All],[Lease Number]],0),14))</f>
        <v>sheik@mogulproperties.com</v>
      </c>
      <c r="O140" s="137" t="str">
        <f>IF(ISERROR(INDEX(ContactList[#All],MATCH(ActionTracker[[#All],[Lease Number]],ContactList[[#All],[Lease Number]],0),12)),"",INDEX(ContactList[#All],MATCH(ActionTracker[[#All],[Lease Number]],ContactList[[#All],[Lease Number]],0),15))</f>
        <v>647 986 4534</v>
      </c>
      <c r="P140" s="138"/>
      <c r="Q140" s="139"/>
    </row>
    <row r="141" spans="1:17" x14ac:dyDescent="0.25">
      <c r="A141" s="135" t="s">
        <v>3051</v>
      </c>
      <c r="B141" s="136" t="str">
        <f>IF(ISERROR(INDEX(RTable[#All],MATCH(ActionTracker[[#All],[Lease Number]],RTable[[#All],[Lease Number]],0),1)),"",INDEX(RTable[#All],MATCH(ActionTracker[[#All],[Lease Number]],RTable[[#All],[Lease Number]],0),1))</f>
        <v>Michael O'Hare</v>
      </c>
      <c r="C141" s="140" t="str">
        <f>IF(ISERROR(INDEX(RTable[#All],MATCH(ActionTracker[[#All],[Lease Number]],RTable[[#All],[Lease Number]],0),1)),"",INDEX(RTable[#All],MATCH(ActionTracker[[#All],[Lease Number]],RTable[[#All],[Lease Number]],0),2)&amp;", "&amp;INDEX(RTable[#All],MATCH(ActionTracker[[#All],[Lease Number]],RTable[[#All],[Lease Number]],0),3))</f>
        <v>100 Holland Court, Bradford, O.N.</v>
      </c>
      <c r="D141" s="141" t="str">
        <f>IF(ISNUMBER(SEARCH($D$1,INDEX(RTable[#All],MATCH(ActionTracker[[#All],[Lease Number]],RTable[[#All],[Lease Number]],0),5))),"x","")</f>
        <v/>
      </c>
      <c r="E141" s="141" t="str">
        <f>IF(ISNUMBER(SEARCH($E$1,INDEX(RTable[#All],MATCH(ActionTracker[[#All],[Lease Number]],RTable[[#All],[Lease Number]],0),5))),"x","")</f>
        <v/>
      </c>
      <c r="F141" s="141" t="str">
        <f>IF(ISNUMBER(SEARCH($F$1,INDEX(RTable[#All],MATCH(ActionTracker[[#All],[Lease Number]],RTable[[#All],[Lease Number]],0),5))),"x","")</f>
        <v/>
      </c>
      <c r="G141" s="141" t="str">
        <f>IF(ISNUMBER(SEARCH($G$1,INDEX(RTable[#All],MATCH(ActionTracker[[#All],[Lease Number]],RTable[[#All],[Lease Number]],0),5))),"x","")</f>
        <v/>
      </c>
      <c r="H141" s="141" t="str">
        <f>IF(ISNUMBER(SEARCH($H$1,INDEX(RTable[#All],MATCH(ActionTracker[[#All],[Lease Number]],RTable[[#All],[Lease Number]],0),5))),"x","")</f>
        <v/>
      </c>
      <c r="I141" s="141" t="str">
        <f>IF(ISNUMBER(SEARCH($I$1,INDEX(RTable[#All],MATCH(ActionTracker[[#All],[Lease Number]],RTable[[#All],[Lease Number]],0),5))),"x","")</f>
        <v/>
      </c>
      <c r="J141" s="141" t="str">
        <f>IF(ISNUMBER(SEARCH($J$1,INDEX(RTable[#All],MATCH(ActionTracker[[#All],[Lease Number]],RTable[[#All],[Lease Number]],0),5))),"x","")</f>
        <v>x</v>
      </c>
      <c r="K141"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None</v>
      </c>
      <c r="L141" s="137" t="str">
        <f>IF(ISERROR(INDEX(ContactList[#All],MATCH(ActionTracker[[#All],[Lease Number]],ContactList[[#All],[Lease Number]],0),12)),"",INDEX(ContactList[#All],MATCH(ActionTracker[[#All],[Lease Number]],ContactList[[#All],[Lease Number]],0),12))</f>
        <v>Mike</v>
      </c>
      <c r="M141" s="137" t="str">
        <f>IF(ISERROR(INDEX(ContactList[#All],MATCH(ActionTracker[[#All],[Lease Number]],ContactList[[#All],[Lease Number]],0),12)),"",INDEX(ContactList[#All],MATCH(ActionTracker[[#All],[Lease Number]],ContactList[[#All],[Lease Number]],0),13))</f>
        <v>O'Hare</v>
      </c>
      <c r="N141" s="137" t="str">
        <f>IF(ISERROR(INDEX(ContactList[#All],MATCH(ActionTracker[[#All],[Lease Number]],ContactList[[#All],[Lease Number]],0),12)),"",INDEX(ContactList[#All],MATCH(ActionTracker[[#All],[Lease Number]],ContactList[[#All],[Lease Number]],0),14))</f>
        <v>mohare@townofbwg.com</v>
      </c>
      <c r="O141" s="137" t="str">
        <f>IF(ISERROR(INDEX(ContactList[#All],MATCH(ActionTracker[[#All],[Lease Number]],ContactList[[#All],[Lease Number]],0),12)),"",INDEX(ContactList[#All],MATCH(ActionTracker[[#All],[Lease Number]],ContactList[[#All],[Lease Number]],0),15))</f>
        <v>905 775 5359</v>
      </c>
      <c r="P141" s="138"/>
      <c r="Q141" s="139"/>
    </row>
    <row r="142" spans="1:17" x14ac:dyDescent="0.25">
      <c r="A142" s="135" t="s">
        <v>3051</v>
      </c>
      <c r="B142" s="136" t="str">
        <f>IF(ISERROR(INDEX(RTable[#All],MATCH(ActionTracker[[#All],[Lease Number]],RTable[[#All],[Lease Number]],0),1)),"",INDEX(RTable[#All],MATCH(ActionTracker[[#All],[Lease Number]],RTable[[#All],[Lease Number]],0),1))</f>
        <v>Michael O'Hare</v>
      </c>
      <c r="C142" s="140" t="str">
        <f>IF(ISERROR(INDEX(RTable[#All],MATCH(ActionTracker[[#All],[Lease Number]],RTable[[#All],[Lease Number]],0),1)),"",INDEX(RTable[#All],MATCH(ActionTracker[[#All],[Lease Number]],RTable[[#All],[Lease Number]],0),2)&amp;", "&amp;INDEX(RTable[#All],MATCH(ActionTracker[[#All],[Lease Number]],RTable[[#All],[Lease Number]],0),3))</f>
        <v>100 Holland Court, Bradford, O.N.</v>
      </c>
      <c r="D142" s="141" t="str">
        <f>IF(ISNUMBER(SEARCH($D$1,INDEX(RTable[#All],MATCH(ActionTracker[[#All],[Lease Number]],RTable[[#All],[Lease Number]],0),5))),"x","")</f>
        <v/>
      </c>
      <c r="E142" s="141" t="str">
        <f>IF(ISNUMBER(SEARCH($E$1,INDEX(RTable[#All],MATCH(ActionTracker[[#All],[Lease Number]],RTable[[#All],[Lease Number]],0),5))),"x","")</f>
        <v/>
      </c>
      <c r="F142" s="141" t="str">
        <f>IF(ISNUMBER(SEARCH($F$1,INDEX(RTable[#All],MATCH(ActionTracker[[#All],[Lease Number]],RTable[[#All],[Lease Number]],0),5))),"x","")</f>
        <v/>
      </c>
      <c r="G142" s="141" t="str">
        <f>IF(ISNUMBER(SEARCH($G$1,INDEX(RTable[#All],MATCH(ActionTracker[[#All],[Lease Number]],RTable[[#All],[Lease Number]],0),5))),"x","")</f>
        <v/>
      </c>
      <c r="H142" s="141" t="str">
        <f>IF(ISNUMBER(SEARCH($H$1,INDEX(RTable[#All],MATCH(ActionTracker[[#All],[Lease Number]],RTable[[#All],[Lease Number]],0),5))),"x","")</f>
        <v/>
      </c>
      <c r="I142" s="141" t="str">
        <f>IF(ISNUMBER(SEARCH($I$1,INDEX(RTable[#All],MATCH(ActionTracker[[#All],[Lease Number]],RTable[[#All],[Lease Number]],0),5))),"x","")</f>
        <v/>
      </c>
      <c r="J142" s="141" t="str">
        <f>IF(ISNUMBER(SEARCH($J$1,INDEX(RTable[#All],MATCH(ActionTracker[[#All],[Lease Number]],RTable[[#All],[Lease Number]],0),5))),"x","")</f>
        <v>x</v>
      </c>
      <c r="K142"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None</v>
      </c>
      <c r="L142" s="137" t="str">
        <f>IF(ISERROR(INDEX(ContactList[#All],MATCH(ActionTracker[[#All],[Lease Number]],ContactList[[#All],[Lease Number]],0),12)),"",INDEX(ContactList[#All],MATCH(ActionTracker[[#All],[Lease Number]],ContactList[[#All],[Lease Number]],0),12))</f>
        <v>Mike</v>
      </c>
      <c r="M142" s="137" t="str">
        <f>IF(ISERROR(INDEX(ContactList[#All],MATCH(ActionTracker[[#All],[Lease Number]],ContactList[[#All],[Lease Number]],0),12)),"",INDEX(ContactList[#All],MATCH(ActionTracker[[#All],[Lease Number]],ContactList[[#All],[Lease Number]],0),13))</f>
        <v>O'Hare</v>
      </c>
      <c r="N142" s="137" t="str">
        <f>IF(ISERROR(INDEX(ContactList[#All],MATCH(ActionTracker[[#All],[Lease Number]],ContactList[[#All],[Lease Number]],0),12)),"",INDEX(ContactList[#All],MATCH(ActionTracker[[#All],[Lease Number]],ContactList[[#All],[Lease Number]],0),14))</f>
        <v>mohare@townofbwg.com</v>
      </c>
      <c r="O142" s="137" t="str">
        <f>IF(ISERROR(INDEX(ContactList[#All],MATCH(ActionTracker[[#All],[Lease Number]],ContactList[[#All],[Lease Number]],0),12)),"",INDEX(ContactList[#All],MATCH(ActionTracker[[#All],[Lease Number]],ContactList[[#All],[Lease Number]],0),15))</f>
        <v>905 775 5359</v>
      </c>
      <c r="P142" s="138"/>
      <c r="Q142" s="139"/>
    </row>
    <row r="143" spans="1:17" x14ac:dyDescent="0.25">
      <c r="A143" s="135" t="s">
        <v>2749</v>
      </c>
      <c r="B143" s="136" t="str">
        <f>IF(ISERROR(INDEX(RTable[#All],MATCH(ActionTracker[[#All],[Lease Number]],RTable[[#All],[Lease Number]],0),1)),"",INDEX(RTable[#All],MATCH(ActionTracker[[#All],[Lease Number]],RTable[[#All],[Lease Number]],0),1))</f>
        <v>Didi Caputo</v>
      </c>
      <c r="C143" s="140" t="str">
        <f>IF(ISERROR(INDEX(RTable[#All],MATCH(ActionTracker[[#All],[Lease Number]],RTable[[#All],[Lease Number]],0),1)),"",INDEX(RTable[#All],MATCH(ActionTracker[[#All],[Lease Number]],RTable[[#All],[Lease Number]],0),2)&amp;", "&amp;INDEX(RTable[#All],MATCH(ActionTracker[[#All],[Lease Number]],RTable[[#All],[Lease Number]],0),3))</f>
        <v>2421 Bristol Circle, Oakville, O.N.</v>
      </c>
      <c r="D143" s="141" t="str">
        <f>IF(ISNUMBER(SEARCH($D$1,INDEX(RTable[#All],MATCH(ActionTracker[[#All],[Lease Number]],RTable[[#All],[Lease Number]],0),5))),"x","")</f>
        <v>x</v>
      </c>
      <c r="E143" s="141" t="str">
        <f>IF(ISNUMBER(SEARCH($E$1,INDEX(RTable[#All],MATCH(ActionTracker[[#All],[Lease Number]],RTable[[#All],[Lease Number]],0),5))),"x","")</f>
        <v>x</v>
      </c>
      <c r="F143" s="141" t="str">
        <f>IF(ISNUMBER(SEARCH($F$1,INDEX(RTable[#All],MATCH(ActionTracker[[#All],[Lease Number]],RTable[[#All],[Lease Number]],0),5))),"x","")</f>
        <v>x</v>
      </c>
      <c r="G143" s="141" t="str">
        <f>IF(ISNUMBER(SEARCH($G$1,INDEX(RTable[#All],MATCH(ActionTracker[[#All],[Lease Number]],RTable[[#All],[Lease Number]],0),5))),"x","")</f>
        <v>x</v>
      </c>
      <c r="H143" s="141" t="str">
        <f>IF(ISNUMBER(SEARCH($H$1,INDEX(RTable[#All],MATCH(ActionTracker[[#All],[Lease Number]],RTable[[#All],[Lease Number]],0),5))),"x","")</f>
        <v>x</v>
      </c>
      <c r="I143" s="141" t="str">
        <f>IF(ISNUMBER(SEARCH($I$1,INDEX(RTable[#All],MATCH(ActionTracker[[#All],[Lease Number]],RTable[[#All],[Lease Number]],0),5))),"x","")</f>
        <v/>
      </c>
      <c r="J143" s="141" t="str">
        <f>IF(ISNUMBER(SEARCH($J$1,INDEX(RTable[#All],MATCH(ActionTracker[[#All],[Lease Number]],RTable[[#All],[Lease Number]],0),5))),"x","")</f>
        <v/>
      </c>
      <c r="K143"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143" s="137" t="str">
        <f>IF(ISERROR(INDEX(ContactList[#All],MATCH(ActionTracker[[#All],[Lease Number]],ContactList[[#All],[Lease Number]],0),12)),"",INDEX(ContactList[#All],MATCH(ActionTracker[[#All],[Lease Number]],ContactList[[#All],[Lease Number]],0),12))</f>
        <v>Didi</v>
      </c>
      <c r="M143" s="137" t="str">
        <f>IF(ISERROR(INDEX(ContactList[#All],MATCH(ActionTracker[[#All],[Lease Number]],ContactList[[#All],[Lease Number]],0),12)),"",INDEX(ContactList[#All],MATCH(ActionTracker[[#All],[Lease Number]],ContactList[[#All],[Lease Number]],0),13))</f>
        <v>Caputo</v>
      </c>
      <c r="N143" s="137" t="str">
        <f>IF(ISERROR(INDEX(ContactList[#All],MATCH(ActionTracker[[#All],[Lease Number]],ContactList[[#All],[Lease Number]],0),12)),"",INDEX(ContactList[#All],MATCH(ActionTracker[[#All],[Lease Number]],ContactList[[#All],[Lease Number]],0),14))</f>
        <v>didic@coloniatreuhand.com</v>
      </c>
      <c r="O143" s="137" t="str">
        <f>IF(ISERROR(INDEX(ContactList[#All],MATCH(ActionTracker[[#All],[Lease Number]],ContactList[[#All],[Lease Number]],0),12)),"",INDEX(ContactList[#All],MATCH(ActionTracker[[#All],[Lease Number]],ContactList[[#All],[Lease Number]],0),15))</f>
        <v>416 628 5420</v>
      </c>
      <c r="P143" s="138"/>
      <c r="Q143" s="139"/>
    </row>
    <row r="144" spans="1:17" x14ac:dyDescent="0.25">
      <c r="A144" s="135" t="s">
        <v>3441</v>
      </c>
      <c r="B144" s="136" t="str">
        <f>IF(ISERROR(INDEX(RTable[#All],MATCH(ActionTracker[[#All],[Lease Number]],RTable[[#All],[Lease Number]],0),1)),"",INDEX(RTable[#All],MATCH(ActionTracker[[#All],[Lease Number]],RTable[[#All],[Lease Number]],0),1))</f>
        <v>Mike Trentadue</v>
      </c>
      <c r="C144" s="140" t="str">
        <f>IF(ISERROR(INDEX(RTable[#All],MATCH(ActionTracker[[#All],[Lease Number]],RTable[[#All],[Lease Number]],0),1)),"",INDEX(RTable[#All],MATCH(ActionTracker[[#All],[Lease Number]],RTable[[#All],[Lease Number]],0),2)&amp;", "&amp;INDEX(RTable[#All],MATCH(ActionTracker[[#All],[Lease Number]],RTable[[#All],[Lease Number]],0),3))</f>
        <v>11 Lake Side Terrace, Barrie, O.N.</v>
      </c>
      <c r="D144" s="141" t="str">
        <f>IF(ISNUMBER(SEARCH($D$1,INDEX(RTable[#All],MATCH(ActionTracker[[#All],[Lease Number]],RTable[[#All],[Lease Number]],0),5))),"x","")</f>
        <v>x</v>
      </c>
      <c r="E144" s="141" t="str">
        <f>IF(ISNUMBER(SEARCH($E$1,INDEX(RTable[#All],MATCH(ActionTracker[[#All],[Lease Number]],RTable[[#All],[Lease Number]],0),5))),"x","")</f>
        <v>x</v>
      </c>
      <c r="F144" s="141" t="str">
        <f>IF(ISNUMBER(SEARCH($F$1,INDEX(RTable[#All],MATCH(ActionTracker[[#All],[Lease Number]],RTable[[#All],[Lease Number]],0),5))),"x","")</f>
        <v>x</v>
      </c>
      <c r="G144" s="141" t="str">
        <f>IF(ISNUMBER(SEARCH($G$1,INDEX(RTable[#All],MATCH(ActionTracker[[#All],[Lease Number]],RTable[[#All],[Lease Number]],0),5))),"x","")</f>
        <v>x</v>
      </c>
      <c r="H144" s="141" t="str">
        <f>IF(ISNUMBER(SEARCH($H$1,INDEX(RTable[#All],MATCH(ActionTracker[[#All],[Lease Number]],RTable[[#All],[Lease Number]],0),5))),"x","")</f>
        <v>x</v>
      </c>
      <c r="I144" s="141" t="str">
        <f>IF(ISNUMBER(SEARCH($I$1,INDEX(RTable[#All],MATCH(ActionTracker[[#All],[Lease Number]],RTable[[#All],[Lease Number]],0),5))),"x","")</f>
        <v/>
      </c>
      <c r="J144" s="141" t="str">
        <f>IF(ISNUMBER(SEARCH($J$1,INDEX(RTable[#All],MATCH(ActionTracker[[#All],[Lease Number]],RTable[[#All],[Lease Number]],0),5))),"x","")</f>
        <v/>
      </c>
      <c r="K144"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144" s="137" t="str">
        <f>IF(ISERROR(INDEX(ContactList[#All],MATCH(ActionTracker[[#All],[Lease Number]],ContactList[[#All],[Lease Number]],0),12)),"",INDEX(ContactList[#All],MATCH(ActionTracker[[#All],[Lease Number]],ContactList[[#All],[Lease Number]],0),12))</f>
        <v>Mike</v>
      </c>
      <c r="M144" s="137" t="str">
        <f>IF(ISERROR(INDEX(ContactList[#All],MATCH(ActionTracker[[#All],[Lease Number]],ContactList[[#All],[Lease Number]],0),12)),"",INDEX(ContactList[#All],MATCH(ActionTracker[[#All],[Lease Number]],ContactList[[#All],[Lease Number]],0),13))</f>
        <v>Trentadue</v>
      </c>
      <c r="N144" s="137" t="str">
        <f>IF(ISERROR(INDEX(ContactList[#All],MATCH(ActionTracker[[#All],[Lease Number]],ContactList[[#All],[Lease Number]],0),12)),"",INDEX(ContactList[#All],MATCH(ActionTracker[[#All],[Lease Number]],ContactList[[#All],[Lease Number]],0),14))</f>
        <v>mtrentadue@mmcorp.ca</v>
      </c>
      <c r="O144" s="137" t="str">
        <f>IF(ISERROR(INDEX(ContactList[#All],MATCH(ActionTracker[[#All],[Lease Number]],ContactList[[#All],[Lease Number]],0),12)),"",INDEX(ContactList[#All],MATCH(ActionTracker[[#All],[Lease Number]],ContactList[[#All],[Lease Number]],0),15))</f>
        <v>705-722-6706</v>
      </c>
      <c r="P144" s="138"/>
      <c r="Q144" s="139"/>
    </row>
    <row r="145" spans="1:17" ht="28.5" x14ac:dyDescent="0.25">
      <c r="A145" s="135" t="s">
        <v>2591</v>
      </c>
      <c r="B145" s="136" t="str">
        <f>IF(ISERROR(INDEX(RTable[#All],MATCH(ActionTracker[[#All],[Lease Number]],RTable[[#All],[Lease Number]],0),1)),"",INDEX(RTable[#All],MATCH(ActionTracker[[#All],[Lease Number]],RTable[[#All],[Lease Number]],0),1))</f>
        <v>Shelly Klein</v>
      </c>
      <c r="C145" s="140" t="str">
        <f>IF(ISERROR(INDEX(RTable[#All],MATCH(ActionTracker[[#All],[Lease Number]],RTable[[#All],[Lease Number]],0),1)),"",INDEX(RTable[#All],MATCH(ActionTracker[[#All],[Lease Number]],RTable[[#All],[Lease Number]],0),2)&amp;", "&amp;INDEX(RTable[#All],MATCH(ActionTracker[[#All],[Lease Number]],RTable[[#All],[Lease Number]],0),3))</f>
        <v xml:space="preserve">425 Algonquin Blvd. East, Timmins, O.N. </v>
      </c>
      <c r="D145" s="141" t="str">
        <f>IF(ISNUMBER(SEARCH($D$1,INDEX(RTable[#All],MATCH(ActionTracker[[#All],[Lease Number]],RTable[[#All],[Lease Number]],0),5))),"x","")</f>
        <v/>
      </c>
      <c r="E145" s="141" t="str">
        <f>IF(ISNUMBER(SEARCH($E$1,INDEX(RTable[#All],MATCH(ActionTracker[[#All],[Lease Number]],RTable[[#All],[Lease Number]],0),5))),"x","")</f>
        <v/>
      </c>
      <c r="F145" s="141" t="str">
        <f>IF(ISNUMBER(SEARCH($F$1,INDEX(RTable[#All],MATCH(ActionTracker[[#All],[Lease Number]],RTable[[#All],[Lease Number]],0),5))),"x","")</f>
        <v/>
      </c>
      <c r="G145" s="141" t="str">
        <f>IF(ISNUMBER(SEARCH($G$1,INDEX(RTable[#All],MATCH(ActionTracker[[#All],[Lease Number]],RTable[[#All],[Lease Number]],0),5))),"x","")</f>
        <v>x</v>
      </c>
      <c r="H145" s="141" t="str">
        <f>IF(ISNUMBER(SEARCH($H$1,INDEX(RTable[#All],MATCH(ActionTracker[[#All],[Lease Number]],RTable[[#All],[Lease Number]],0),5))),"x","")</f>
        <v/>
      </c>
      <c r="I145" s="141" t="str">
        <f>IF(ISNUMBER(SEARCH($I$1,INDEX(RTable[#All],MATCH(ActionTracker[[#All],[Lease Number]],RTable[[#All],[Lease Number]],0),5))),"x","")</f>
        <v/>
      </c>
      <c r="J145" s="141" t="str">
        <f>IF(ISNUMBER(SEARCH($J$1,INDEX(RTable[#All],MATCH(ActionTracker[[#All],[Lease Number]],RTable[[#All],[Lease Number]],0),5))),"x","")</f>
        <v/>
      </c>
      <c r="K145"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45" s="137" t="str">
        <f>IF(ISERROR(INDEX(ContactList[#All],MATCH(ActionTracker[[#All],[Lease Number]],ContactList[[#All],[Lease Number]],0),12)),"",INDEX(ContactList[#All],MATCH(ActionTracker[[#All],[Lease Number]],ContactList[[#All],[Lease Number]],0),12))</f>
        <v>Carmen
Jennifer</v>
      </c>
      <c r="M145" s="137" t="str">
        <f>IF(ISERROR(INDEX(ContactList[#All],MATCH(ActionTracker[[#All],[Lease Number]],ContactList[[#All],[Lease Number]],0),12)),"",INDEX(ContactList[#All],MATCH(ActionTracker[[#All],[Lease Number]],ContactList[[#All],[Lease Number]],0),13))</f>
        <v>Colafella
Huntley</v>
      </c>
      <c r="N145" s="137" t="str">
        <f>IF(ISERROR(INDEX(ContactList[#All],MATCH(ActionTracker[[#All],[Lease Number]],ContactList[[#All],[Lease Number]],0),12)),"",INDEX(ContactList[#All],MATCH(ActionTracker[[#All],[Lease Number]],ContactList[[#All],[Lease Number]],0),14))</f>
        <v>colafellac@davpart.com
huntleyj@davpart.com</v>
      </c>
      <c r="O145" s="137" t="str">
        <f>IF(ISERROR(INDEX(ContactList[#All],MATCH(ActionTracker[[#All],[Lease Number]],ContactList[[#All],[Lease Number]],0),12)),"",INDEX(ContactList[#All],MATCH(ActionTracker[[#All],[Lease Number]],ContactList[[#All],[Lease Number]],0),15))</f>
        <v>416 222 3010
416 222 3010</v>
      </c>
      <c r="P145" s="138"/>
      <c r="Q145" s="139"/>
    </row>
    <row r="146" spans="1:17" ht="30" x14ac:dyDescent="0.25">
      <c r="A146" s="135" t="s">
        <v>2030</v>
      </c>
      <c r="B146" s="136" t="str">
        <f>IF(ISERROR(INDEX(RTable[#All],MATCH(ActionTracker[[#All],[Lease Number]],RTable[[#All],[Lease Number]],0),1)),"",INDEX(RTable[#All],MATCH(ActionTracker[[#All],[Lease Number]],RTable[[#All],[Lease Number]],0),1))</f>
        <v>Northwest Healthcare Properties</v>
      </c>
      <c r="C146" s="140" t="str">
        <f>IF(ISERROR(INDEX(RTable[#All],MATCH(ActionTracker[[#All],[Lease Number]],RTable[[#All],[Lease Number]],0),1)),"",INDEX(RTable[#All],MATCH(ActionTracker[[#All],[Lease Number]],RTable[[#All],[Lease Number]],0),2)&amp;", "&amp;INDEX(RTable[#All],MATCH(ActionTracker[[#All],[Lease Number]],RTable[[#All],[Lease Number]],0),3))</f>
        <v>857 Grand Ave. W., Chatham, O.N.</v>
      </c>
      <c r="D146" s="141" t="str">
        <f>IF(ISNUMBER(SEARCH($D$1,INDEX(RTable[#All],MATCH(ActionTracker[[#All],[Lease Number]],RTable[[#All],[Lease Number]],0),5))),"x","")</f>
        <v/>
      </c>
      <c r="E146" s="141" t="str">
        <f>IF(ISNUMBER(SEARCH($E$1,INDEX(RTable[#All],MATCH(ActionTracker[[#All],[Lease Number]],RTable[[#All],[Lease Number]],0),5))),"x","")</f>
        <v/>
      </c>
      <c r="F146" s="141" t="str">
        <f>IF(ISNUMBER(SEARCH($F$1,INDEX(RTable[#All],MATCH(ActionTracker[[#All],[Lease Number]],RTable[[#All],[Lease Number]],0),5))),"x","")</f>
        <v/>
      </c>
      <c r="G146" s="141" t="str">
        <f>IF(ISNUMBER(SEARCH($G$1,INDEX(RTable[#All],MATCH(ActionTracker[[#All],[Lease Number]],RTable[[#All],[Lease Number]],0),5))),"x","")</f>
        <v/>
      </c>
      <c r="H146" s="141" t="str">
        <f>IF(ISNUMBER(SEARCH($H$1,INDEX(RTable[#All],MATCH(ActionTracker[[#All],[Lease Number]],RTable[[#All],[Lease Number]],0),5))),"x","")</f>
        <v/>
      </c>
      <c r="I146" s="141" t="str">
        <f>IF(ISNUMBER(SEARCH($I$1,INDEX(RTable[#All],MATCH(ActionTracker[[#All],[Lease Number]],RTable[[#All],[Lease Number]],0),5))),"x","")</f>
        <v/>
      </c>
      <c r="J146" s="141" t="str">
        <f>IF(ISNUMBER(SEARCH($J$1,INDEX(RTable[#All],MATCH(ActionTracker[[#All],[Lease Number]],RTable[[#All],[Lease Number]],0),5))),"x","")</f>
        <v>x</v>
      </c>
      <c r="K146"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None</v>
      </c>
      <c r="L146" s="137" t="str">
        <f>IF(ISERROR(INDEX(ContactList[#All],MATCH(ActionTracker[[#All],[Lease Number]],ContactList[[#All],[Lease Number]],0),12)),"",INDEX(ContactList[#All],MATCH(ActionTracker[[#All],[Lease Number]],ContactList[[#All],[Lease Number]],0),12))</f>
        <v>Nadia</v>
      </c>
      <c r="M146" s="137" t="str">
        <f>IF(ISERROR(INDEX(ContactList[#All],MATCH(ActionTracker[[#All],[Lease Number]],ContactList[[#All],[Lease Number]],0),12)),"",INDEX(ContactList[#All],MATCH(ActionTracker[[#All],[Lease Number]],ContactList[[#All],[Lease Number]],0),13))</f>
        <v>Hindi</v>
      </c>
      <c r="N146" s="137" t="str">
        <f>IF(ISERROR(INDEX(ContactList[#All],MATCH(ActionTracker[[#All],[Lease Number]],ContactList[[#All],[Lease Number]],0),12)),"",INDEX(ContactList[#All],MATCH(ActionTracker[[#All],[Lease Number]],ContactList[[#All],[Lease Number]],0),14))</f>
        <v>nadia.hindi@nwhp.ca</v>
      </c>
      <c r="O146" s="137" t="str">
        <f>IF(ISERROR(INDEX(ContactList[#All],MATCH(ActionTracker[[#All],[Lease Number]],ContactList[[#All],[Lease Number]],0),12)),"",INDEX(ContactList[#All],MATCH(ActionTracker[[#All],[Lease Number]],ContactList[[#All],[Lease Number]],0),15))</f>
        <v>519 258 3523</v>
      </c>
      <c r="P146" s="138"/>
      <c r="Q146" s="139"/>
    </row>
    <row r="147" spans="1:17" ht="28.5" x14ac:dyDescent="0.25">
      <c r="A147" s="135" t="s">
        <v>2435</v>
      </c>
      <c r="B147" s="136" t="str">
        <f>IF(ISERROR(INDEX(RTable[#All],MATCH(ActionTracker[[#All],[Lease Number]],RTable[[#All],[Lease Number]],0),1)),"",INDEX(RTable[#All],MATCH(ActionTracker[[#All],[Lease Number]],RTable[[#All],[Lease Number]],0),1))</f>
        <v>Tom Capisciolto</v>
      </c>
      <c r="C147" s="140" t="str">
        <f>IF(ISERROR(INDEX(RTable[#All],MATCH(ActionTracker[[#All],[Lease Number]],RTable[[#All],[Lease Number]],0),1)),"",INDEX(RTable[#All],MATCH(ActionTracker[[#All],[Lease Number]],RTable[[#All],[Lease Number]],0),2)&amp;", "&amp;INDEX(RTable[#All],MATCH(ActionTracker[[#All],[Lease Number]],RTable[[#All],[Lease Number]],0),3))</f>
        <v>44 Great Northern Road - Cambrian Mall, Sault Ste Marie, O.N.</v>
      </c>
      <c r="D147" s="141" t="str">
        <f>IF(ISNUMBER(SEARCH($D$1,INDEX(RTable[#All],MATCH(ActionTracker[[#All],[Lease Number]],RTable[[#All],[Lease Number]],0),5))),"x","")</f>
        <v>x</v>
      </c>
      <c r="E147" s="141" t="str">
        <f>IF(ISNUMBER(SEARCH($E$1,INDEX(RTable[#All],MATCH(ActionTracker[[#All],[Lease Number]],RTable[[#All],[Lease Number]],0),5))),"x","")</f>
        <v>x</v>
      </c>
      <c r="F147" s="141" t="str">
        <f>IF(ISNUMBER(SEARCH($F$1,INDEX(RTable[#All],MATCH(ActionTracker[[#All],[Lease Number]],RTable[[#All],[Lease Number]],0),5))),"x","")</f>
        <v>x</v>
      </c>
      <c r="G147" s="141" t="str">
        <f>IF(ISNUMBER(SEARCH($G$1,INDEX(RTable[#All],MATCH(ActionTracker[[#All],[Lease Number]],RTable[[#All],[Lease Number]],0),5))),"x","")</f>
        <v>x</v>
      </c>
      <c r="H147" s="141" t="str">
        <f>IF(ISNUMBER(SEARCH($H$1,INDEX(RTable[#All],MATCH(ActionTracker[[#All],[Lease Number]],RTable[[#All],[Lease Number]],0),5))),"x","")</f>
        <v/>
      </c>
      <c r="I147" s="141" t="str">
        <f>IF(ISNUMBER(SEARCH($I$1,INDEX(RTable[#All],MATCH(ActionTracker[[#All],[Lease Number]],RTable[[#All],[Lease Number]],0),5))),"x","")</f>
        <v/>
      </c>
      <c r="J147" s="141" t="str">
        <f>IF(ISNUMBER(SEARCH($J$1,INDEX(RTable[#All],MATCH(ActionTracker[[#All],[Lease Number]],RTable[[#All],[Lease Number]],0),5))),"x","")</f>
        <v/>
      </c>
      <c r="K147"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147" s="137" t="str">
        <f>IF(ISERROR(INDEX(ContactList[#All],MATCH(ActionTracker[[#All],[Lease Number]],ContactList[[#All],[Lease Number]],0),12)),"",INDEX(ContactList[#All],MATCH(ActionTracker[[#All],[Lease Number]],ContactList[[#All],[Lease Number]],0),12))</f>
        <v>Tom</v>
      </c>
      <c r="M147" s="137" t="str">
        <f>IF(ISERROR(INDEX(ContactList[#All],MATCH(ActionTracker[[#All],[Lease Number]],ContactList[[#All],[Lease Number]],0),12)),"",INDEX(ContactList[#All],MATCH(ActionTracker[[#All],[Lease Number]],ContactList[[#All],[Lease Number]],0),13))</f>
        <v>Capisciolto</v>
      </c>
      <c r="N147" s="137" t="str">
        <f>IF(ISERROR(INDEX(ContactList[#All],MATCH(ActionTracker[[#All],[Lease Number]],ContactList[[#All],[Lease Number]],0),12)),"",INDEX(ContactList[#All],MATCH(ActionTracker[[#All],[Lease Number]],ContactList[[#All],[Lease Number]],0),14))</f>
        <v>tcapisciolto@riocan.com</v>
      </c>
      <c r="O147" s="137" t="str">
        <f>IF(ISERROR(INDEX(ContactList[#All],MATCH(ActionTracker[[#All],[Lease Number]],ContactList[[#All],[Lease Number]],0),12)),"",INDEX(ContactList[#All],MATCH(ActionTracker[[#All],[Lease Number]],ContactList[[#All],[Lease Number]],0),15))</f>
        <v>705 759 4900</v>
      </c>
      <c r="P147" s="138"/>
      <c r="Q147" s="139"/>
    </row>
    <row r="148" spans="1:17" ht="28.5" x14ac:dyDescent="0.25">
      <c r="A148" s="135" t="s">
        <v>2603</v>
      </c>
      <c r="B148" s="136" t="str">
        <f>IF(ISERROR(INDEX(RTable[#All],MATCH(ActionTracker[[#All],[Lease Number]],RTable[[#All],[Lease Number]],0),1)),"",INDEX(RTable[#All],MATCH(ActionTracker[[#All],[Lease Number]],RTable[[#All],[Lease Number]],0),1))</f>
        <v>Elgin Mall</v>
      </c>
      <c r="C148" s="140" t="str">
        <f>IF(ISERROR(INDEX(RTable[#All],MATCH(ActionTracker[[#All],[Lease Number]],RTable[[#All],[Lease Number]],0),1)),"",INDEX(RTable[#All],MATCH(ActionTracker[[#All],[Lease Number]],RTable[[#All],[Lease Number]],0),2)&amp;", "&amp;INDEX(RTable[#All],MATCH(ActionTracker[[#All],[Lease Number]],RTable[[#All],[Lease Number]],0),3))</f>
        <v>417 Wellington Street, St. Thomas, O.N.</v>
      </c>
      <c r="D148" s="141" t="str">
        <f>IF(ISNUMBER(SEARCH($D$1,INDEX(RTable[#All],MATCH(ActionTracker[[#All],[Lease Number]],RTable[[#All],[Lease Number]],0),5))),"x","")</f>
        <v>x</v>
      </c>
      <c r="E148" s="141" t="str">
        <f>IF(ISNUMBER(SEARCH($E$1,INDEX(RTable[#All],MATCH(ActionTracker[[#All],[Lease Number]],RTable[[#All],[Lease Number]],0),5))),"x","")</f>
        <v>x</v>
      </c>
      <c r="F148" s="141" t="str">
        <f>IF(ISNUMBER(SEARCH($F$1,INDEX(RTable[#All],MATCH(ActionTracker[[#All],[Lease Number]],RTable[[#All],[Lease Number]],0),5))),"x","")</f>
        <v>x</v>
      </c>
      <c r="G148" s="141" t="str">
        <f>IF(ISNUMBER(SEARCH($G$1,INDEX(RTable[#All],MATCH(ActionTracker[[#All],[Lease Number]],RTable[[#All],[Lease Number]],0),5))),"x","")</f>
        <v>x</v>
      </c>
      <c r="H148" s="141" t="str">
        <f>IF(ISNUMBER(SEARCH($H$1,INDEX(RTable[#All],MATCH(ActionTracker[[#All],[Lease Number]],RTable[[#All],[Lease Number]],0),5))),"x","")</f>
        <v>x</v>
      </c>
      <c r="I148" s="141" t="str">
        <f>IF(ISNUMBER(SEARCH($I$1,INDEX(RTable[#All],MATCH(ActionTracker[[#All],[Lease Number]],RTable[[#All],[Lease Number]],0),5))),"x","")</f>
        <v/>
      </c>
      <c r="J148" s="141" t="str">
        <f>IF(ISNUMBER(SEARCH($J$1,INDEX(RTable[#All],MATCH(ActionTracker[[#All],[Lease Number]],RTable[[#All],[Lease Number]],0),5))),"x","")</f>
        <v/>
      </c>
      <c r="K148"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148" s="137" t="str">
        <f>IF(ISERROR(INDEX(ContactList[#All],MATCH(ActionTracker[[#All],[Lease Number]],ContactList[[#All],[Lease Number]],0),12)),"",INDEX(ContactList[#All],MATCH(ActionTracker[[#All],[Lease Number]],ContactList[[#All],[Lease Number]],0),12))</f>
        <v>Darlene</v>
      </c>
      <c r="M148" s="137" t="str">
        <f>IF(ISERROR(INDEX(ContactList[#All],MATCH(ActionTracker[[#All],[Lease Number]],ContactList[[#All],[Lease Number]],0),12)),"",INDEX(ContactList[#All],MATCH(ActionTracker[[#All],[Lease Number]],ContactList[[#All],[Lease Number]],0),13))</f>
        <v>Covey</v>
      </c>
      <c r="N148" s="137" t="str">
        <f>IF(ISERROR(INDEX(ContactList[#All],MATCH(ActionTracker[[#All],[Lease Number]],ContactList[[#All],[Lease Number]],0),12)),"",INDEX(ContactList[#All],MATCH(ActionTracker[[#All],[Lease Number]],ContactList[[#All],[Lease Number]],0),14))</f>
        <v>dcovey@arcturusrealty.com</v>
      </c>
      <c r="O148" s="137" t="str">
        <f>IF(ISERROR(INDEX(ContactList[#All],MATCH(ActionTracker[[#All],[Lease Number]],ContactList[[#All],[Lease Number]],0),12)),"",INDEX(ContactList[#All],MATCH(ActionTracker[[#All],[Lease Number]],ContactList[[#All],[Lease Number]],0),15))</f>
        <v>519-842-7397</v>
      </c>
      <c r="P148" s="138"/>
      <c r="Q148" s="139"/>
    </row>
    <row r="149" spans="1:17" ht="28.5" x14ac:dyDescent="0.25">
      <c r="A149" s="135" t="s">
        <v>3136</v>
      </c>
      <c r="B149" s="136" t="str">
        <f>IF(ISERROR(INDEX(RTable[#All],MATCH(ActionTracker[[#All],[Lease Number]],RTable[[#All],[Lease Number]],0),1)),"",INDEX(RTable[#All],MATCH(ActionTracker[[#All],[Lease Number]],RTable[[#All],[Lease Number]],0),1))</f>
        <v xml:space="preserve">2187424 Ontario Inc. </v>
      </c>
      <c r="C149" s="140" t="str">
        <f>IF(ISERROR(INDEX(RTable[#All],MATCH(ActionTracker[[#All],[Lease Number]],RTable[[#All],[Lease Number]],0),1)),"",INDEX(RTable[#All],MATCH(ActionTracker[[#All],[Lease Number]],RTable[[#All],[Lease Number]],0),2)&amp;", "&amp;INDEX(RTable[#All],MATCH(ActionTracker[[#All],[Lease Number]],RTable[[#All],[Lease Number]],0),3))</f>
        <v>510 Ingersoll Avenue, Woodstock, O.N.</v>
      </c>
      <c r="D149" s="141" t="str">
        <f>IF(ISNUMBER(SEARCH($D$1,INDEX(RTable[#All],MATCH(ActionTracker[[#All],[Lease Number]],RTable[[#All],[Lease Number]],0),5))),"x","")</f>
        <v>x</v>
      </c>
      <c r="E149" s="141" t="str">
        <f>IF(ISNUMBER(SEARCH($E$1,INDEX(RTable[#All],MATCH(ActionTracker[[#All],[Lease Number]],RTable[[#All],[Lease Number]],0),5))),"x","")</f>
        <v>x</v>
      </c>
      <c r="F149" s="141" t="str">
        <f>IF(ISNUMBER(SEARCH($F$1,INDEX(RTable[#All],MATCH(ActionTracker[[#All],[Lease Number]],RTable[[#All],[Lease Number]],0),5))),"x","")</f>
        <v>x</v>
      </c>
      <c r="G149" s="141" t="str">
        <f>IF(ISNUMBER(SEARCH($G$1,INDEX(RTable[#All],MATCH(ActionTracker[[#All],[Lease Number]],RTable[[#All],[Lease Number]],0),5))),"x","")</f>
        <v>x</v>
      </c>
      <c r="H149" s="141" t="str">
        <f>IF(ISNUMBER(SEARCH($H$1,INDEX(RTable[#All],MATCH(ActionTracker[[#All],[Lease Number]],RTable[[#All],[Lease Number]],0),5))),"x","")</f>
        <v>x</v>
      </c>
      <c r="I149" s="141" t="str">
        <f>IF(ISNUMBER(SEARCH($I$1,INDEX(RTable[#All],MATCH(ActionTracker[[#All],[Lease Number]],RTable[[#All],[Lease Number]],0),5))),"x","")</f>
        <v/>
      </c>
      <c r="J149" s="141" t="str">
        <f>IF(ISNUMBER(SEARCH($J$1,INDEX(RTable[#All],MATCH(ActionTracker[[#All],[Lease Number]],RTable[[#All],[Lease Number]],0),5))),"x","")</f>
        <v/>
      </c>
      <c r="K149"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149" s="137" t="str">
        <f>IF(ISERROR(INDEX(ContactList[#All],MATCH(ActionTracker[[#All],[Lease Number]],ContactList[[#All],[Lease Number]],0),12)),"",INDEX(ContactList[#All],MATCH(ActionTracker[[#All],[Lease Number]],ContactList[[#All],[Lease Number]],0),12))</f>
        <v>Kim</v>
      </c>
      <c r="M149" s="137" t="str">
        <f>IF(ISERROR(INDEX(ContactList[#All],MATCH(ActionTracker[[#All],[Lease Number]],ContactList[[#All],[Lease Number]],0),12)),"",INDEX(ContactList[#All],MATCH(ActionTracker[[#All],[Lease Number]],ContactList[[#All],[Lease Number]],0),13))</f>
        <v>Demars</v>
      </c>
      <c r="N149" s="137" t="str">
        <f>IF(ISERROR(INDEX(ContactList[#All],MATCH(ActionTracker[[#All],[Lease Number]],ContactList[[#All],[Lease Number]],0),12)),"",INDEX(ContactList[#All],MATCH(ActionTracker[[#All],[Lease Number]],ContactList[[#All],[Lease Number]],0),14))</f>
        <v>k.demars@bell.net</v>
      </c>
      <c r="O149" s="137" t="str">
        <f>IF(ISERROR(INDEX(ContactList[#All],MATCH(ActionTracker[[#All],[Lease Number]],ContactList[[#All],[Lease Number]],0),12)),"",INDEX(ContactList[#All],MATCH(ActionTracker[[#All],[Lease Number]],ContactList[[#All],[Lease Number]],0),15))</f>
        <v>519 917 5300</v>
      </c>
      <c r="P149" s="138"/>
      <c r="Q149" s="139"/>
    </row>
    <row r="150" spans="1:17" x14ac:dyDescent="0.25">
      <c r="A150" s="50" t="s">
        <v>3623</v>
      </c>
      <c r="B150" s="147" t="str">
        <f>IF(ISERROR(INDEX(RTable[#All],MATCH(ActionTracker[[#All],[Lease Number]],RTable[[#All],[Lease Number]],0),1)),"",INDEX(RTable[#All],MATCH(ActionTracker[[#All],[Lease Number]],RTable[[#All],[Lease Number]],0),1))</f>
        <v>Kevin Patterson</v>
      </c>
      <c r="C150" s="148" t="str">
        <f>IF(ISERROR(INDEX(RTable[#All],MATCH(ActionTracker[[#All],[Lease Number]],RTable[[#All],[Lease Number]],0),1)),"",INDEX(RTable[#All],MATCH(ActionTracker[[#All],[Lease Number]],RTable[[#All],[Lease Number]],0),2)&amp;", "&amp;INDEX(RTable[#All],MATCH(ActionTracker[[#All],[Lease Number]],RTable[[#All],[Lease Number]],0),3))</f>
        <v>100 International Blvd, Toronto, O.N.</v>
      </c>
      <c r="D150" s="149" t="str">
        <f>IF(ISNUMBER(SEARCH($D$1,INDEX(RTable[#All],MATCH(ActionTracker[[#All],[Lease Number]],RTable[[#All],[Lease Number]],0),5))),"x","")</f>
        <v>x</v>
      </c>
      <c r="E150" s="149" t="str">
        <f>IF(ISNUMBER(SEARCH($E$1,INDEX(RTable[#All],MATCH(ActionTracker[[#All],[Lease Number]],RTable[[#All],[Lease Number]],0),5))),"x","")</f>
        <v>x</v>
      </c>
      <c r="F150" s="149" t="str">
        <f>IF(ISNUMBER(SEARCH($F$1,INDEX(RTable[#All],MATCH(ActionTracker[[#All],[Lease Number]],RTable[[#All],[Lease Number]],0),5))),"x","")</f>
        <v>x</v>
      </c>
      <c r="G150" s="149" t="str">
        <f>IF(ISNUMBER(SEARCH($G$1,INDEX(RTable[#All],MATCH(ActionTracker[[#All],[Lease Number]],RTable[[#All],[Lease Number]],0),5))),"x","")</f>
        <v>x</v>
      </c>
      <c r="H150" s="149" t="str">
        <f>IF(ISNUMBER(SEARCH($H$1,INDEX(RTable[#All],MATCH(ActionTracker[[#All],[Lease Number]],RTable[[#All],[Lease Number]],0),5))),"x","")</f>
        <v>x</v>
      </c>
      <c r="I150" s="149" t="str">
        <f>IF(ISNUMBER(SEARCH($I$1,INDEX(RTable[#All],MATCH(ActionTracker[[#All],[Lease Number]],RTable[[#All],[Lease Number]],0),5))),"x","")</f>
        <v>x</v>
      </c>
      <c r="J150" s="149" t="str">
        <f>IF(ISNUMBER(SEARCH($J$1,INDEX(RTable[#All],MATCH(ActionTracker[[#All],[Lease Number]],RTable[[#All],[Lease Number]],0),5))),"x","")</f>
        <v/>
      </c>
      <c r="K150"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Complete</v>
      </c>
      <c r="L150" s="146" t="str">
        <f>IF(ISERROR(INDEX(ContactList[#All],MATCH(ActionTracker[[#All],[Lease Number]],ContactList[[#All],[Lease Number]],0),12)),"",INDEX(ContactList[#All],MATCH(ActionTracker[[#All],[Lease Number]],ContactList[[#All],[Lease Number]],0),12))</f>
        <v xml:space="preserve">Kevin </v>
      </c>
      <c r="M150" s="146" t="str">
        <f>IF(ISERROR(INDEX(ContactList[#All],MATCH(ActionTracker[[#All],[Lease Number]],ContactList[[#All],[Lease Number]],0),12)),"",INDEX(ContactList[#All],MATCH(ActionTracker[[#All],[Lease Number]],ContactList[[#All],[Lease Number]],0),13))</f>
        <v>Patterson</v>
      </c>
      <c r="N150" s="146" t="str">
        <f>IF(ISERROR(INDEX(ContactList[#All],MATCH(ActionTracker[[#All],[Lease Number]],ContactList[[#All],[Lease Number]],0),12)),"",INDEX(ContactList[#All],MATCH(ActionTracker[[#All],[Lease Number]],ContactList[[#All],[Lease Number]],0),14))</f>
        <v>kevin.patterson@lifelabs.com</v>
      </c>
      <c r="O150" s="146"/>
      <c r="P150" s="44"/>
      <c r="Q150" s="89"/>
    </row>
    <row r="151" spans="1:17" ht="28.5" x14ac:dyDescent="0.25">
      <c r="A151" s="163" t="s">
        <v>1233</v>
      </c>
      <c r="B151" s="164" t="str">
        <f>IF(ISERROR(INDEX(RTable[#All],MATCH(ActionTracker[[#All],[Lease Number]],RTable[[#All],[Lease Number]],0),1)),"",INDEX(RTable[#All],MATCH(ActionTracker[[#All],[Lease Number]],RTable[[#All],[Lease Number]],0),1))</f>
        <v>Brenda Severyns</v>
      </c>
      <c r="C151" s="168" t="str">
        <f>IF(ISERROR(INDEX(RTable[#All],MATCH(ActionTracker[[#All],[Lease Number]],RTable[[#All],[Lease Number]],0),1)),"",INDEX(RTable[#All],MATCH(ActionTracker[[#All],[Lease Number]],RTable[[#All],[Lease Number]],0),2)&amp;", "&amp;INDEX(RTable[#All],MATCH(ActionTracker[[#All],[Lease Number]],RTable[[#All],[Lease Number]],0),3))</f>
        <v>32 Royal Vista Drive N.W. , Calgary, A.B.</v>
      </c>
      <c r="D151" s="169" t="str">
        <f>IF(ISNUMBER(SEARCH($D$1,INDEX(RTable[#All],MATCH(ActionTracker[[#All],[Lease Number]],RTable[[#All],[Lease Number]],0),5))),"x","")</f>
        <v/>
      </c>
      <c r="E151" s="169" t="str">
        <f>IF(ISNUMBER(SEARCH($E$1,INDEX(RTable[#All],MATCH(ActionTracker[[#All],[Lease Number]],RTable[[#All],[Lease Number]],0),5))),"x","")</f>
        <v/>
      </c>
      <c r="F151" s="169" t="str">
        <f>IF(ISNUMBER(SEARCH($F$1,INDEX(RTable[#All],MATCH(ActionTracker[[#All],[Lease Number]],RTable[[#All],[Lease Number]],0),5))),"x","")</f>
        <v/>
      </c>
      <c r="G151" s="169" t="str">
        <f>IF(ISNUMBER(SEARCH($G$1,INDEX(RTable[#All],MATCH(ActionTracker[[#All],[Lease Number]],RTable[[#All],[Lease Number]],0),5))),"x","")</f>
        <v/>
      </c>
      <c r="H151" s="169" t="str">
        <f>IF(ISNUMBER(SEARCH($H$1,INDEX(RTable[#All],MATCH(ActionTracker[[#All],[Lease Number]],RTable[[#All],[Lease Number]],0),5))),"x","")</f>
        <v/>
      </c>
      <c r="I151" s="169" t="str">
        <f>IF(ISNUMBER(SEARCH($I$1,INDEX(RTable[#All],MATCH(ActionTracker[[#All],[Lease Number]],RTable[[#All],[Lease Number]],0),5))),"x","")</f>
        <v/>
      </c>
      <c r="J151" s="169" t="str">
        <f>IF(ISNUMBER(SEARCH($J$1,INDEX(RTable[#All],MATCH(ActionTracker[[#All],[Lease Number]],RTable[[#All],[Lease Number]],0),5))),"x","")</f>
        <v>x</v>
      </c>
      <c r="K151"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None</v>
      </c>
      <c r="L151" s="165" t="str">
        <f>IF(ISERROR(INDEX(ContactList[#All],MATCH(ActionTracker[[#All],[Lease Number]],ContactList[[#All],[Lease Number]],0),12)),"",INDEX(ContactList[#All],MATCH(ActionTracker[[#All],[Lease Number]],ContactList[[#All],[Lease Number]],0),12))</f>
        <v>Brenda</v>
      </c>
      <c r="M151" s="165" t="str">
        <f>IF(ISERROR(INDEX(ContactList[#All],MATCH(ActionTracker[[#All],[Lease Number]],ContactList[[#All],[Lease Number]],0),12)),"",INDEX(ContactList[#All],MATCH(ActionTracker[[#All],[Lease Number]],ContactList[[#All],[Lease Number]],0),13))</f>
        <v>Severyns</v>
      </c>
      <c r="N151" s="165" t="str">
        <f>IF(ISERROR(INDEX(ContactList[#All],MATCH(ActionTracker[[#All],[Lease Number]],ContactList[[#All],[Lease Number]],0),12)),"",INDEX(ContactList[#All],MATCH(ActionTracker[[#All],[Lease Number]],ContactList[[#All],[Lease Number]],0),14))</f>
        <v>brendas@maple.ca</v>
      </c>
      <c r="O151" s="165" t="str">
        <f>IF(ISERROR(INDEX(ContactList[#All],MATCH(ActionTracker[[#All],[Lease Number]],ContactList[[#All],[Lease Number]],0),12)),"",INDEX(ContactList[#All],MATCH(ActionTracker[[#All],[Lease Number]],ContactList[[#All],[Lease Number]],0),15))</f>
        <v>403 216-1455</v>
      </c>
      <c r="P151" s="166"/>
      <c r="Q151" s="167"/>
    </row>
    <row r="152" spans="1:17" x14ac:dyDescent="0.25">
      <c r="A152" s="163" t="s">
        <v>2299</v>
      </c>
      <c r="B152" s="164" t="str">
        <f>IF(ISERROR(INDEX(RTable[#All],MATCH(ActionTracker[[#All],[Lease Number]],RTable[[#All],[Lease Number]],0),1)),"",INDEX(RTable[#All],MATCH(ActionTracker[[#All],[Lease Number]],RTable[[#All],[Lease Number]],0),1))</f>
        <v>Edwin</v>
      </c>
      <c r="C152" s="168" t="str">
        <f>IF(ISERROR(INDEX(RTable[#All],MATCH(ActionTracker[[#All],[Lease Number]],RTable[[#All],[Lease Number]],0),1)),"",INDEX(RTable[#All],MATCH(ActionTracker[[#All],[Lease Number]],RTable[[#All],[Lease Number]],0),2)&amp;", "&amp;INDEX(RTable[#All],MATCH(ActionTracker[[#All],[Lease Number]],RTable[[#All],[Lease Number]],0),3))</f>
        <v xml:space="preserve">7700 Bathurst Street, Thornhill, O.N. </v>
      </c>
      <c r="D152" s="169" t="str">
        <f>IF(ISNUMBER(SEARCH($D$1,INDEX(RTable[#All],MATCH(ActionTracker[[#All],[Lease Number]],RTable[[#All],[Lease Number]],0),5))),"x","")</f>
        <v/>
      </c>
      <c r="E152" s="169" t="str">
        <f>IF(ISNUMBER(SEARCH($E$1,INDEX(RTable[#All],MATCH(ActionTracker[[#All],[Lease Number]],RTable[[#All],[Lease Number]],0),5))),"x","")</f>
        <v/>
      </c>
      <c r="F152" s="169" t="str">
        <f>IF(ISNUMBER(SEARCH($F$1,INDEX(RTable[#All],MATCH(ActionTracker[[#All],[Lease Number]],RTable[[#All],[Lease Number]],0),5))),"x","")</f>
        <v/>
      </c>
      <c r="G152" s="169" t="str">
        <f>IF(ISNUMBER(SEARCH($G$1,INDEX(RTable[#All],MATCH(ActionTracker[[#All],[Lease Number]],RTable[[#All],[Lease Number]],0),5))),"x","")</f>
        <v>x</v>
      </c>
      <c r="H152" s="169" t="str">
        <f>IF(ISNUMBER(SEARCH($H$1,INDEX(RTable[#All],MATCH(ActionTracker[[#All],[Lease Number]],RTable[[#All],[Lease Number]],0),5))),"x","")</f>
        <v/>
      </c>
      <c r="I152" s="169" t="str">
        <f>IF(ISNUMBER(SEARCH($I$1,INDEX(RTable[#All],MATCH(ActionTracker[[#All],[Lease Number]],RTable[[#All],[Lease Number]],0),5))),"x","")</f>
        <v/>
      </c>
      <c r="J152" s="169" t="str">
        <f>IF(ISNUMBER(SEARCH($J$1,INDEX(RTable[#All],MATCH(ActionTracker[[#All],[Lease Number]],RTable[[#All],[Lease Number]],0),5))),"x","")</f>
        <v/>
      </c>
      <c r="K152"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52" s="165" t="str">
        <f>IF(ISERROR(INDEX(ContactList[#All],MATCH(ActionTracker[[#All],[Lease Number]],ContactList[[#All],[Lease Number]],0),12)),"",INDEX(ContactList[#All],MATCH(ActionTracker[[#All],[Lease Number]],ContactList[[#All],[Lease Number]],0),12))</f>
        <v>Aaron</v>
      </c>
      <c r="M152" s="165" t="str">
        <f>IF(ISERROR(INDEX(ContactList[#All],MATCH(ActionTracker[[#All],[Lease Number]],ContactList[[#All],[Lease Number]],0),12)),"",INDEX(ContactList[#All],MATCH(ActionTracker[[#All],[Lease Number]],ContactList[[#All],[Lease Number]],0),13))</f>
        <v>Goldenberg</v>
      </c>
      <c r="N152" s="165" t="str">
        <f>IF(ISERROR(INDEX(ContactList[#All],MATCH(ActionTracker[[#All],[Lease Number]],ContactList[[#All],[Lease Number]],0),12)),"",INDEX(ContactList[#All],MATCH(ActionTracker[[#All],[Lease Number]],ContactList[[#All],[Lease Number]],0),14))</f>
        <v>aaron@torgan.com</v>
      </c>
      <c r="O152" s="165" t="str">
        <f>IF(ISERROR(INDEX(ContactList[#All],MATCH(ActionTracker[[#All],[Lease Number]],ContactList[[#All],[Lease Number]],0),12)),"",INDEX(ContactList[#All],MATCH(ActionTracker[[#All],[Lease Number]],ContactList[[#All],[Lease Number]],0),15))</f>
        <v>416 221 9348</v>
      </c>
      <c r="P152" s="166"/>
      <c r="Q152" s="167"/>
    </row>
    <row r="153" spans="1:17" x14ac:dyDescent="0.25">
      <c r="A153" s="163" t="s">
        <v>2120</v>
      </c>
      <c r="B153" s="164" t="str">
        <f>IF(ISERROR(INDEX(RTable[#All],MATCH(ActionTracker[[#All],[Lease Number]],RTable[[#All],[Lease Number]],0),1)),"",INDEX(RTable[#All],MATCH(ActionTracker[[#All],[Lease Number]],RTable[[#All],[Lease Number]],0),1))</f>
        <v>Edwin Buonanno</v>
      </c>
      <c r="C153" s="168" t="str">
        <f>IF(ISERROR(INDEX(RTable[#All],MATCH(ActionTracker[[#All],[Lease Number]],RTable[[#All],[Lease Number]],0),1)),"",INDEX(RTable[#All],MATCH(ActionTracker[[#All],[Lease Number]],RTable[[#All],[Lease Number]],0),2)&amp;", "&amp;INDEX(RTable[#All],MATCH(ActionTracker[[#All],[Lease Number]],RTable[[#All],[Lease Number]],0),3))</f>
        <v>4800 Leslie St, North York, O.N.</v>
      </c>
      <c r="D153" s="169" t="str">
        <f>IF(ISNUMBER(SEARCH($D$1,INDEX(RTable[#All],MATCH(ActionTracker[[#All],[Lease Number]],RTable[[#All],[Lease Number]],0),5))),"x","")</f>
        <v/>
      </c>
      <c r="E153" s="169" t="str">
        <f>IF(ISNUMBER(SEARCH($E$1,INDEX(RTable[#All],MATCH(ActionTracker[[#All],[Lease Number]],RTable[[#All],[Lease Number]],0),5))),"x","")</f>
        <v/>
      </c>
      <c r="F153" s="169" t="str">
        <f>IF(ISNUMBER(SEARCH($F$1,INDEX(RTable[#All],MATCH(ActionTracker[[#All],[Lease Number]],RTable[[#All],[Lease Number]],0),5))),"x","")</f>
        <v/>
      </c>
      <c r="G153" s="169" t="str">
        <f>IF(ISNUMBER(SEARCH($G$1,INDEX(RTable[#All],MATCH(ActionTracker[[#All],[Lease Number]],RTable[[#All],[Lease Number]],0),5))),"x","")</f>
        <v>x</v>
      </c>
      <c r="H153" s="169" t="str">
        <f>IF(ISNUMBER(SEARCH($H$1,INDEX(RTable[#All],MATCH(ActionTracker[[#All],[Lease Number]],RTable[[#All],[Lease Number]],0),5))),"x","")</f>
        <v/>
      </c>
      <c r="I153" s="169" t="str">
        <f>IF(ISNUMBER(SEARCH($I$1,INDEX(RTable[#All],MATCH(ActionTracker[[#All],[Lease Number]],RTable[[#All],[Lease Number]],0),5))),"x","")</f>
        <v/>
      </c>
      <c r="J153" s="169" t="str">
        <f>IF(ISNUMBER(SEARCH($J$1,INDEX(RTable[#All],MATCH(ActionTracker[[#All],[Lease Number]],RTable[[#All],[Lease Number]],0),5))),"x","")</f>
        <v/>
      </c>
      <c r="K153"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53" s="165" t="str">
        <f>IF(ISERROR(INDEX(ContactList[#All],MATCH(ActionTracker[[#All],[Lease Number]],ContactList[[#All],[Lease Number]],0),12)),"",INDEX(ContactList[#All],MATCH(ActionTracker[[#All],[Lease Number]],ContactList[[#All],[Lease Number]],0),12))</f>
        <v>Edwin</v>
      </c>
      <c r="M153" s="165" t="str">
        <f>IF(ISERROR(INDEX(ContactList[#All],MATCH(ActionTracker[[#All],[Lease Number]],ContactList[[#All],[Lease Number]],0),12)),"",INDEX(ContactList[#All],MATCH(ActionTracker[[#All],[Lease Number]],ContactList[[#All],[Lease Number]],0),13))</f>
        <v>Buonanno</v>
      </c>
      <c r="N153" s="170" t="s">
        <v>3357</v>
      </c>
      <c r="O153" s="165" t="str">
        <f>IF(ISERROR(INDEX(ContactList[#All],MATCH(ActionTracker[[#All],[Lease Number]],ContactList[[#All],[Lease Number]],0),12)),"",INDEX(ContactList[#All],MATCH(ActionTracker[[#All],[Lease Number]],ContactList[[#All],[Lease Number]],0),15))</f>
        <v>416 221 9348</v>
      </c>
      <c r="P153" s="166"/>
      <c r="Q153" s="167"/>
    </row>
    <row r="154" spans="1:17" x14ac:dyDescent="0.25">
      <c r="A154" s="163" t="s">
        <v>1846</v>
      </c>
      <c r="B154" s="164" t="str">
        <f>IF(ISERROR(INDEX(RTable[#All],MATCH(ActionTracker[[#All],[Lease Number]],RTable[[#All],[Lease Number]],0),1)),"",INDEX(RTable[#All],MATCH(ActionTracker[[#All],[Lease Number]],RTable[[#All],[Lease Number]],0),1))</f>
        <v>Edwin Buonanno</v>
      </c>
      <c r="C154" s="168" t="str">
        <f>IF(ISERROR(INDEX(RTable[#All],MATCH(ActionTracker[[#All],[Lease Number]],RTable[[#All],[Lease Number]],0),1)),"",INDEX(RTable[#All],MATCH(ActionTracker[[#All],[Lease Number]],RTable[[#All],[Lease Number]],0),2)&amp;", "&amp;INDEX(RTable[#All],MATCH(ActionTracker[[#All],[Lease Number]],RTable[[#All],[Lease Number]],0),3))</f>
        <v>679 Davis Drive, Newmarket, O.N.</v>
      </c>
      <c r="D154" s="169" t="str">
        <f>IF(ISNUMBER(SEARCH($D$1,INDEX(RTable[#All],MATCH(ActionTracker[[#All],[Lease Number]],RTable[[#All],[Lease Number]],0),5))),"x","")</f>
        <v/>
      </c>
      <c r="E154" s="169" t="str">
        <f>IF(ISNUMBER(SEARCH($E$1,INDEX(RTable[#All],MATCH(ActionTracker[[#All],[Lease Number]],RTable[[#All],[Lease Number]],0),5))),"x","")</f>
        <v/>
      </c>
      <c r="F154" s="169" t="str">
        <f>IF(ISNUMBER(SEARCH($F$1,INDEX(RTable[#All],MATCH(ActionTracker[[#All],[Lease Number]],RTable[[#All],[Lease Number]],0),5))),"x","")</f>
        <v/>
      </c>
      <c r="G154" s="169" t="str">
        <f>IF(ISNUMBER(SEARCH($G$1,INDEX(RTable[#All],MATCH(ActionTracker[[#All],[Lease Number]],RTable[[#All],[Lease Number]],0),5))),"x","")</f>
        <v>x</v>
      </c>
      <c r="H154" s="169" t="str">
        <f>IF(ISNUMBER(SEARCH($H$1,INDEX(RTable[#All],MATCH(ActionTracker[[#All],[Lease Number]],RTable[[#All],[Lease Number]],0),5))),"x","")</f>
        <v/>
      </c>
      <c r="I154" s="169" t="str">
        <f>IF(ISNUMBER(SEARCH($I$1,INDEX(RTable[#All],MATCH(ActionTracker[[#All],[Lease Number]],RTable[[#All],[Lease Number]],0),5))),"x","")</f>
        <v/>
      </c>
      <c r="J154" s="169" t="str">
        <f>IF(ISNUMBER(SEARCH($J$1,INDEX(RTable[#All],MATCH(ActionTracker[[#All],[Lease Number]],RTable[[#All],[Lease Number]],0),5))),"x","")</f>
        <v/>
      </c>
      <c r="K154"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54" s="165" t="str">
        <f>IF(ISERROR(INDEX(ContactList[#All],MATCH(ActionTracker[[#All],[Lease Number]],ContactList[[#All],[Lease Number]],0),12)),"",INDEX(ContactList[#All],MATCH(ActionTracker[[#All],[Lease Number]],ContactList[[#All],[Lease Number]],0),12))</f>
        <v>Edwin</v>
      </c>
      <c r="M154" s="165" t="str">
        <f>IF(ISERROR(INDEX(ContactList[#All],MATCH(ActionTracker[[#All],[Lease Number]],ContactList[[#All],[Lease Number]],0),12)),"",INDEX(ContactList[#All],MATCH(ActionTracker[[#All],[Lease Number]],ContactList[[#All],[Lease Number]],0),13))</f>
        <v>Buonanno</v>
      </c>
      <c r="N154" s="170" t="s">
        <v>3357</v>
      </c>
      <c r="O154" s="165" t="str">
        <f>IF(ISERROR(INDEX(ContactList[#All],MATCH(ActionTracker[[#All],[Lease Number]],ContactList[[#All],[Lease Number]],0),12)),"",INDEX(ContactList[#All],MATCH(ActionTracker[[#All],[Lease Number]],ContactList[[#All],[Lease Number]],0),15))</f>
        <v>416 221 9348</v>
      </c>
      <c r="P154" s="166"/>
      <c r="Q154" s="167"/>
    </row>
    <row r="155" spans="1:17" x14ac:dyDescent="0.25">
      <c r="A155" s="163" t="s">
        <v>3354</v>
      </c>
      <c r="B155" s="164" t="str">
        <f>IF(ISERROR(INDEX(RTable[#All],MATCH(ActionTracker[[#All],[Lease Number]],RTable[[#All],[Lease Number]],0),1)),"",INDEX(RTable[#All],MATCH(ActionTracker[[#All],[Lease Number]],RTable[[#All],[Lease Number]],0),1))</f>
        <v>Edwin Buonanno</v>
      </c>
      <c r="C155" s="168" t="str">
        <f>IF(ISERROR(INDEX(RTable[#All],MATCH(ActionTracker[[#All],[Lease Number]],RTable[[#All],[Lease Number]],0),1)),"",INDEX(RTable[#All],MATCH(ActionTracker[[#All],[Lease Number]],RTable[[#All],[Lease Number]],0),2)&amp;", "&amp;INDEX(RTable[#All],MATCH(ActionTracker[[#All],[Lease Number]],RTable[[#All],[Lease Number]],0),3))</f>
        <v>7131 Bathurst St., Thornhill, O.N.</v>
      </c>
      <c r="D155" s="169" t="str">
        <f>IF(ISNUMBER(SEARCH($D$1,INDEX(RTable[#All],MATCH(ActionTracker[[#All],[Lease Number]],RTable[[#All],[Lease Number]],0),5))),"x","")</f>
        <v/>
      </c>
      <c r="E155" s="169" t="str">
        <f>IF(ISNUMBER(SEARCH($E$1,INDEX(RTable[#All],MATCH(ActionTracker[[#All],[Lease Number]],RTable[[#All],[Lease Number]],0),5))),"x","")</f>
        <v/>
      </c>
      <c r="F155" s="169" t="str">
        <f>IF(ISNUMBER(SEARCH($F$1,INDEX(RTable[#All],MATCH(ActionTracker[[#All],[Lease Number]],RTable[[#All],[Lease Number]],0),5))),"x","")</f>
        <v/>
      </c>
      <c r="G155" s="169" t="str">
        <f>IF(ISNUMBER(SEARCH($G$1,INDEX(RTable[#All],MATCH(ActionTracker[[#All],[Lease Number]],RTable[[#All],[Lease Number]],0),5))),"x","")</f>
        <v>x</v>
      </c>
      <c r="H155" s="169" t="str">
        <f>IF(ISNUMBER(SEARCH($H$1,INDEX(RTable[#All],MATCH(ActionTracker[[#All],[Lease Number]],RTable[[#All],[Lease Number]],0),5))),"x","")</f>
        <v/>
      </c>
      <c r="I155" s="169" t="str">
        <f>IF(ISNUMBER(SEARCH($I$1,INDEX(RTable[#All],MATCH(ActionTracker[[#All],[Lease Number]],RTable[[#All],[Lease Number]],0),5))),"x","")</f>
        <v/>
      </c>
      <c r="J155" s="169" t="str">
        <f>IF(ISNUMBER(SEARCH($J$1,INDEX(RTable[#All],MATCH(ActionTracker[[#All],[Lease Number]],RTable[[#All],[Lease Number]],0),5))),"x","")</f>
        <v/>
      </c>
      <c r="K155"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55" s="165" t="str">
        <f>IF(ISERROR(INDEX(ContactList[#All],MATCH(ActionTracker[[#All],[Lease Number]],ContactList[[#All],[Lease Number]],0),12)),"",INDEX(ContactList[#All],MATCH(ActionTracker[[#All],[Lease Number]],ContactList[[#All],[Lease Number]],0),12))</f>
        <v>Edwin</v>
      </c>
      <c r="M155" s="165" t="str">
        <f>IF(ISERROR(INDEX(ContactList[#All],MATCH(ActionTracker[[#All],[Lease Number]],ContactList[[#All],[Lease Number]],0),12)),"",INDEX(ContactList[#All],MATCH(ActionTracker[[#All],[Lease Number]],ContactList[[#All],[Lease Number]],0),13))</f>
        <v>Buonanno</v>
      </c>
      <c r="N155" s="165" t="str">
        <f>IF(ISERROR(INDEX(ContactList[#All],MATCH(ActionTracker[[#All],[Lease Number]],ContactList[[#All],[Lease Number]],0),12)),"",INDEX(ContactList[#All],MATCH(ActionTracker[[#All],[Lease Number]],ContactList[[#All],[Lease Number]],0),14))</f>
        <v>edwin@torgan.com</v>
      </c>
      <c r="O155" s="165" t="str">
        <f>IF(ISERROR(INDEX(ContactList[#All],MATCH(ActionTracker[[#All],[Lease Number]],ContactList[[#All],[Lease Number]],0),12)),"",INDEX(ContactList[#All],MATCH(ActionTracker[[#All],[Lease Number]],ContactList[[#All],[Lease Number]],0),15))</f>
        <v>416 221 9348</v>
      </c>
      <c r="P155" s="166"/>
      <c r="Q155" s="167"/>
    </row>
    <row r="156" spans="1:17" ht="28.5" x14ac:dyDescent="0.25">
      <c r="A156" s="50" t="s">
        <v>722</v>
      </c>
      <c r="B156" s="147" t="str">
        <f>IF(ISERROR(INDEX(RTable[#All],MATCH(ActionTracker[[#All],[Lease Number]],RTable[[#All],[Lease Number]],0),1)),"",INDEX(RTable[#All],MATCH(ActionTracker[[#All],[Lease Number]],RTable[[#All],[Lease Number]],0),1))</f>
        <v>Arminia Canita</v>
      </c>
      <c r="C156" s="148" t="str">
        <f>IF(ISERROR(INDEX(RTable[#All],MATCH(ActionTracker[[#All],[Lease Number]],RTable[[#All],[Lease Number]],0),1)),"",INDEX(RTable[#All],MATCH(ActionTracker[[#All],[Lease Number]],RTable[[#All],[Lease Number]],0),2)&amp;", "&amp;INDEX(RTable[#All],MATCH(ActionTracker[[#All],[Lease Number]],RTable[[#All],[Lease Number]],0),3))</f>
        <v>104-888 W 8th Ave, Vancouver, B.C. V5Z 3Y1</v>
      </c>
      <c r="D156" s="149" t="str">
        <f>IF(ISNUMBER(SEARCH($D$1,INDEX(RTable[#All],MATCH(ActionTracker[[#All],[Lease Number]],RTable[[#All],[Lease Number]],0),5))),"x","")</f>
        <v>x</v>
      </c>
      <c r="E156" s="149" t="str">
        <f>IF(ISNUMBER(SEARCH($E$1,INDEX(RTable[#All],MATCH(ActionTracker[[#All],[Lease Number]],RTable[[#All],[Lease Number]],0),5))),"x","")</f>
        <v>x</v>
      </c>
      <c r="F156" s="149" t="str">
        <f>IF(ISNUMBER(SEARCH($F$1,INDEX(RTable[#All],MATCH(ActionTracker[[#All],[Lease Number]],RTable[[#All],[Lease Number]],0),5))),"x","")</f>
        <v>x</v>
      </c>
      <c r="G156" s="149" t="str">
        <f>IF(ISNUMBER(SEARCH($G$1,INDEX(RTable[#All],MATCH(ActionTracker[[#All],[Lease Number]],RTable[[#All],[Lease Number]],0),5))),"x","")</f>
        <v>x</v>
      </c>
      <c r="H156" s="149" t="str">
        <f>IF(ISNUMBER(SEARCH($H$1,INDEX(RTable[#All],MATCH(ActionTracker[[#All],[Lease Number]],RTable[[#All],[Lease Number]],0),5))),"x","")</f>
        <v/>
      </c>
      <c r="I156" s="149" t="str">
        <f>IF(ISNUMBER(SEARCH($I$1,INDEX(RTable[#All],MATCH(ActionTracker[[#All],[Lease Number]],RTable[[#All],[Lease Number]],0),5))),"x","")</f>
        <v/>
      </c>
      <c r="J156" s="149" t="str">
        <f>IF(ISNUMBER(SEARCH($J$1,INDEX(RTable[#All],MATCH(ActionTracker[[#All],[Lease Number]],RTable[[#All],[Lease Number]],0),5))),"x","")</f>
        <v/>
      </c>
      <c r="K156"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156" s="146" t="str">
        <f>IF(ISERROR(INDEX(ContactList[#All],MATCH(ActionTracker[[#All],[Lease Number]],ContactList[[#All],[Lease Number]],0),12)),"",INDEX(ContactList[#All],MATCH(ActionTracker[[#All],[Lease Number]],ContactList[[#All],[Lease Number]],0),12))</f>
        <v>Dorothy</v>
      </c>
      <c r="M156" s="146" t="str">
        <f>IF(ISERROR(INDEX(ContactList[#All],MATCH(ActionTracker[[#All],[Lease Number]],ContactList[[#All],[Lease Number]],0),12)),"",INDEX(ContactList[#All],MATCH(ActionTracker[[#All],[Lease Number]],ContactList[[#All],[Lease Number]],0),13))</f>
        <v>Padua</v>
      </c>
      <c r="N156" s="146"/>
      <c r="O156" s="146" t="str">
        <f>IF(ISERROR(INDEX(ContactList[#All],MATCH(ActionTracker[[#All],[Lease Number]],ContactList[[#All],[Lease Number]],0),12)),"",INDEX(ContactList[#All],MATCH(ActionTracker[[#All],[Lease Number]],ContactList[[#All],[Lease Number]],0),15))</f>
        <v>604 606 7045</v>
      </c>
      <c r="P156" s="44"/>
      <c r="Q156" s="89"/>
    </row>
    <row r="157" spans="1:17" ht="28.5" x14ac:dyDescent="0.25">
      <c r="A157" s="163" t="s">
        <v>2302</v>
      </c>
      <c r="B157" s="164" t="str">
        <f>IF(ISERROR(INDEX(RTable[#All],MATCH(ActionTracker[[#All],[Lease Number]],RTable[[#All],[Lease Number]],0),1)),"",INDEX(RTable[#All],MATCH(ActionTracker[[#All],[Lease Number]],RTable[[#All],[Lease Number]],0),1))</f>
        <v xml:space="preserve">Tzogos Enterprises Inc. </v>
      </c>
      <c r="C157" s="168" t="str">
        <f>IF(ISERROR(INDEX(RTable[#All],MATCH(ActionTracker[[#All],[Lease Number]],RTable[[#All],[Lease Number]],0),1)),"",INDEX(RTable[#All],MATCH(ActionTracker[[#All],[Lease Number]],RTable[[#All],[Lease Number]],0),2)&amp;", "&amp;INDEX(RTable[#All],MATCH(ActionTracker[[#All],[Lease Number]],RTable[[#All],[Lease Number]],0),3))</f>
        <v>245 King Street West, Unit 16 , Oshawa, O.N. L1J 2J7</v>
      </c>
      <c r="D157" s="169" t="str">
        <f>IF(ISNUMBER(SEARCH($D$1,INDEX(RTable[#All],MATCH(ActionTracker[[#All],[Lease Number]],RTable[[#All],[Lease Number]],0),5))),"x","")</f>
        <v/>
      </c>
      <c r="E157" s="169" t="str">
        <f>IF(ISNUMBER(SEARCH($E$1,INDEX(RTable[#All],MATCH(ActionTracker[[#All],[Lease Number]],RTable[[#All],[Lease Number]],0),5))),"x","")</f>
        <v/>
      </c>
      <c r="F157" s="169" t="str">
        <f>IF(ISNUMBER(SEARCH($F$1,INDEX(RTable[#All],MATCH(ActionTracker[[#All],[Lease Number]],RTable[[#All],[Lease Number]],0),5))),"x","")</f>
        <v/>
      </c>
      <c r="G157" s="169" t="str">
        <f>IF(ISNUMBER(SEARCH($G$1,INDEX(RTable[#All],MATCH(ActionTracker[[#All],[Lease Number]],RTable[[#All],[Lease Number]],0),5))),"x","")</f>
        <v>x</v>
      </c>
      <c r="H157" s="169" t="str">
        <f>IF(ISNUMBER(SEARCH($H$1,INDEX(RTable[#All],MATCH(ActionTracker[[#All],[Lease Number]],RTable[[#All],[Lease Number]],0),5))),"x","")</f>
        <v/>
      </c>
      <c r="I157" s="169" t="str">
        <f>IF(ISNUMBER(SEARCH($I$1,INDEX(RTable[#All],MATCH(ActionTracker[[#All],[Lease Number]],RTable[[#All],[Lease Number]],0),5))),"x","")</f>
        <v/>
      </c>
      <c r="J157" s="169" t="str">
        <f>IF(ISNUMBER(SEARCH($J$1,INDEX(RTable[#All],MATCH(ActionTracker[[#All],[Lease Number]],RTable[[#All],[Lease Number]],0),5))),"x","")</f>
        <v/>
      </c>
      <c r="K157"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57" s="165" t="str">
        <f>IF(ISERROR(INDEX(ContactList[#All],MATCH(ActionTracker[[#All],[Lease Number]],ContactList[[#All],[Lease Number]],0),12)),"",INDEX(ContactList[#All],MATCH(ActionTracker[[#All],[Lease Number]],ContactList[[#All],[Lease Number]],0),12))</f>
        <v>Ted</v>
      </c>
      <c r="M157" s="165" t="str">
        <f>IF(ISERROR(INDEX(ContactList[#All],MATCH(ActionTracker[[#All],[Lease Number]],ContactList[[#All],[Lease Number]],0),12)),"",INDEX(ContactList[#All],MATCH(ActionTracker[[#All],[Lease Number]],ContactList[[#All],[Lease Number]],0),13))</f>
        <v>Tzogas</v>
      </c>
      <c r="N157" s="165"/>
      <c r="O157" s="165" t="str">
        <f>IF(ISERROR(INDEX(ContactList[#All],MATCH(ActionTracker[[#All],[Lease Number]],ContactList[[#All],[Lease Number]],0),12)),"",INDEX(ContactList[#All],MATCH(ActionTracker[[#All],[Lease Number]],ContactList[[#All],[Lease Number]],0),15))</f>
        <v>905 579 5529</v>
      </c>
      <c r="P157" s="166"/>
      <c r="Q157" s="167"/>
    </row>
    <row r="158" spans="1:17" x14ac:dyDescent="0.25">
      <c r="A158" s="163" t="s">
        <v>1152</v>
      </c>
      <c r="B158" s="164" t="str">
        <f>IF(ISERROR(INDEX(RTable[#All],MATCH(ActionTracker[[#All],[Lease Number]],RTable[[#All],[Lease Number]],0),1)),"",INDEX(RTable[#All],MATCH(ActionTracker[[#All],[Lease Number]],RTable[[#All],[Lease Number]],0),1))</f>
        <v>Marion Taylor</v>
      </c>
      <c r="C158" s="168" t="str">
        <f>IF(ISERROR(INDEX(RTable[#All],MATCH(ActionTracker[[#All],[Lease Number]],RTable[[#All],[Lease Number]],0),1)),"",INDEX(RTable[#All],MATCH(ActionTracker[[#All],[Lease Number]],RTable[[#All],[Lease Number]],0),2)&amp;", "&amp;INDEX(RTable[#All],MATCH(ActionTracker[[#All],[Lease Number]],RTable[[#All],[Lease Number]],0),3))</f>
        <v>582 Goldstream Avenue, Victoria, B.C.</v>
      </c>
      <c r="D158" s="169" t="str">
        <f>IF(ISNUMBER(SEARCH($D$1,INDEX(RTable[#All],MATCH(ActionTracker[[#All],[Lease Number]],RTable[[#All],[Lease Number]],0),5))),"x","")</f>
        <v>x</v>
      </c>
      <c r="E158" s="169" t="str">
        <f>IF(ISNUMBER(SEARCH($E$1,INDEX(RTable[#All],MATCH(ActionTracker[[#All],[Lease Number]],RTable[[#All],[Lease Number]],0),5))),"x","")</f>
        <v>x</v>
      </c>
      <c r="F158" s="169" t="str">
        <f>IF(ISNUMBER(SEARCH($F$1,INDEX(RTable[#All],MATCH(ActionTracker[[#All],[Lease Number]],RTable[[#All],[Lease Number]],0),5))),"x","")</f>
        <v>x</v>
      </c>
      <c r="G158" s="169" t="str">
        <f>IF(ISNUMBER(SEARCH($G$1,INDEX(RTable[#All],MATCH(ActionTracker[[#All],[Lease Number]],RTable[[#All],[Lease Number]],0),5))),"x","")</f>
        <v>x</v>
      </c>
      <c r="H158" s="169" t="str">
        <f>IF(ISNUMBER(SEARCH($H$1,INDEX(RTable[#All],MATCH(ActionTracker[[#All],[Lease Number]],RTable[[#All],[Lease Number]],0),5))),"x","")</f>
        <v>x</v>
      </c>
      <c r="I158" s="169" t="str">
        <f>IF(ISNUMBER(SEARCH($I$1,INDEX(RTable[#All],MATCH(ActionTracker[[#All],[Lease Number]],RTable[[#All],[Lease Number]],0),5))),"x","")</f>
        <v>x</v>
      </c>
      <c r="J158" s="169" t="str">
        <f>IF(ISNUMBER(SEARCH($J$1,INDEX(RTable[#All],MATCH(ActionTracker[[#All],[Lease Number]],RTable[[#All],[Lease Number]],0),5))),"x","")</f>
        <v/>
      </c>
      <c r="K158"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Complete</v>
      </c>
      <c r="L158" s="165" t="str">
        <f>IF(ISERROR(INDEX(ContactList[#All],MATCH(ActionTracker[[#All],[Lease Number]],ContactList[[#All],[Lease Number]],0),12)),"",INDEX(ContactList[#All],MATCH(ActionTracker[[#All],[Lease Number]],ContactList[[#All],[Lease Number]],0),12))</f>
        <v>Craig</v>
      </c>
      <c r="M158" s="165" t="str">
        <f>IF(ISERROR(INDEX(ContactList[#All],MATCH(ActionTracker[[#All],[Lease Number]],ContactList[[#All],[Lease Number]],0),12)),"",INDEX(ContactList[#All],MATCH(ActionTracker[[#All],[Lease Number]],ContactList[[#All],[Lease Number]],0),13))</f>
        <v>Bradshaw</v>
      </c>
      <c r="N158" s="165" t="str">
        <f>IF(ISERROR(INDEX(ContactList[#All],MATCH(ActionTracker[[#All],[Lease Number]],ContactList[[#All],[Lease Number]],0),12)),"",INDEX(ContactList[#All],MATCH(ActionTracker[[#All],[Lease Number]],ContactList[[#All],[Lease Number]],0),14))</f>
        <v>Bradshaw@avisonyoung.com</v>
      </c>
      <c r="O158" s="165" t="str">
        <f>IF(ISERROR(INDEX(ContactList[#All],MATCH(ActionTracker[[#All],[Lease Number]],ContactList[[#All],[Lease Number]],0),12)),"",INDEX(ContactList[#All],MATCH(ActionTracker[[#All],[Lease Number]],ContactList[[#All],[Lease Number]],0),15))</f>
        <v>604 647-5083</v>
      </c>
      <c r="P158" s="166"/>
      <c r="Q158" s="167"/>
    </row>
    <row r="159" spans="1:17" ht="28.5" x14ac:dyDescent="0.25">
      <c r="A159" s="163" t="s">
        <v>2524</v>
      </c>
      <c r="B159" s="164" t="str">
        <f>IF(ISERROR(INDEX(RTable[#All],MATCH(ActionTracker[[#All],[Lease Number]],RTable[[#All],[Lease Number]],0),1)),"",INDEX(RTable[#All],MATCH(ActionTracker[[#All],[Lease Number]],RTable[[#All],[Lease Number]],0),1))</f>
        <v>Meghan McKinley</v>
      </c>
      <c r="C159" s="168" t="str">
        <f>IF(ISERROR(INDEX(RTable[#All],MATCH(ActionTracker[[#All],[Lease Number]],RTable[[#All],[Lease Number]],0),1)),"",INDEX(RTable[#All],MATCH(ActionTracker[[#All],[Lease Number]],RTable[[#All],[Lease Number]],0),2)&amp;", "&amp;INDEX(RTable[#All],MATCH(ActionTracker[[#All],[Lease Number]],RTable[[#All],[Lease Number]],0),3))</f>
        <v xml:space="preserve">68 Hastings Street North, Bancroft, O.N. </v>
      </c>
      <c r="D159" s="169" t="str">
        <f>IF(ISNUMBER(SEARCH($D$1,INDEX(RTable[#All],MATCH(ActionTracker[[#All],[Lease Number]],RTable[[#All],[Lease Number]],0),5))),"x","")</f>
        <v>x</v>
      </c>
      <c r="E159" s="169" t="str">
        <f>IF(ISNUMBER(SEARCH($E$1,INDEX(RTable[#All],MATCH(ActionTracker[[#All],[Lease Number]],RTable[[#All],[Lease Number]],0),5))),"x","")</f>
        <v>x</v>
      </c>
      <c r="F159" s="169" t="str">
        <f>IF(ISNUMBER(SEARCH($F$1,INDEX(RTable[#All],MATCH(ActionTracker[[#All],[Lease Number]],RTable[[#All],[Lease Number]],0),5))),"x","")</f>
        <v>x</v>
      </c>
      <c r="G159" s="169" t="str">
        <f>IF(ISNUMBER(SEARCH($G$1,INDEX(RTable[#All],MATCH(ActionTracker[[#All],[Lease Number]],RTable[[#All],[Lease Number]],0),5))),"x","")</f>
        <v>x</v>
      </c>
      <c r="H159" s="169" t="str">
        <f>IF(ISNUMBER(SEARCH($H$1,INDEX(RTable[#All],MATCH(ActionTracker[[#All],[Lease Number]],RTable[[#All],[Lease Number]],0),5))),"x","")</f>
        <v>x</v>
      </c>
      <c r="I159" s="169" t="str">
        <f>IF(ISNUMBER(SEARCH($I$1,INDEX(RTable[#All],MATCH(ActionTracker[[#All],[Lease Number]],RTable[[#All],[Lease Number]],0),5))),"x","")</f>
        <v/>
      </c>
      <c r="J159" s="169" t="str">
        <f>IF(ISNUMBER(SEARCH($J$1,INDEX(RTable[#All],MATCH(ActionTracker[[#All],[Lease Number]],RTable[[#All],[Lease Number]],0),5))),"x","")</f>
        <v/>
      </c>
      <c r="K159"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159" s="165" t="str">
        <f>IF(ISERROR(INDEX(ContactList[#All],MATCH(ActionTracker[[#All],[Lease Number]],ContactList[[#All],[Lease Number]],0),12)),"",INDEX(ContactList[#All],MATCH(ActionTracker[[#All],[Lease Number]],ContactList[[#All],[Lease Number]],0),12))</f>
        <v>Dale</v>
      </c>
      <c r="M159" s="165" t="str">
        <f>IF(ISERROR(INDEX(ContactList[#All],MATCH(ActionTracker[[#All],[Lease Number]],ContactList[[#All],[Lease Number]],0),12)),"",INDEX(ContactList[#All],MATCH(ActionTracker[[#All],[Lease Number]],ContactList[[#All],[Lease Number]],0),13))</f>
        <v>Shannick</v>
      </c>
      <c r="N159" s="165" t="str">
        <f>IF(ISERROR(INDEX(ContactList[#All],MATCH(ActionTracker[[#All],[Lease Number]],ContactList[[#All],[Lease Number]],0),12)),"",INDEX(ContactList[#All],MATCH(ActionTracker[[#All],[Lease Number]],ContactList[[#All],[Lease Number]],0),14))</f>
        <v>dshannick@town.bancroft.on.ca</v>
      </c>
      <c r="O159" s="165" t="str">
        <f>IF(ISERROR(INDEX(ContactList[#All],MATCH(ActionTracker[[#All],[Lease Number]],ContactList[[#All],[Lease Number]],0),12)),"",INDEX(ContactList[#All],MATCH(ActionTracker[[#All],[Lease Number]],ContactList[[#All],[Lease Number]],0),15))</f>
        <v>613 332 3331</v>
      </c>
      <c r="P159" s="166"/>
      <c r="Q159" s="167"/>
    </row>
    <row r="160" spans="1:17" ht="28.5" x14ac:dyDescent="0.25">
      <c r="A160" s="163" t="s">
        <v>1198</v>
      </c>
      <c r="B160" s="164" t="str">
        <f>IF(ISERROR(INDEX(RTable[#All],MATCH(ActionTracker[[#All],[Lease Number]],RTable[[#All],[Lease Number]],0),1)),"",INDEX(RTable[#All],MATCH(ActionTracker[[#All],[Lease Number]],RTable[[#All],[Lease Number]],0),1))</f>
        <v>Bernadette Hubka</v>
      </c>
      <c r="C160" s="168" t="str">
        <f>IF(ISERROR(INDEX(RTable[#All],MATCH(ActionTracker[[#All],[Lease Number]],RTable[[#All],[Lease Number]],0),1)),"",INDEX(RTable[#All],MATCH(ActionTracker[[#All],[Lease Number]],RTable[[#All],[Lease Number]],0),2)&amp;", "&amp;INDEX(RTable[#All],MATCH(ActionTracker[[#All],[Lease Number]],RTable[[#All],[Lease Number]],0),3))</f>
        <v>203-6010 Brickyard Road, Nanaimo, B.C.</v>
      </c>
      <c r="D160" s="169" t="str">
        <f>IF(ISNUMBER(SEARCH($D$1,INDEX(RTable[#All],MATCH(ActionTracker[[#All],[Lease Number]],RTable[[#All],[Lease Number]],0),5))),"x","")</f>
        <v>x</v>
      </c>
      <c r="E160" s="169" t="str">
        <f>IF(ISNUMBER(SEARCH($E$1,INDEX(RTable[#All],MATCH(ActionTracker[[#All],[Lease Number]],RTable[[#All],[Lease Number]],0),5))),"x","")</f>
        <v/>
      </c>
      <c r="F160" s="169" t="str">
        <f>IF(ISNUMBER(SEARCH($F$1,INDEX(RTable[#All],MATCH(ActionTracker[[#All],[Lease Number]],RTable[[#All],[Lease Number]],0),5))),"x","")</f>
        <v>x</v>
      </c>
      <c r="G160" s="169" t="str">
        <f>IF(ISNUMBER(SEARCH($G$1,INDEX(RTable[#All],MATCH(ActionTracker[[#All],[Lease Number]],RTable[[#All],[Lease Number]],0),5))),"x","")</f>
        <v>x</v>
      </c>
      <c r="H160" s="169" t="str">
        <f>IF(ISNUMBER(SEARCH($H$1,INDEX(RTable[#All],MATCH(ActionTracker[[#All],[Lease Number]],RTable[[#All],[Lease Number]],0),5))),"x","")</f>
        <v>x</v>
      </c>
      <c r="I160" s="169" t="str">
        <f>IF(ISNUMBER(SEARCH($I$1,INDEX(RTable[#All],MATCH(ActionTracker[[#All],[Lease Number]],RTable[[#All],[Lease Number]],0),5))),"x","")</f>
        <v/>
      </c>
      <c r="J160" s="169" t="str">
        <f>IF(ISNUMBER(SEARCH($J$1,INDEX(RTable[#All],MATCH(ActionTracker[[#All],[Lease Number]],RTable[[#All],[Lease Number]],0),5))),"x","")</f>
        <v/>
      </c>
      <c r="K160"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60" s="165" t="str">
        <f>IF(ISERROR(INDEX(ContactList[#All],MATCH(ActionTracker[[#All],[Lease Number]],ContactList[[#All],[Lease Number]],0),12)),"",INDEX(ContactList[#All],MATCH(ActionTracker[[#All],[Lease Number]],ContactList[[#All],[Lease Number]],0),12))</f>
        <v>Rae</v>
      </c>
      <c r="M160" s="165" t="str">
        <f>IF(ISERROR(INDEX(ContactList[#All],MATCH(ActionTracker[[#All],[Lease Number]],ContactList[[#All],[Lease Number]],0),12)),"",INDEX(ContactList[#All],MATCH(ActionTracker[[#All],[Lease Number]],ContactList[[#All],[Lease Number]],0),13))</f>
        <v>Tuck</v>
      </c>
      <c r="N160" s="165" t="str">
        <f>IF(ISERROR(INDEX(ContactList[#All],MATCH(ActionTracker[[#All],[Lease Number]],ContactList[[#All],[Lease Number]],0),12)),"",INDEX(ContactList[#All],MATCH(ActionTracker[[#All],[Lease Number]],ContactList[[#All],[Lease Number]],0),14))</f>
        <v>rae.tuck@dtznanaimo.com</v>
      </c>
      <c r="O160" s="165" t="str">
        <f>IF(ISERROR(INDEX(ContactList[#All],MATCH(ActionTracker[[#All],[Lease Number]],ContactList[[#All],[Lease Number]],0),12)),"",INDEX(ContactList[#All],MATCH(ActionTracker[[#All],[Lease Number]],ContactList[[#All],[Lease Number]],0),15))</f>
        <v>1-800-769-5757</v>
      </c>
      <c r="P160" s="166"/>
      <c r="Q160" s="167"/>
    </row>
    <row r="161" spans="1:17" x14ac:dyDescent="0.25">
      <c r="A161" s="163" t="s">
        <v>982</v>
      </c>
      <c r="B161" s="164" t="str">
        <f>IF(ISERROR(INDEX(RTable[#All],MATCH(ActionTracker[[#All],[Lease Number]],RTable[[#All],[Lease Number]],0),1)),"",INDEX(RTable[#All],MATCH(ActionTracker[[#All],[Lease Number]],RTable[[#All],[Lease Number]],0),1))</f>
        <v>REBECCA HOLMKVIST</v>
      </c>
      <c r="C161" s="168" t="str">
        <f>IF(ISERROR(INDEX(RTable[#All],MATCH(ActionTracker[[#All],[Lease Number]],RTable[[#All],[Lease Number]],0),1)),"",INDEX(RTable[#All],MATCH(ActionTracker[[#All],[Lease Number]],RTable[[#All],[Lease Number]],0),2)&amp;", "&amp;INDEX(RTable[#All],MATCH(ActionTracker[[#All],[Lease Number]],RTable[[#All],[Lease Number]],0),3))</f>
        <v>105-4635 PARK AVENUE, TERRACE, B.C.</v>
      </c>
      <c r="D161" s="169" t="str">
        <f>IF(ISNUMBER(SEARCH($D$1,INDEX(RTable[#All],MATCH(ActionTracker[[#All],[Lease Number]],RTable[[#All],[Lease Number]],0),5))),"x","")</f>
        <v/>
      </c>
      <c r="E161" s="169" t="str">
        <f>IF(ISNUMBER(SEARCH($E$1,INDEX(RTable[#All],MATCH(ActionTracker[[#All],[Lease Number]],RTable[[#All],[Lease Number]],0),5))),"x","")</f>
        <v/>
      </c>
      <c r="F161" s="169" t="str">
        <f>IF(ISNUMBER(SEARCH($F$1,INDEX(RTable[#All],MATCH(ActionTracker[[#All],[Lease Number]],RTable[[#All],[Lease Number]],0),5))),"x","")</f>
        <v/>
      </c>
      <c r="G161" s="169" t="str">
        <f>IF(ISNUMBER(SEARCH($G$1,INDEX(RTable[#All],MATCH(ActionTracker[[#All],[Lease Number]],RTable[[#All],[Lease Number]],0),5))),"x","")</f>
        <v/>
      </c>
      <c r="H161" s="169" t="str">
        <f>IF(ISNUMBER(SEARCH($H$1,INDEX(RTable[#All],MATCH(ActionTracker[[#All],[Lease Number]],RTable[[#All],[Lease Number]],0),5))),"x","")</f>
        <v/>
      </c>
      <c r="I161" s="169" t="str">
        <f>IF(ISNUMBER(SEARCH($I$1,INDEX(RTable[#All],MATCH(ActionTracker[[#All],[Lease Number]],RTable[[#All],[Lease Number]],0),5))),"x","")</f>
        <v/>
      </c>
      <c r="J161" s="169" t="str">
        <f>IF(ISNUMBER(SEARCH($J$1,INDEX(RTable[#All],MATCH(ActionTracker[[#All],[Lease Number]],RTable[[#All],[Lease Number]],0),5))),"x","")</f>
        <v>x</v>
      </c>
      <c r="K161"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None</v>
      </c>
      <c r="L161" s="165" t="str">
        <f>IF(ISERROR(INDEX(ContactList[#All],MATCH(ActionTracker[[#All],[Lease Number]],ContactList[[#All],[Lease Number]],0),12)),"",INDEX(ContactList[#All],MATCH(ActionTracker[[#All],[Lease Number]],ContactList[[#All],[Lease Number]],0),12))</f>
        <v>Anne</v>
      </c>
      <c r="M161" s="165" t="str">
        <f>IF(ISERROR(INDEX(ContactList[#All],MATCH(ActionTracker[[#All],[Lease Number]],ContactList[[#All],[Lease Number]],0),12)),"",INDEX(ContactList[#All],MATCH(ActionTracker[[#All],[Lease Number]],ContactList[[#All],[Lease Number]],0),13))</f>
        <v>Hedley</v>
      </c>
      <c r="N161" s="165"/>
      <c r="O161" s="165" t="str">
        <f>IF(ISERROR(INDEX(ContactList[#All],MATCH(ActionTracker[[#All],[Lease Number]],ContactList[[#All],[Lease Number]],0),12)),"",INDEX(ContactList[#All],MATCH(ActionTracker[[#All],[Lease Number]],ContactList[[#All],[Lease Number]],0),15))</f>
        <v>604 734 6695</v>
      </c>
      <c r="P161" s="166"/>
      <c r="Q161" s="167"/>
    </row>
    <row r="162" spans="1:17" x14ac:dyDescent="0.25">
      <c r="A162" s="163" t="s">
        <v>2154</v>
      </c>
      <c r="B162" s="164" t="str">
        <f>IF(ISERROR(INDEX(RTable[#All],MATCH(ActionTracker[[#All],[Lease Number]],RTable[[#All],[Lease Number]],0),1)),"",INDEX(RTable[#All],MATCH(ActionTracker[[#All],[Lease Number]],RTable[[#All],[Lease Number]],0),1))</f>
        <v>Medical Centre Holdings (Peterborough) Limited</v>
      </c>
      <c r="C162" s="168" t="str">
        <f>IF(ISERROR(INDEX(RTable[#All],MATCH(ActionTracker[[#All],[Lease Number]],RTable[[#All],[Lease Number]],0),1)),"",INDEX(RTable[#All],MATCH(ActionTracker[[#All],[Lease Number]],RTable[[#All],[Lease Number]],0),2)&amp;", "&amp;INDEX(RTable[#All],MATCH(ActionTracker[[#All],[Lease Number]],RTable[[#All],[Lease Number]],0),3))</f>
        <v>707 Charlotte Street, Peterborough, O.N.</v>
      </c>
      <c r="D162" s="169" t="str">
        <f>IF(ISNUMBER(SEARCH($D$1,INDEX(RTable[#All],MATCH(ActionTracker[[#All],[Lease Number]],RTable[[#All],[Lease Number]],0),5))),"x","")</f>
        <v>x</v>
      </c>
      <c r="E162" s="169" t="str">
        <f>IF(ISNUMBER(SEARCH($E$1,INDEX(RTable[#All],MATCH(ActionTracker[[#All],[Lease Number]],RTable[[#All],[Lease Number]],0),5))),"x","")</f>
        <v>x</v>
      </c>
      <c r="F162" s="169" t="str">
        <f>IF(ISNUMBER(SEARCH($F$1,INDEX(RTable[#All],MATCH(ActionTracker[[#All],[Lease Number]],RTable[[#All],[Lease Number]],0),5))),"x","")</f>
        <v>x</v>
      </c>
      <c r="G162" s="169" t="str">
        <f>IF(ISNUMBER(SEARCH($G$1,INDEX(RTable[#All],MATCH(ActionTracker[[#All],[Lease Number]],RTable[[#All],[Lease Number]],0),5))),"x","")</f>
        <v>x</v>
      </c>
      <c r="H162" s="169" t="str">
        <f>IF(ISNUMBER(SEARCH($H$1,INDEX(RTable[#All],MATCH(ActionTracker[[#All],[Lease Number]],RTable[[#All],[Lease Number]],0),5))),"x","")</f>
        <v>x</v>
      </c>
      <c r="I162" s="169" t="str">
        <f>IF(ISNUMBER(SEARCH($I$1,INDEX(RTable[#All],MATCH(ActionTracker[[#All],[Lease Number]],RTable[[#All],[Lease Number]],0),5))),"x","")</f>
        <v/>
      </c>
      <c r="J162" s="169" t="str">
        <f>IF(ISNUMBER(SEARCH($J$1,INDEX(RTable[#All],MATCH(ActionTracker[[#All],[Lease Number]],RTable[[#All],[Lease Number]],0),5))),"x","")</f>
        <v/>
      </c>
      <c r="K162"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162" s="165" t="str">
        <f>IF(ISERROR(INDEX(ContactList[#All],MATCH(ActionTracker[[#All],[Lease Number]],ContactList[[#All],[Lease Number]],0),12)),"",INDEX(ContactList[#All],MATCH(ActionTracker[[#All],[Lease Number]],ContactList[[#All],[Lease Number]],0),12))</f>
        <v>Gordon</v>
      </c>
      <c r="M162" s="165" t="str">
        <f>IF(ISERROR(INDEX(ContactList[#All],MATCH(ActionTracker[[#All],[Lease Number]],ContactList[[#All],[Lease Number]],0),12)),"",INDEX(ContactList[#All],MATCH(ActionTracker[[#All],[Lease Number]],ContactList[[#All],[Lease Number]],0),13))</f>
        <v>Walker</v>
      </c>
      <c r="N162" s="165" t="str">
        <f>IF(ISERROR(INDEX(ContactList[#All],MATCH(ActionTracker[[#All],[Lease Number]],ContactList[[#All],[Lease Number]],0),12)),"",INDEX(ContactList[#All],MATCH(ActionTracker[[#All],[Lease Number]],ContactList[[#All],[Lease Number]],0),14))</f>
        <v>gwalker@themedicalcentre.net]</v>
      </c>
      <c r="O162" s="165" t="str">
        <f>IF(ISERROR(INDEX(ContactList[#All],MATCH(ActionTracker[[#All],[Lease Number]],ContactList[[#All],[Lease Number]],0),12)),"",INDEX(ContactList[#All],MATCH(ActionTracker[[#All],[Lease Number]],ContactList[[#All],[Lease Number]],0),15))</f>
        <v>705 743 6222</v>
      </c>
      <c r="P162" s="166"/>
      <c r="Q162" s="167"/>
    </row>
    <row r="163" spans="1:17" x14ac:dyDescent="0.25">
      <c r="A163" s="163" t="s">
        <v>3560</v>
      </c>
      <c r="B163" s="164" t="str">
        <f>IF(ISERROR(INDEX(RTable[#All],MATCH(ActionTracker[[#All],[Lease Number]],RTable[[#All],[Lease Number]],0),1)),"",INDEX(RTable[#All],MATCH(ActionTracker[[#All],[Lease Number]],RTable[[#All],[Lease Number]],0),1))</f>
        <v>Brian Gottlieb</v>
      </c>
      <c r="C163" s="168" t="str">
        <f>IF(ISERROR(INDEX(RTable[#All],MATCH(ActionTracker[[#All],[Lease Number]],RTable[[#All],[Lease Number]],0),1)),"",INDEX(RTable[#All],MATCH(ActionTracker[[#All],[Lease Number]],RTable[[#All],[Lease Number]],0),2)&amp;", "&amp;INDEX(RTable[#All],MATCH(ActionTracker[[#All],[Lease Number]],RTable[[#All],[Lease Number]],0),3))</f>
        <v xml:space="preserve">1290 Ellesmere Road, Toronto, O.N. </v>
      </c>
      <c r="D163" s="169" t="str">
        <f>IF(ISNUMBER(SEARCH($D$1,INDEX(RTable[#All],MATCH(ActionTracker[[#All],[Lease Number]],RTable[[#All],[Lease Number]],0),5))),"x","")</f>
        <v/>
      </c>
      <c r="E163" s="169" t="str">
        <f>IF(ISNUMBER(SEARCH($E$1,INDEX(RTable[#All],MATCH(ActionTracker[[#All],[Lease Number]],RTable[[#All],[Lease Number]],0),5))),"x","")</f>
        <v/>
      </c>
      <c r="F163" s="169" t="str">
        <f>IF(ISNUMBER(SEARCH($F$1,INDEX(RTable[#All],MATCH(ActionTracker[[#All],[Lease Number]],RTable[[#All],[Lease Number]],0),5))),"x","")</f>
        <v/>
      </c>
      <c r="G163" s="169" t="str">
        <f>IF(ISNUMBER(SEARCH($G$1,INDEX(RTable[#All],MATCH(ActionTracker[[#All],[Lease Number]],RTable[[#All],[Lease Number]],0),5))),"x","")</f>
        <v/>
      </c>
      <c r="H163" s="169" t="str">
        <f>IF(ISNUMBER(SEARCH($H$1,INDEX(RTable[#All],MATCH(ActionTracker[[#All],[Lease Number]],RTable[[#All],[Lease Number]],0),5))),"x","")</f>
        <v/>
      </c>
      <c r="I163" s="169" t="str">
        <f>IF(ISNUMBER(SEARCH($I$1,INDEX(RTable[#All],MATCH(ActionTracker[[#All],[Lease Number]],RTable[[#All],[Lease Number]],0),5))),"x","")</f>
        <v/>
      </c>
      <c r="J163" s="169" t="str">
        <f>IF(ISNUMBER(SEARCH($J$1,INDEX(RTable[#All],MATCH(ActionTracker[[#All],[Lease Number]],RTable[[#All],[Lease Number]],0),5))),"x","")</f>
        <v>x</v>
      </c>
      <c r="K163"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None</v>
      </c>
      <c r="L163" s="165" t="str">
        <f>IF(ISERROR(INDEX(ContactList[#All],MATCH(ActionTracker[[#All],[Lease Number]],ContactList[[#All],[Lease Number]],0),12)),"",INDEX(ContactList[#All],MATCH(ActionTracker[[#All],[Lease Number]],ContactList[[#All],[Lease Number]],0),12))</f>
        <v>Brian</v>
      </c>
      <c r="M163" s="165" t="str">
        <f>IF(ISERROR(INDEX(ContactList[#All],MATCH(ActionTracker[[#All],[Lease Number]],ContactList[[#All],[Lease Number]],0),12)),"",INDEX(ContactList[#All],MATCH(ActionTracker[[#All],[Lease Number]],ContactList[[#All],[Lease Number]],0),13))</f>
        <v>Gottieb</v>
      </c>
      <c r="N163" s="165" t="str">
        <f>IF(ISERROR(INDEX(ContactList[#All],MATCH(ActionTracker[[#All],[Lease Number]],ContactList[[#All],[Lease Number]],0),12)),"",INDEX(ContactList[#All],MATCH(ActionTracker[[#All],[Lease Number]],ContactList[[#All],[Lease Number]],0),14))</f>
        <v>bgottlieb@midkingproperties.com</v>
      </c>
      <c r="O163" s="165" t="str">
        <f>IF(ISERROR(INDEX(ContactList[#All],MATCH(ActionTracker[[#All],[Lease Number]],ContactList[[#All],[Lease Number]],0),12)),"",INDEX(ContactList[#All],MATCH(ActionTracker[[#All],[Lease Number]],ContactList[[#All],[Lease Number]],0),15))</f>
        <v>(416) 665-1458</v>
      </c>
      <c r="P163" s="166"/>
      <c r="Q163" s="167"/>
    </row>
    <row r="164" spans="1:17" x14ac:dyDescent="0.25">
      <c r="A164" s="163" t="s">
        <v>1057</v>
      </c>
      <c r="B164" s="164" t="str">
        <f>IF(ISERROR(INDEX(RTable[#All],MATCH(ActionTracker[[#All],[Lease Number]],RTable[[#All],[Lease Number]],0),1)),"",INDEX(RTable[#All],MATCH(ActionTracker[[#All],[Lease Number]],RTable[[#All],[Lease Number]],0),1))</f>
        <v>Lisa</v>
      </c>
      <c r="C164" s="168" t="str">
        <f>IF(ISERROR(INDEX(RTable[#All],MATCH(ActionTracker[[#All],[Lease Number]],RTable[[#All],[Lease Number]],0),1)),"",INDEX(RTable[#All],MATCH(ActionTracker[[#All],[Lease Number]],RTable[[#All],[Lease Number]],0),2)&amp;", "&amp;INDEX(RTable[#All],MATCH(ActionTracker[[#All],[Lease Number]],RTable[[#All],[Lease Number]],0),3))</f>
        <v>208-2763 BEVERLY ST, Duncan, B.C.</v>
      </c>
      <c r="D164" s="169" t="str">
        <f>IF(ISNUMBER(SEARCH($D$1,INDEX(RTable[#All],MATCH(ActionTracker[[#All],[Lease Number]],RTable[[#All],[Lease Number]],0),5))),"x","")</f>
        <v/>
      </c>
      <c r="E164" s="169" t="str">
        <f>IF(ISNUMBER(SEARCH($E$1,INDEX(RTable[#All],MATCH(ActionTracker[[#All],[Lease Number]],RTable[[#All],[Lease Number]],0),5))),"x","")</f>
        <v/>
      </c>
      <c r="F164" s="169" t="str">
        <f>IF(ISNUMBER(SEARCH($F$1,INDEX(RTable[#All],MATCH(ActionTracker[[#All],[Lease Number]],RTable[[#All],[Lease Number]],0),5))),"x","")</f>
        <v>x</v>
      </c>
      <c r="G164" s="169" t="str">
        <f>IF(ISNUMBER(SEARCH($G$1,INDEX(RTable[#All],MATCH(ActionTracker[[#All],[Lease Number]],RTable[[#All],[Lease Number]],0),5))),"x","")</f>
        <v>x</v>
      </c>
      <c r="H164" s="169" t="str">
        <f>IF(ISNUMBER(SEARCH($H$1,INDEX(RTable[#All],MATCH(ActionTracker[[#All],[Lease Number]],RTable[[#All],[Lease Number]],0),5))),"x","")</f>
        <v/>
      </c>
      <c r="I164" s="169" t="str">
        <f>IF(ISNUMBER(SEARCH($I$1,INDEX(RTable[#All],MATCH(ActionTracker[[#All],[Lease Number]],RTable[[#All],[Lease Number]],0),5))),"x","")</f>
        <v/>
      </c>
      <c r="J164" s="169" t="str">
        <f>IF(ISNUMBER(SEARCH($J$1,INDEX(RTable[#All],MATCH(ActionTracker[[#All],[Lease Number]],RTable[[#All],[Lease Number]],0),5))),"x","")</f>
        <v/>
      </c>
      <c r="K164"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64" s="165" t="str">
        <f>IF(ISERROR(INDEX(ContactList[#All],MATCH(ActionTracker[[#All],[Lease Number]],ContactList[[#All],[Lease Number]],0),12)),"",INDEX(ContactList[#All],MATCH(ActionTracker[[#All],[Lease Number]],ContactList[[#All],[Lease Number]],0),12))</f>
        <v>Burrell</v>
      </c>
      <c r="M164" s="165" t="str">
        <f>IF(ISERROR(INDEX(ContactList[#All],MATCH(ActionTracker[[#All],[Lease Number]],ContactList[[#All],[Lease Number]],0),12)),"",INDEX(ContactList[#All],MATCH(ActionTracker[[#All],[Lease Number]],ContactList[[#All],[Lease Number]],0),13))</f>
        <v>Richard</v>
      </c>
      <c r="N164" s="165"/>
      <c r="O164" s="165" t="str">
        <f>IF(ISERROR(INDEX(ContactList[#All],MATCH(ActionTracker[[#All],[Lease Number]],ContactList[[#All],[Lease Number]],0),12)),"",INDEX(ContactList[#All],MATCH(ActionTracker[[#All],[Lease Number]],ContactList[[#All],[Lease Number]],0),15))</f>
        <v>250-715-2023</v>
      </c>
      <c r="P164" s="166"/>
      <c r="Q164" s="167"/>
    </row>
    <row r="165" spans="1:17" x14ac:dyDescent="0.25">
      <c r="A165" s="163" t="s">
        <v>1906</v>
      </c>
      <c r="B165" s="164" t="str">
        <f>IF(ISERROR(INDEX(RTable[#All],MATCH(ActionTracker[[#All],[Lease Number]],RTable[[#All],[Lease Number]],0),1)),"",INDEX(RTable[#All],MATCH(ActionTracker[[#All],[Lease Number]],RTable[[#All],[Lease Number]],0),1))</f>
        <v>Gerald Rozario</v>
      </c>
      <c r="C165" s="168" t="str">
        <f>IF(ISERROR(INDEX(RTable[#All],MATCH(ActionTracker[[#All],[Lease Number]],RTable[[#All],[Lease Number]],0),1)),"",INDEX(RTable[#All],MATCH(ActionTracker[[#All],[Lease Number]],RTable[[#All],[Lease Number]],0),2)&amp;", "&amp;INDEX(RTable[#All],MATCH(ActionTracker[[#All],[Lease Number]],RTable[[#All],[Lease Number]],0),3))</f>
        <v xml:space="preserve">586 Eglinton Avenue East, Toronto, O.N. </v>
      </c>
      <c r="D165" s="169" t="str">
        <f>IF(ISNUMBER(SEARCH($D$1,INDEX(RTable[#All],MATCH(ActionTracker[[#All],[Lease Number]],RTable[[#All],[Lease Number]],0),5))),"x","")</f>
        <v>x</v>
      </c>
      <c r="E165" s="169" t="str">
        <f>IF(ISNUMBER(SEARCH($E$1,INDEX(RTable[#All],MATCH(ActionTracker[[#All],[Lease Number]],RTable[[#All],[Lease Number]],0),5))),"x","")</f>
        <v>x</v>
      </c>
      <c r="F165" s="169" t="str">
        <f>IF(ISNUMBER(SEARCH($F$1,INDEX(RTable[#All],MATCH(ActionTracker[[#All],[Lease Number]],RTable[[#All],[Lease Number]],0),5))),"x","")</f>
        <v>x</v>
      </c>
      <c r="G165" s="169" t="str">
        <f>IF(ISNUMBER(SEARCH($G$1,INDEX(RTable[#All],MATCH(ActionTracker[[#All],[Lease Number]],RTable[[#All],[Lease Number]],0),5))),"x","")</f>
        <v>x</v>
      </c>
      <c r="H165" s="169" t="str">
        <f>IF(ISNUMBER(SEARCH($H$1,INDEX(RTable[#All],MATCH(ActionTracker[[#All],[Lease Number]],RTable[[#All],[Lease Number]],0),5))),"x","")</f>
        <v>x</v>
      </c>
      <c r="I165" s="169" t="str">
        <f>IF(ISNUMBER(SEARCH($I$1,INDEX(RTable[#All],MATCH(ActionTracker[[#All],[Lease Number]],RTable[[#All],[Lease Number]],0),5))),"x","")</f>
        <v/>
      </c>
      <c r="J165" s="169" t="str">
        <f>IF(ISNUMBER(SEARCH($J$1,INDEX(RTable[#All],MATCH(ActionTracker[[#All],[Lease Number]],RTable[[#All],[Lease Number]],0),5))),"x","")</f>
        <v/>
      </c>
      <c r="K165"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165" s="165" t="str">
        <f>IF(ISERROR(INDEX(ContactList[#All],MATCH(ActionTracker[[#All],[Lease Number]],ContactList[[#All],[Lease Number]],0),12)),"",INDEX(ContactList[#All],MATCH(ActionTracker[[#All],[Lease Number]],ContactList[[#All],[Lease Number]],0),12))</f>
        <v>Gerald</v>
      </c>
      <c r="M165" s="165" t="str">
        <f>IF(ISERROR(INDEX(ContactList[#All],MATCH(ActionTracker[[#All],[Lease Number]],ContactList[[#All],[Lease Number]],0),12)),"",INDEX(ContactList[#All],MATCH(ActionTracker[[#All],[Lease Number]],ContactList[[#All],[Lease Number]],0),13))</f>
        <v>Rozario</v>
      </c>
      <c r="N165" s="165"/>
      <c r="O165" s="165" t="str">
        <f>IF(ISERROR(INDEX(ContactList[#All],MATCH(ActionTracker[[#All],[Lease Number]],ContactList[[#All],[Lease Number]],0),12)),"",INDEX(ContactList[#All],MATCH(ActionTracker[[#All],[Lease Number]],ContactList[[#All],[Lease Number]],0),15))</f>
        <v>416 484 7786</v>
      </c>
      <c r="P165" s="166"/>
      <c r="Q165" s="167"/>
    </row>
    <row r="166" spans="1:17" x14ac:dyDescent="0.25">
      <c r="A166" s="163" t="s">
        <v>2739</v>
      </c>
      <c r="B166" s="164" t="str">
        <f>IF(ISERROR(INDEX(RTable[#All],MATCH(ActionTracker[[#All],[Lease Number]],RTable[[#All],[Lease Number]],0),1)),"",INDEX(RTable[#All],MATCH(ActionTracker[[#All],[Lease Number]],RTable[[#All],[Lease Number]],0),1))</f>
        <v>V.G.R. Investments Ltd.</v>
      </c>
      <c r="C166" s="168" t="str">
        <f>IF(ISERROR(INDEX(RTable[#All],MATCH(ActionTracker[[#All],[Lease Number]],RTable[[#All],[Lease Number]],0),1)),"",INDEX(RTable[#All],MATCH(ActionTracker[[#All],[Lease Number]],RTable[[#All],[Lease Number]],0),2)&amp;", "&amp;INDEX(RTable[#All],MATCH(ActionTracker[[#All],[Lease Number]],RTable[[#All],[Lease Number]],0),3))</f>
        <v xml:space="preserve">1420 Burnhamthorpe R, Mississauga, O.N. </v>
      </c>
      <c r="D166" s="169" t="str">
        <f>IF(ISNUMBER(SEARCH($D$1,INDEX(RTable[#All],MATCH(ActionTracker[[#All],[Lease Number]],RTable[[#All],[Lease Number]],0),5))),"x","")</f>
        <v/>
      </c>
      <c r="E166" s="169" t="str">
        <f>IF(ISNUMBER(SEARCH($E$1,INDEX(RTable[#All],MATCH(ActionTracker[[#All],[Lease Number]],RTable[[#All],[Lease Number]],0),5))),"x","")</f>
        <v/>
      </c>
      <c r="F166" s="169" t="str">
        <f>IF(ISNUMBER(SEARCH($F$1,INDEX(RTable[#All],MATCH(ActionTracker[[#All],[Lease Number]],RTable[[#All],[Lease Number]],0),5))),"x","")</f>
        <v/>
      </c>
      <c r="G166" s="169" t="str">
        <f>IF(ISNUMBER(SEARCH($G$1,INDEX(RTable[#All],MATCH(ActionTracker[[#All],[Lease Number]],RTable[[#All],[Lease Number]],0),5))),"x","")</f>
        <v>x</v>
      </c>
      <c r="H166" s="169" t="str">
        <f>IF(ISNUMBER(SEARCH($H$1,INDEX(RTable[#All],MATCH(ActionTracker[[#All],[Lease Number]],RTable[[#All],[Lease Number]],0),5))),"x","")</f>
        <v/>
      </c>
      <c r="I166" s="169" t="str">
        <f>IF(ISNUMBER(SEARCH($I$1,INDEX(RTable[#All],MATCH(ActionTracker[[#All],[Lease Number]],RTable[[#All],[Lease Number]],0),5))),"x","")</f>
        <v/>
      </c>
      <c r="J166" s="169" t="str">
        <f>IF(ISNUMBER(SEARCH($J$1,INDEX(RTable[#All],MATCH(ActionTracker[[#All],[Lease Number]],RTable[[#All],[Lease Number]],0),5))),"x","")</f>
        <v/>
      </c>
      <c r="K166"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66" s="165" t="str">
        <f>IF(ISERROR(INDEX(ContactList[#All],MATCH(ActionTracker[[#All],[Lease Number]],ContactList[[#All],[Lease Number]],0),12)),"",INDEX(ContactList[#All],MATCH(ActionTracker[[#All],[Lease Number]],ContactList[[#All],[Lease Number]],0),12))</f>
        <v>Christine</v>
      </c>
      <c r="M166" s="165" t="str">
        <f>IF(ISERROR(INDEX(ContactList[#All],MATCH(ActionTracker[[#All],[Lease Number]],ContactList[[#All],[Lease Number]],0),12)),"",INDEX(ContactList[#All],MATCH(ActionTracker[[#All],[Lease Number]],ContactList[[#All],[Lease Number]],0),13))</f>
        <v>Burton</v>
      </c>
      <c r="N166" s="165" t="str">
        <f>IF(ISERROR(INDEX(ContactList[#All],MATCH(ActionTracker[[#All],[Lease Number]],ContactList[[#All],[Lease Number]],0),12)),"",INDEX(ContactList[#All],MATCH(ActionTracker[[#All],[Lease Number]],ContactList[[#All],[Lease Number]],0),14))</f>
        <v>christineburton_@hotmail.com</v>
      </c>
      <c r="O166" s="165" t="str">
        <f>IF(ISERROR(INDEX(ContactList[#All],MATCH(ActionTracker[[#All],[Lease Number]],ContactList[[#All],[Lease Number]],0),12)),"",INDEX(ContactList[#All],MATCH(ActionTracker[[#All],[Lease Number]],ContactList[[#All],[Lease Number]],0),15))</f>
        <v>905 827 4441</v>
      </c>
      <c r="P166" s="166"/>
      <c r="Q166" s="167"/>
    </row>
    <row r="167" spans="1:17" x14ac:dyDescent="0.25">
      <c r="A167" s="163" t="s">
        <v>2141</v>
      </c>
      <c r="B167" s="164" t="str">
        <f>IF(ISERROR(INDEX(RTable[#All],MATCH(ActionTracker[[#All],[Lease Number]],RTable[[#All],[Lease Number]],0),1)),"",INDEX(RTable[#All],MATCH(ActionTracker[[#All],[Lease Number]],RTable[[#All],[Lease Number]],0),1))</f>
        <v>Elizabeth McKinlay</v>
      </c>
      <c r="C167" s="168" t="str">
        <f>IF(ISERROR(INDEX(RTable[#All],MATCH(ActionTracker[[#All],[Lease Number]],RTable[[#All],[Lease Number]],0),1)),"",INDEX(RTable[#All],MATCH(ActionTracker[[#All],[Lease Number]],RTable[[#All],[Lease Number]],0),2)&amp;", "&amp;INDEX(RTable[#All],MATCH(ActionTracker[[#All],[Lease Number]],RTable[[#All],[Lease Number]],0),3))</f>
        <v xml:space="preserve">140 Oxford St E, London, O.N. </v>
      </c>
      <c r="D167" s="169" t="str">
        <f>IF(ISNUMBER(SEARCH($D$1,INDEX(RTable[#All],MATCH(ActionTracker[[#All],[Lease Number]],RTable[[#All],[Lease Number]],0),5))),"x","")</f>
        <v/>
      </c>
      <c r="E167" s="169" t="str">
        <f>IF(ISNUMBER(SEARCH($E$1,INDEX(RTable[#All],MATCH(ActionTracker[[#All],[Lease Number]],RTable[[#All],[Lease Number]],0),5))),"x","")</f>
        <v/>
      </c>
      <c r="F167" s="169" t="str">
        <f>IF(ISNUMBER(SEARCH($F$1,INDEX(RTable[#All],MATCH(ActionTracker[[#All],[Lease Number]],RTable[[#All],[Lease Number]],0),5))),"x","")</f>
        <v>x</v>
      </c>
      <c r="G167" s="169" t="str">
        <f>IF(ISNUMBER(SEARCH($G$1,INDEX(RTable[#All],MATCH(ActionTracker[[#All],[Lease Number]],RTable[[#All],[Lease Number]],0),5))),"x","")</f>
        <v>x</v>
      </c>
      <c r="H167" s="169" t="str">
        <f>IF(ISNUMBER(SEARCH($H$1,INDEX(RTable[#All],MATCH(ActionTracker[[#All],[Lease Number]],RTable[[#All],[Lease Number]],0),5))),"x","")</f>
        <v/>
      </c>
      <c r="I167" s="169" t="str">
        <f>IF(ISNUMBER(SEARCH($I$1,INDEX(RTable[#All],MATCH(ActionTracker[[#All],[Lease Number]],RTable[[#All],[Lease Number]],0),5))),"x","")</f>
        <v/>
      </c>
      <c r="J167" s="169" t="str">
        <f>IF(ISNUMBER(SEARCH($J$1,INDEX(RTable[#All],MATCH(ActionTracker[[#All],[Lease Number]],RTable[[#All],[Lease Number]],0),5))),"x","")</f>
        <v/>
      </c>
      <c r="K167"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67" s="165" t="str">
        <f>IF(ISERROR(INDEX(ContactList[#All],MATCH(ActionTracker[[#All],[Lease Number]],ContactList[[#All],[Lease Number]],0),12)),"",INDEX(ContactList[#All],MATCH(ActionTracker[[#All],[Lease Number]],ContactList[[#All],[Lease Number]],0),12))</f>
        <v>Anthony
Nadia</v>
      </c>
      <c r="M167" s="165" t="str">
        <f>IF(ISERROR(INDEX(ContactList[#All],MATCH(ActionTracker[[#All],[Lease Number]],ContactList[[#All],[Lease Number]],0),12)),"",INDEX(ContactList[#All],MATCH(ActionTracker[[#All],[Lease Number]],ContactList[[#All],[Lease Number]],0),13))</f>
        <v>Koncan
Hindi</v>
      </c>
      <c r="N167" s="165" t="str">
        <f>IF(ISERROR(INDEX(ContactList[#All],MATCH(ActionTracker[[#All],[Lease Number]],ContactList[[#All],[Lease Number]],0),12)),"",INDEX(ContactList[#All],MATCH(ActionTracker[[#All],[Lease Number]],ContactList[[#All],[Lease Number]],0),14))</f>
        <v>anthony.koncan@nwhp.ca
nadia.hindi@nwhp.ca</v>
      </c>
      <c r="O167" s="165" t="str">
        <f>IF(ISERROR(INDEX(ContactList[#All],MATCH(ActionTracker[[#All],[Lease Number]],ContactList[[#All],[Lease Number]],0),12)),"",INDEX(ContactList[#All],MATCH(ActionTracker[[#All],[Lease Number]],ContactList[[#All],[Lease Number]],0),15))</f>
        <v>1 888 366 6947
519 258 3523</v>
      </c>
      <c r="P167" s="166"/>
      <c r="Q167" s="167"/>
    </row>
    <row r="168" spans="1:17" x14ac:dyDescent="0.25">
      <c r="A168" s="163" t="s">
        <v>2947</v>
      </c>
      <c r="B168" s="164" t="str">
        <f>IF(ISERROR(INDEX(RTable[#All],MATCH(ActionTracker[[#All],[Lease Number]],RTable[[#All],[Lease Number]],0),1)),"",INDEX(RTable[#All],MATCH(ActionTracker[[#All],[Lease Number]],RTable[[#All],[Lease Number]],0),1))</f>
        <v>Elizabeth McKinlay</v>
      </c>
      <c r="C168" s="168" t="str">
        <f>IF(ISERROR(INDEX(RTable[#All],MATCH(ActionTracker[[#All],[Lease Number]],RTable[[#All],[Lease Number]],0),1)),"",INDEX(RTable[#All],MATCH(ActionTracker[[#All],[Lease Number]],RTable[[#All],[Lease Number]],0),2)&amp;", "&amp;INDEX(RTable[#All],MATCH(ActionTracker[[#All],[Lease Number]],RTable[[#All],[Lease Number]],0),3))</f>
        <v xml:space="preserve">460 Springbank Drive, London, O.N. </v>
      </c>
      <c r="D168" s="169" t="str">
        <f>IF(ISNUMBER(SEARCH($D$1,INDEX(RTable[#All],MATCH(ActionTracker[[#All],[Lease Number]],RTable[[#All],[Lease Number]],0),5))),"x","")</f>
        <v>x</v>
      </c>
      <c r="E168" s="169" t="str">
        <f>IF(ISNUMBER(SEARCH($E$1,INDEX(RTable[#All],MATCH(ActionTracker[[#All],[Lease Number]],RTable[[#All],[Lease Number]],0),5))),"x","")</f>
        <v>x</v>
      </c>
      <c r="F168" s="169" t="str">
        <f>IF(ISNUMBER(SEARCH($F$1,INDEX(RTable[#All],MATCH(ActionTracker[[#All],[Lease Number]],RTable[[#All],[Lease Number]],0),5))),"x","")</f>
        <v>x</v>
      </c>
      <c r="G168" s="169" t="str">
        <f>IF(ISNUMBER(SEARCH($G$1,INDEX(RTable[#All],MATCH(ActionTracker[[#All],[Lease Number]],RTable[[#All],[Lease Number]],0),5))),"x","")</f>
        <v>x</v>
      </c>
      <c r="H168" s="169" t="str">
        <f>IF(ISNUMBER(SEARCH($H$1,INDEX(RTable[#All],MATCH(ActionTracker[[#All],[Lease Number]],RTable[[#All],[Lease Number]],0),5))),"x","")</f>
        <v>x</v>
      </c>
      <c r="I168" s="169" t="str">
        <f>IF(ISNUMBER(SEARCH($I$1,INDEX(RTable[#All],MATCH(ActionTracker[[#All],[Lease Number]],RTable[[#All],[Lease Number]],0),5))),"x","")</f>
        <v/>
      </c>
      <c r="J168" s="169" t="str">
        <f>IF(ISNUMBER(SEARCH($J$1,INDEX(RTable[#All],MATCH(ActionTracker[[#All],[Lease Number]],RTable[[#All],[Lease Number]],0),5))),"x","")</f>
        <v/>
      </c>
      <c r="K168"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168" s="165" t="str">
        <f>IF(ISERROR(INDEX(ContactList[#All],MATCH(ActionTracker[[#All],[Lease Number]],ContactList[[#All],[Lease Number]],0),12)),"",INDEX(ContactList[#All],MATCH(ActionTracker[[#All],[Lease Number]],ContactList[[#All],[Lease Number]],0),12))</f>
        <v>Ian</v>
      </c>
      <c r="M168" s="165" t="str">
        <f>IF(ISERROR(INDEX(ContactList[#All],MATCH(ActionTracker[[#All],[Lease Number]],ContactList[[#All],[Lease Number]],0),12)),"",INDEX(ContactList[#All],MATCH(ActionTracker[[#All],[Lease Number]],ContactList[[#All],[Lease Number]],0),13))</f>
        <v>Cattrysse</v>
      </c>
      <c r="N168" s="165" t="str">
        <f>IF(ISERROR(INDEX(ContactList[#All],MATCH(ActionTracker[[#All],[Lease Number]],ContactList[[#All],[Lease Number]],0),12)),"",INDEX(ContactList[#All],MATCH(ActionTracker[[#All],[Lease Number]],ContactList[[#All],[Lease Number]],0),14))</f>
        <v>ian.cattrysse@nwhp.ca</v>
      </c>
      <c r="O168" s="165" t="str">
        <f>IF(ISERROR(INDEX(ContactList[#All],MATCH(ActionTracker[[#All],[Lease Number]],ContactList[[#All],[Lease Number]],0),12)),"",INDEX(ContactList[#All],MATCH(ActionTracker[[#All],[Lease Number]],ContactList[[#All],[Lease Number]],0),15))</f>
        <v>1 888 366 6947</v>
      </c>
      <c r="P168" s="166"/>
      <c r="Q168" s="167"/>
    </row>
    <row r="169" spans="1:17" x14ac:dyDescent="0.25">
      <c r="A169" s="163" t="s">
        <v>2596</v>
      </c>
      <c r="B169" s="164" t="str">
        <f>IF(ISERROR(INDEX(RTable[#All],MATCH(ActionTracker[[#All],[Lease Number]],RTable[[#All],[Lease Number]],0),1)),"",INDEX(RTable[#All],MATCH(ActionTracker[[#All],[Lease Number]],RTable[[#All],[Lease Number]],0),1))</f>
        <v>Elizabeth McKinlay</v>
      </c>
      <c r="C169" s="168" t="str">
        <f>IF(ISERROR(INDEX(RTable[#All],MATCH(ActionTracker[[#All],[Lease Number]],RTable[[#All],[Lease Number]],0),1)),"",INDEX(RTable[#All],MATCH(ActionTracker[[#All],[Lease Number]],RTable[[#All],[Lease Number]],0),2)&amp;", "&amp;INDEX(RTable[#All],MATCH(ActionTracker[[#All],[Lease Number]],RTable[[#All],[Lease Number]],0),3))</f>
        <v xml:space="preserve">350 Conestoga Blvd., Cambridge, O.N. </v>
      </c>
      <c r="D169" s="169" t="str">
        <f>IF(ISNUMBER(SEARCH($D$1,INDEX(RTable[#All],MATCH(ActionTracker[[#All],[Lease Number]],RTable[[#All],[Lease Number]],0),5))),"x","")</f>
        <v>x</v>
      </c>
      <c r="E169" s="169" t="str">
        <f>IF(ISNUMBER(SEARCH($E$1,INDEX(RTable[#All],MATCH(ActionTracker[[#All],[Lease Number]],RTable[[#All],[Lease Number]],0),5))),"x","")</f>
        <v>x</v>
      </c>
      <c r="F169" s="169" t="str">
        <f>IF(ISNUMBER(SEARCH($F$1,INDEX(RTable[#All],MATCH(ActionTracker[[#All],[Lease Number]],RTable[[#All],[Lease Number]],0),5))),"x","")</f>
        <v>x</v>
      </c>
      <c r="G169" s="169" t="str">
        <f>IF(ISNUMBER(SEARCH($G$1,INDEX(RTable[#All],MATCH(ActionTracker[[#All],[Lease Number]],RTable[[#All],[Lease Number]],0),5))),"x","")</f>
        <v>x</v>
      </c>
      <c r="H169" s="169" t="str">
        <f>IF(ISNUMBER(SEARCH($H$1,INDEX(RTable[#All],MATCH(ActionTracker[[#All],[Lease Number]],RTable[[#All],[Lease Number]],0),5))),"x","")</f>
        <v>x</v>
      </c>
      <c r="I169" s="169" t="str">
        <f>IF(ISNUMBER(SEARCH($I$1,INDEX(RTable[#All],MATCH(ActionTracker[[#All],[Lease Number]],RTable[[#All],[Lease Number]],0),5))),"x","")</f>
        <v/>
      </c>
      <c r="J169" s="169" t="str">
        <f>IF(ISNUMBER(SEARCH($J$1,INDEX(RTable[#All],MATCH(ActionTracker[[#All],[Lease Number]],RTable[[#All],[Lease Number]],0),5))),"x","")</f>
        <v/>
      </c>
      <c r="K169"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Full</v>
      </c>
      <c r="L169" s="165" t="str">
        <f>IF(ISERROR(INDEX(ContactList[#All],MATCH(ActionTracker[[#All],[Lease Number]],ContactList[[#All],[Lease Number]],0),12)),"",INDEX(ContactList[#All],MATCH(ActionTracker[[#All],[Lease Number]],ContactList[[#All],[Lease Number]],0),12))</f>
        <v>Jean
Mark</v>
      </c>
      <c r="M169" s="165" t="str">
        <f>IF(ISERROR(INDEX(ContactList[#All],MATCH(ActionTracker[[#All],[Lease Number]],ContactList[[#All],[Lease Number]],0),12)),"",INDEX(ContactList[#All],MATCH(ActionTracker[[#All],[Lease Number]],ContactList[[#All],[Lease Number]],0),13))</f>
        <v>Coles
Bennett</v>
      </c>
      <c r="N169" s="165" t="str">
        <f>IF(ISERROR(INDEX(ContactList[#All],MATCH(ActionTracker[[#All],[Lease Number]],ContactList[[#All],[Lease Number]],0),12)),"",INDEX(ContactList[#All],MATCH(ActionTracker[[#All],[Lease Number]],ContactList[[#All],[Lease Number]],0),14))</f>
        <v>jean.coles@nwhp.ca
mark.bennett@nwhp.cca</v>
      </c>
      <c r="O169" s="165" t="str">
        <f>IF(ISERROR(INDEX(ContactList[#All],MATCH(ActionTracker[[#All],[Lease Number]],ContactList[[#All],[Lease Number]],0),12)),"",INDEX(ContactList[#All],MATCH(ActionTracker[[#All],[Lease Number]],ContactList[[#All],[Lease Number]],0),15))</f>
        <v>1 888 366 6947
416 366 2000</v>
      </c>
      <c r="P169" s="166"/>
      <c r="Q169" s="167"/>
    </row>
    <row r="170" spans="1:17" x14ac:dyDescent="0.25">
      <c r="A170" s="163" t="s">
        <v>2941</v>
      </c>
      <c r="B170" s="164" t="str">
        <f>IF(ISERROR(INDEX(RTable[#All],MATCH(ActionTracker[[#All],[Lease Number]],RTable[[#All],[Lease Number]],0),1)),"",INDEX(RTable[#All],MATCH(ActionTracker[[#All],[Lease Number]],RTable[[#All],[Lease Number]],0),1))</f>
        <v>Elizabeth McKinlay</v>
      </c>
      <c r="C170" s="168" t="str">
        <f>IF(ISERROR(INDEX(RTable[#All],MATCH(ActionTracker[[#All],[Lease Number]],RTable[[#All],[Lease Number]],0),1)),"",INDEX(RTable[#All],MATCH(ActionTracker[[#All],[Lease Number]],RTable[[#All],[Lease Number]],0),2)&amp;", "&amp;INDEX(RTable[#All],MATCH(ActionTracker[[#All],[Lease Number]],RTable[[#All],[Lease Number]],0),3))</f>
        <v xml:space="preserve">83 Dawson Rd., Guelph, O.N. </v>
      </c>
      <c r="D170" s="169" t="str">
        <f>IF(ISNUMBER(SEARCH($D$1,INDEX(RTable[#All],MATCH(ActionTracker[[#All],[Lease Number]],RTable[[#All],[Lease Number]],0),5))),"x","")</f>
        <v>x</v>
      </c>
      <c r="E170" s="169" t="str">
        <f>IF(ISNUMBER(SEARCH($E$1,INDEX(RTable[#All],MATCH(ActionTracker[[#All],[Lease Number]],RTable[[#All],[Lease Number]],0),5))),"x","")</f>
        <v>x</v>
      </c>
      <c r="F170" s="169" t="str">
        <f>IF(ISNUMBER(SEARCH($F$1,INDEX(RTable[#All],MATCH(ActionTracker[[#All],[Lease Number]],RTable[[#All],[Lease Number]],0),5))),"x","")</f>
        <v>x</v>
      </c>
      <c r="G170" s="169" t="str">
        <f>IF(ISNUMBER(SEARCH($G$1,INDEX(RTable[#All],MATCH(ActionTracker[[#All],[Lease Number]],RTable[[#All],[Lease Number]],0),5))),"x","")</f>
        <v>x</v>
      </c>
      <c r="H170" s="169" t="str">
        <f>IF(ISNUMBER(SEARCH($H$1,INDEX(RTable[#All],MATCH(ActionTracker[[#All],[Lease Number]],RTable[[#All],[Lease Number]],0),5))),"x","")</f>
        <v>x</v>
      </c>
      <c r="I170" s="169" t="str">
        <f>IF(ISNUMBER(SEARCH($I$1,INDEX(RTable[#All],MATCH(ActionTracker[[#All],[Lease Number]],RTable[[#All],[Lease Number]],0),5))),"x","")</f>
        <v>x</v>
      </c>
      <c r="J170" s="169" t="str">
        <f>IF(ISNUMBER(SEARCH($J$1,INDEX(RTable[#All],MATCH(ActionTracker[[#All],[Lease Number]],RTable[[#All],[Lease Number]],0),5))),"x","")</f>
        <v/>
      </c>
      <c r="K170"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Complete</v>
      </c>
      <c r="L170" s="165" t="str">
        <f>IF(ISERROR(INDEX(ContactList[#All],MATCH(ActionTracker[[#All],[Lease Number]],ContactList[[#All],[Lease Number]],0),12)),"",INDEX(ContactList[#All],MATCH(ActionTracker[[#All],[Lease Number]],ContactList[[#All],[Lease Number]],0),12))</f>
        <v>Jean</v>
      </c>
      <c r="M170" s="165" t="str">
        <f>IF(ISERROR(INDEX(ContactList[#All],MATCH(ActionTracker[[#All],[Lease Number]],ContactList[[#All],[Lease Number]],0),12)),"",INDEX(ContactList[#All],MATCH(ActionTracker[[#All],[Lease Number]],ContactList[[#All],[Lease Number]],0),13))</f>
        <v>Coles</v>
      </c>
      <c r="N170" s="165" t="str">
        <f>IF(ISERROR(INDEX(ContactList[#All],MATCH(ActionTracker[[#All],[Lease Number]],ContactList[[#All],[Lease Number]],0),12)),"",INDEX(ContactList[#All],MATCH(ActionTracker[[#All],[Lease Number]],ContactList[[#All],[Lease Number]],0),14))</f>
        <v>jean.coles@nwhp.ca</v>
      </c>
      <c r="O170" s="165" t="str">
        <f>IF(ISERROR(INDEX(ContactList[#All],MATCH(ActionTracker[[#All],[Lease Number]],ContactList[[#All],[Lease Number]],0),12)),"",INDEX(ContactList[#All],MATCH(ActionTracker[[#All],[Lease Number]],ContactList[[#All],[Lease Number]],0),15))</f>
        <v>1 888 366 6947</v>
      </c>
      <c r="P170" s="166"/>
      <c r="Q170" s="167"/>
    </row>
    <row r="171" spans="1:17" x14ac:dyDescent="0.25">
      <c r="A171" s="163" t="s">
        <v>3096</v>
      </c>
      <c r="B171" s="164" t="str">
        <f>IF(ISERROR(INDEX(RTable[#All],MATCH(ActionTracker[[#All],[Lease Number]],RTable[[#All],[Lease Number]],0),1)),"",INDEX(RTable[#All],MATCH(ActionTracker[[#All],[Lease Number]],RTable[[#All],[Lease Number]],0),1))</f>
        <v>Albert Marchand</v>
      </c>
      <c r="C171" s="168" t="str">
        <f>IF(ISERROR(INDEX(RTable[#All],MATCH(ActionTracker[[#All],[Lease Number]],RTable[[#All],[Lease Number]],0),1)),"",INDEX(RTable[#All],MATCH(ActionTracker[[#All],[Lease Number]],RTable[[#All],[Lease Number]],0),2)&amp;", "&amp;INDEX(RTable[#All],MATCH(ActionTracker[[#All],[Lease Number]],RTable[[#All],[Lease Number]],0),3))</f>
        <v>6633 Highway #7 East, Suite 011, Markham, O.N. L3P 7P2</v>
      </c>
      <c r="D171" s="169" t="str">
        <f>IF(ISNUMBER(SEARCH($D$1,INDEX(RTable[#All],MATCH(ActionTracker[[#All],[Lease Number]],RTable[[#All],[Lease Number]],0),5))),"x","")</f>
        <v/>
      </c>
      <c r="E171" s="169" t="str">
        <f>IF(ISNUMBER(SEARCH($E$1,INDEX(RTable[#All],MATCH(ActionTracker[[#All],[Lease Number]],RTable[[#All],[Lease Number]],0),5))),"x","")</f>
        <v/>
      </c>
      <c r="F171" s="169" t="str">
        <f>IF(ISNUMBER(SEARCH($F$1,INDEX(RTable[#All],MATCH(ActionTracker[[#All],[Lease Number]],RTable[[#All],[Lease Number]],0),5))),"x","")</f>
        <v>x</v>
      </c>
      <c r="G171" s="169" t="str">
        <f>IF(ISNUMBER(SEARCH($G$1,INDEX(RTable[#All],MATCH(ActionTracker[[#All],[Lease Number]],RTable[[#All],[Lease Number]],0),5))),"x","")</f>
        <v>x</v>
      </c>
      <c r="H171" s="169" t="str">
        <f>IF(ISNUMBER(SEARCH($H$1,INDEX(RTable[#All],MATCH(ActionTracker[[#All],[Lease Number]],RTable[[#All],[Lease Number]],0),5))),"x","")</f>
        <v/>
      </c>
      <c r="I171" s="169" t="str">
        <f>IF(ISNUMBER(SEARCH($I$1,INDEX(RTable[#All],MATCH(ActionTracker[[#All],[Lease Number]],RTable[[#All],[Lease Number]],0),5))),"x","")</f>
        <v/>
      </c>
      <c r="J171" s="169" t="str">
        <f>IF(ISNUMBER(SEARCH($J$1,INDEX(RTable[#All],MATCH(ActionTracker[[#All],[Lease Number]],RTable[[#All],[Lease Number]],0),5))),"x","")</f>
        <v/>
      </c>
      <c r="K171" s="45" t="str">
        <f>IF(AND(ActionTracker[[#This Row],[Plastic]]&lt;&gt;"",ActionTracker[[#This Row],[Glass]]&lt;&gt;"",ActionTracker[[#This Row],[Paper]]&lt;&gt;"",ActionTracker[[#This Row],[Cardboard]]&lt;&gt;"",ActionTracker[[#This Row],[Metal Can]]&lt;&gt;"",ActionTracker[[#This Row],[Organic Disposals]]&lt;&gt;""),"Complete",IF(AND(ActionTracker[[#This Row],[Plastic]]&lt;&gt;"",ActionTracker[[#This Row],[Glass]]&lt;&gt;"",ActionTracker[[#This Row],[Paper]]&lt;&gt;"",ActionTracker[[#This Row],[Cardboard]]&lt;&gt;""),"Full",IF(OR(ActionTracker[[#This Row],[Plastic]]&lt;&gt;"",ActionTracker[[#This Row],[Glass]]&lt;&gt;"",ActionTracker[[#This Row],[Paper]]&lt;&gt;"",ActionTracker[[#This Row],[Cardboard]]&lt;&gt;""),"Partial","None")))</f>
        <v>Partial</v>
      </c>
      <c r="L171" s="165" t="str">
        <f>IF(ISERROR(INDEX(ContactList[#All],MATCH(ActionTracker[[#All],[Lease Number]],ContactList[[#All],[Lease Number]],0),12)),"",INDEX(ContactList[#All],MATCH(ActionTracker[[#All],[Lease Number]],ContactList[[#All],[Lease Number]],0),12))</f>
        <v>Albert</v>
      </c>
      <c r="M171" s="165" t="str">
        <f>IF(ISERROR(INDEX(ContactList[#All],MATCH(ActionTracker[[#All],[Lease Number]],ContactList[[#All],[Lease Number]],0),12)),"",INDEX(ContactList[#All],MATCH(ActionTracker[[#All],[Lease Number]],ContactList[[#All],[Lease Number]],0),13))</f>
        <v>Marchand</v>
      </c>
      <c r="N171" s="165" t="str">
        <f>IF(ISERROR(INDEX(ContactList[#All],MATCH(ActionTracker[[#All],[Lease Number]],ContactList[[#All],[Lease Number]],0),12)),"",INDEX(ContactList[#All],MATCH(ActionTracker[[#All],[Lease Number]],ContactList[[#All],[Lease Number]],0),14))</f>
        <v>albert.marchand@krestongta.com</v>
      </c>
      <c r="O171" s="165" t="str">
        <f>IF(ISERROR(INDEX(ContactList[#All],MATCH(ActionTracker[[#All],[Lease Number]],ContactList[[#All],[Lease Number]],0),12)),"",INDEX(ContactList[#All],MATCH(ActionTracker[[#All],[Lease Number]],ContactList[[#All],[Lease Number]],0),15))</f>
        <v>905 474 9839</v>
      </c>
      <c r="P171" s="166"/>
      <c r="Q171" s="167"/>
    </row>
  </sheetData>
  <conditionalFormatting sqref="K1:K1048576">
    <cfRule type="containsText" dxfId="45" priority="1" operator="containsText" text="Full">
      <formula>NOT(ISERROR(SEARCH("Full",K1)))</formula>
    </cfRule>
    <cfRule type="containsText" dxfId="44" priority="2" operator="containsText" text="Complete">
      <formula>NOT(ISERROR(SEARCH("Complete",K1)))</formula>
    </cfRule>
    <cfRule type="containsText" dxfId="43" priority="3" operator="containsText" text="None">
      <formula>NOT(ISERROR(SEARCH("None",K1)))</formula>
    </cfRule>
    <cfRule type="containsText" dxfId="42" priority="4" operator="containsText" text="Partial">
      <formula>NOT(ISERROR(SEARCH("Partial",K1)))</formula>
    </cfRule>
  </conditionalFormatting>
  <hyperlinks>
    <hyperlink ref="N154" r:id="rId1"/>
    <hyperlink ref="N153" r:id="rId2"/>
  </hyperlinks>
  <pageMargins left="0.7" right="0.7" top="0.75" bottom="0.75" header="0.3" footer="0.3"/>
  <pageSetup orientation="portrait" r:id="rId3"/>
  <legacyDrawing r:id="rId4"/>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XFD363"/>
  <sheetViews>
    <sheetView zoomScaleNormal="6" workbookViewId="0">
      <pane ySplit="3" topLeftCell="A4" activePane="bottomLeft" state="frozen"/>
      <selection pane="bottomLeft" activeCell="B3" sqref="B3"/>
    </sheetView>
  </sheetViews>
  <sheetFormatPr defaultRowHeight="12.75" x14ac:dyDescent="0.2"/>
  <cols>
    <col min="1" max="1" width="17.85546875" style="81" customWidth="1"/>
    <col min="2" max="2" width="45.7109375" style="81" bestFit="1" customWidth="1"/>
    <col min="3" max="3" width="75.42578125" style="81" bestFit="1" customWidth="1"/>
    <col min="4" max="4" width="67.42578125" style="81" bestFit="1" customWidth="1"/>
    <col min="5" max="5" width="47.140625" style="81" hidden="1" customWidth="1"/>
    <col min="6" max="6" width="30.7109375" style="81" hidden="1" customWidth="1"/>
    <col min="7" max="7" width="18" style="81" hidden="1" customWidth="1"/>
    <col min="8" max="8" width="9.28515625" style="81" hidden="1" customWidth="1"/>
    <col min="9" max="9" width="10.85546875" style="81" hidden="1" customWidth="1"/>
    <col min="10" max="10" width="12" style="81" customWidth="1"/>
    <col min="11" max="11" width="17.28515625" style="81" bestFit="1" customWidth="1"/>
    <col min="12" max="12" width="14" style="81" customWidth="1"/>
    <col min="13" max="13" width="13.7109375" style="81" customWidth="1"/>
    <col min="14" max="14" width="31.85546875" style="81" bestFit="1" customWidth="1"/>
    <col min="15" max="15" width="18.85546875" style="81" customWidth="1"/>
    <col min="16" max="16" width="13.28515625" style="81" customWidth="1"/>
    <col min="17" max="17" width="20.85546875" style="81" bestFit="1" customWidth="1"/>
    <col min="18" max="18" width="9.140625" style="81"/>
    <col min="19" max="19" width="80.42578125" style="81" bestFit="1" customWidth="1"/>
    <col min="20" max="255" width="9.140625" style="81"/>
    <col min="256" max="256" width="12.85546875" style="81" bestFit="1" customWidth="1"/>
    <col min="257" max="257" width="45.7109375" style="81" bestFit="1" customWidth="1"/>
    <col min="258" max="258" width="75.42578125" style="81" bestFit="1" customWidth="1"/>
    <col min="259" max="259" width="67.42578125" style="81" bestFit="1" customWidth="1"/>
    <col min="260" max="264" width="0" style="81" hidden="1" customWidth="1"/>
    <col min="265" max="265" width="8.7109375" style="81" customWidth="1"/>
    <col min="266" max="266" width="17.28515625" style="81" bestFit="1" customWidth="1"/>
    <col min="267" max="267" width="10.7109375" style="81" bestFit="1" customWidth="1"/>
    <col min="268" max="268" width="11.28515625" style="81" bestFit="1" customWidth="1"/>
    <col min="269" max="269" width="31.85546875" style="81" bestFit="1" customWidth="1"/>
    <col min="270" max="270" width="18.7109375" style="81" bestFit="1" customWidth="1"/>
    <col min="271" max="271" width="9.7109375" style="81" bestFit="1" customWidth="1"/>
    <col min="272" max="272" width="20.85546875" style="81" bestFit="1" customWidth="1"/>
    <col min="273" max="511" width="9.140625" style="81"/>
    <col min="512" max="512" width="12.85546875" style="81" bestFit="1" customWidth="1"/>
    <col min="513" max="513" width="45.7109375" style="81" bestFit="1" customWidth="1"/>
    <col min="514" max="514" width="75.42578125" style="81" bestFit="1" customWidth="1"/>
    <col min="515" max="515" width="67.42578125" style="81" bestFit="1" customWidth="1"/>
    <col min="516" max="520" width="0" style="81" hidden="1" customWidth="1"/>
    <col min="521" max="521" width="8.7109375" style="81" customWidth="1"/>
    <col min="522" max="522" width="17.28515625" style="81" bestFit="1" customWidth="1"/>
    <col min="523" max="523" width="10.7109375" style="81" bestFit="1" customWidth="1"/>
    <col min="524" max="524" width="11.28515625" style="81" bestFit="1" customWidth="1"/>
    <col min="525" max="525" width="31.85546875" style="81" bestFit="1" customWidth="1"/>
    <col min="526" max="526" width="18.7109375" style="81" bestFit="1" customWidth="1"/>
    <col min="527" max="527" width="9.7109375" style="81" bestFit="1" customWidth="1"/>
    <col min="528" max="528" width="20.85546875" style="81" bestFit="1" customWidth="1"/>
    <col min="529" max="767" width="9.140625" style="81"/>
    <col min="768" max="768" width="12.85546875" style="81" bestFit="1" customWidth="1"/>
    <col min="769" max="769" width="45.7109375" style="81" bestFit="1" customWidth="1"/>
    <col min="770" max="770" width="75.42578125" style="81" bestFit="1" customWidth="1"/>
    <col min="771" max="771" width="67.42578125" style="81" bestFit="1" customWidth="1"/>
    <col min="772" max="776" width="0" style="81" hidden="1" customWidth="1"/>
    <col min="777" max="777" width="8.7109375" style="81" customWidth="1"/>
    <col min="778" max="778" width="17.28515625" style="81" bestFit="1" customWidth="1"/>
    <col min="779" max="779" width="10.7109375" style="81" bestFit="1" customWidth="1"/>
    <col min="780" max="780" width="11.28515625" style="81" bestFit="1" customWidth="1"/>
    <col min="781" max="781" width="31.85546875" style="81" bestFit="1" customWidth="1"/>
    <col min="782" max="782" width="18.7109375" style="81" bestFit="1" customWidth="1"/>
    <col min="783" max="783" width="9.7109375" style="81" bestFit="1" customWidth="1"/>
    <col min="784" max="784" width="20.85546875" style="81" bestFit="1" customWidth="1"/>
    <col min="785" max="1023" width="9.140625" style="81"/>
    <col min="1024" max="1024" width="12.85546875" style="81" bestFit="1" customWidth="1"/>
    <col min="1025" max="1025" width="45.7109375" style="81" bestFit="1" customWidth="1"/>
    <col min="1026" max="1026" width="75.42578125" style="81" bestFit="1" customWidth="1"/>
    <col min="1027" max="1027" width="67.42578125" style="81" bestFit="1" customWidth="1"/>
    <col min="1028" max="1032" width="0" style="81" hidden="1" customWidth="1"/>
    <col min="1033" max="1033" width="8.7109375" style="81" customWidth="1"/>
    <col min="1034" max="1034" width="17.28515625" style="81" bestFit="1" customWidth="1"/>
    <col min="1035" max="1035" width="10.7109375" style="81" bestFit="1" customWidth="1"/>
    <col min="1036" max="1036" width="11.28515625" style="81" bestFit="1" customWidth="1"/>
    <col min="1037" max="1037" width="31.85546875" style="81" bestFit="1" customWidth="1"/>
    <col min="1038" max="1038" width="18.7109375" style="81" bestFit="1" customWidth="1"/>
    <col min="1039" max="1039" width="9.7109375" style="81" bestFit="1" customWidth="1"/>
    <col min="1040" max="1040" width="20.85546875" style="81" bestFit="1" customWidth="1"/>
    <col min="1041" max="1279" width="9.140625" style="81"/>
    <col min="1280" max="1280" width="12.85546875" style="81" bestFit="1" customWidth="1"/>
    <col min="1281" max="1281" width="45.7109375" style="81" bestFit="1" customWidth="1"/>
    <col min="1282" max="1282" width="75.42578125" style="81" bestFit="1" customWidth="1"/>
    <col min="1283" max="1283" width="67.42578125" style="81" bestFit="1" customWidth="1"/>
    <col min="1284" max="1288" width="0" style="81" hidden="1" customWidth="1"/>
    <col min="1289" max="1289" width="8.7109375" style="81" customWidth="1"/>
    <col min="1290" max="1290" width="17.28515625" style="81" bestFit="1" customWidth="1"/>
    <col min="1291" max="1291" width="10.7109375" style="81" bestFit="1" customWidth="1"/>
    <col min="1292" max="1292" width="11.28515625" style="81" bestFit="1" customWidth="1"/>
    <col min="1293" max="1293" width="31.85546875" style="81" bestFit="1" customWidth="1"/>
    <col min="1294" max="1294" width="18.7109375" style="81" bestFit="1" customWidth="1"/>
    <col min="1295" max="1295" width="9.7109375" style="81" bestFit="1" customWidth="1"/>
    <col min="1296" max="1296" width="20.85546875" style="81" bestFit="1" customWidth="1"/>
    <col min="1297" max="1535" width="9.140625" style="81"/>
    <col min="1536" max="1536" width="12.85546875" style="81" bestFit="1" customWidth="1"/>
    <col min="1537" max="1537" width="45.7109375" style="81" bestFit="1" customWidth="1"/>
    <col min="1538" max="1538" width="75.42578125" style="81" bestFit="1" customWidth="1"/>
    <col min="1539" max="1539" width="67.42578125" style="81" bestFit="1" customWidth="1"/>
    <col min="1540" max="1544" width="0" style="81" hidden="1" customWidth="1"/>
    <col min="1545" max="1545" width="8.7109375" style="81" customWidth="1"/>
    <col min="1546" max="1546" width="17.28515625" style="81" bestFit="1" customWidth="1"/>
    <col min="1547" max="1547" width="10.7109375" style="81" bestFit="1" customWidth="1"/>
    <col min="1548" max="1548" width="11.28515625" style="81" bestFit="1" customWidth="1"/>
    <col min="1549" max="1549" width="31.85546875" style="81" bestFit="1" customWidth="1"/>
    <col min="1550" max="1550" width="18.7109375" style="81" bestFit="1" customWidth="1"/>
    <col min="1551" max="1551" width="9.7109375" style="81" bestFit="1" customWidth="1"/>
    <col min="1552" max="1552" width="20.85546875" style="81" bestFit="1" customWidth="1"/>
    <col min="1553" max="1791" width="9.140625" style="81"/>
    <col min="1792" max="1792" width="12.85546875" style="81" bestFit="1" customWidth="1"/>
    <col min="1793" max="1793" width="45.7109375" style="81" bestFit="1" customWidth="1"/>
    <col min="1794" max="1794" width="75.42578125" style="81" bestFit="1" customWidth="1"/>
    <col min="1795" max="1795" width="67.42578125" style="81" bestFit="1" customWidth="1"/>
    <col min="1796" max="1800" width="0" style="81" hidden="1" customWidth="1"/>
    <col min="1801" max="1801" width="8.7109375" style="81" customWidth="1"/>
    <col min="1802" max="1802" width="17.28515625" style="81" bestFit="1" customWidth="1"/>
    <col min="1803" max="1803" width="10.7109375" style="81" bestFit="1" customWidth="1"/>
    <col min="1804" max="1804" width="11.28515625" style="81" bestFit="1" customWidth="1"/>
    <col min="1805" max="1805" width="31.85546875" style="81" bestFit="1" customWidth="1"/>
    <col min="1806" max="1806" width="18.7109375" style="81" bestFit="1" customWidth="1"/>
    <col min="1807" max="1807" width="9.7109375" style="81" bestFit="1" customWidth="1"/>
    <col min="1808" max="1808" width="20.85546875" style="81" bestFit="1" customWidth="1"/>
    <col min="1809" max="2047" width="9.140625" style="81"/>
    <col min="2048" max="2048" width="12.85546875" style="81" bestFit="1" customWidth="1"/>
    <col min="2049" max="2049" width="45.7109375" style="81" bestFit="1" customWidth="1"/>
    <col min="2050" max="2050" width="75.42578125" style="81" bestFit="1" customWidth="1"/>
    <col min="2051" max="2051" width="67.42578125" style="81" bestFit="1" customWidth="1"/>
    <col min="2052" max="2056" width="0" style="81" hidden="1" customWidth="1"/>
    <col min="2057" max="2057" width="8.7109375" style="81" customWidth="1"/>
    <col min="2058" max="2058" width="17.28515625" style="81" bestFit="1" customWidth="1"/>
    <col min="2059" max="2059" width="10.7109375" style="81" bestFit="1" customWidth="1"/>
    <col min="2060" max="2060" width="11.28515625" style="81" bestFit="1" customWidth="1"/>
    <col min="2061" max="2061" width="31.85546875" style="81" bestFit="1" customWidth="1"/>
    <col min="2062" max="2062" width="18.7109375" style="81" bestFit="1" customWidth="1"/>
    <col min="2063" max="2063" width="9.7109375" style="81" bestFit="1" customWidth="1"/>
    <col min="2064" max="2064" width="20.85546875" style="81" bestFit="1" customWidth="1"/>
    <col min="2065" max="2303" width="9.140625" style="81"/>
    <col min="2304" max="2304" width="12.85546875" style="81" bestFit="1" customWidth="1"/>
    <col min="2305" max="2305" width="45.7109375" style="81" bestFit="1" customWidth="1"/>
    <col min="2306" max="2306" width="75.42578125" style="81" bestFit="1" customWidth="1"/>
    <col min="2307" max="2307" width="67.42578125" style="81" bestFit="1" customWidth="1"/>
    <col min="2308" max="2312" width="0" style="81" hidden="1" customWidth="1"/>
    <col min="2313" max="2313" width="8.7109375" style="81" customWidth="1"/>
    <col min="2314" max="2314" width="17.28515625" style="81" bestFit="1" customWidth="1"/>
    <col min="2315" max="2315" width="10.7109375" style="81" bestFit="1" customWidth="1"/>
    <col min="2316" max="2316" width="11.28515625" style="81" bestFit="1" customWidth="1"/>
    <col min="2317" max="2317" width="31.85546875" style="81" bestFit="1" customWidth="1"/>
    <col min="2318" max="2318" width="18.7109375" style="81" bestFit="1" customWidth="1"/>
    <col min="2319" max="2319" width="9.7109375" style="81" bestFit="1" customWidth="1"/>
    <col min="2320" max="2320" width="20.85546875" style="81" bestFit="1" customWidth="1"/>
    <col min="2321" max="2559" width="9.140625" style="81"/>
    <col min="2560" max="2560" width="12.85546875" style="81" bestFit="1" customWidth="1"/>
    <col min="2561" max="2561" width="45.7109375" style="81" bestFit="1" customWidth="1"/>
    <col min="2562" max="2562" width="75.42578125" style="81" bestFit="1" customWidth="1"/>
    <col min="2563" max="2563" width="67.42578125" style="81" bestFit="1" customWidth="1"/>
    <col min="2564" max="2568" width="0" style="81" hidden="1" customWidth="1"/>
    <col min="2569" max="2569" width="8.7109375" style="81" customWidth="1"/>
    <col min="2570" max="2570" width="17.28515625" style="81" bestFit="1" customWidth="1"/>
    <col min="2571" max="2571" width="10.7109375" style="81" bestFit="1" customWidth="1"/>
    <col min="2572" max="2572" width="11.28515625" style="81" bestFit="1" customWidth="1"/>
    <col min="2573" max="2573" width="31.85546875" style="81" bestFit="1" customWidth="1"/>
    <col min="2574" max="2574" width="18.7109375" style="81" bestFit="1" customWidth="1"/>
    <col min="2575" max="2575" width="9.7109375" style="81" bestFit="1" customWidth="1"/>
    <col min="2576" max="2576" width="20.85546875" style="81" bestFit="1" customWidth="1"/>
    <col min="2577" max="2815" width="9.140625" style="81"/>
    <col min="2816" max="2816" width="12.85546875" style="81" bestFit="1" customWidth="1"/>
    <col min="2817" max="2817" width="45.7109375" style="81" bestFit="1" customWidth="1"/>
    <col min="2818" max="2818" width="75.42578125" style="81" bestFit="1" customWidth="1"/>
    <col min="2819" max="2819" width="67.42578125" style="81" bestFit="1" customWidth="1"/>
    <col min="2820" max="2824" width="0" style="81" hidden="1" customWidth="1"/>
    <col min="2825" max="2825" width="8.7109375" style="81" customWidth="1"/>
    <col min="2826" max="2826" width="17.28515625" style="81" bestFit="1" customWidth="1"/>
    <col min="2827" max="2827" width="10.7109375" style="81" bestFit="1" customWidth="1"/>
    <col min="2828" max="2828" width="11.28515625" style="81" bestFit="1" customWidth="1"/>
    <col min="2829" max="2829" width="31.85546875" style="81" bestFit="1" customWidth="1"/>
    <col min="2830" max="2830" width="18.7109375" style="81" bestFit="1" customWidth="1"/>
    <col min="2831" max="2831" width="9.7109375" style="81" bestFit="1" customWidth="1"/>
    <col min="2832" max="2832" width="20.85546875" style="81" bestFit="1" customWidth="1"/>
    <col min="2833" max="3071" width="9.140625" style="81"/>
    <col min="3072" max="3072" width="12.85546875" style="81" bestFit="1" customWidth="1"/>
    <col min="3073" max="3073" width="45.7109375" style="81" bestFit="1" customWidth="1"/>
    <col min="3074" max="3074" width="75.42578125" style="81" bestFit="1" customWidth="1"/>
    <col min="3075" max="3075" width="67.42578125" style="81" bestFit="1" customWidth="1"/>
    <col min="3076" max="3080" width="0" style="81" hidden="1" customWidth="1"/>
    <col min="3081" max="3081" width="8.7109375" style="81" customWidth="1"/>
    <col min="3082" max="3082" width="17.28515625" style="81" bestFit="1" customWidth="1"/>
    <col min="3083" max="3083" width="10.7109375" style="81" bestFit="1" customWidth="1"/>
    <col min="3084" max="3084" width="11.28515625" style="81" bestFit="1" customWidth="1"/>
    <col min="3085" max="3085" width="31.85546875" style="81" bestFit="1" customWidth="1"/>
    <col min="3086" max="3086" width="18.7109375" style="81" bestFit="1" customWidth="1"/>
    <col min="3087" max="3087" width="9.7109375" style="81" bestFit="1" customWidth="1"/>
    <col min="3088" max="3088" width="20.85546875" style="81" bestFit="1" customWidth="1"/>
    <col min="3089" max="3327" width="9.140625" style="81"/>
    <col min="3328" max="3328" width="12.85546875" style="81" bestFit="1" customWidth="1"/>
    <col min="3329" max="3329" width="45.7109375" style="81" bestFit="1" customWidth="1"/>
    <col min="3330" max="3330" width="75.42578125" style="81" bestFit="1" customWidth="1"/>
    <col min="3331" max="3331" width="67.42578125" style="81" bestFit="1" customWidth="1"/>
    <col min="3332" max="3336" width="0" style="81" hidden="1" customWidth="1"/>
    <col min="3337" max="3337" width="8.7109375" style="81" customWidth="1"/>
    <col min="3338" max="3338" width="17.28515625" style="81" bestFit="1" customWidth="1"/>
    <col min="3339" max="3339" width="10.7109375" style="81" bestFit="1" customWidth="1"/>
    <col min="3340" max="3340" width="11.28515625" style="81" bestFit="1" customWidth="1"/>
    <col min="3341" max="3341" width="31.85546875" style="81" bestFit="1" customWidth="1"/>
    <col min="3342" max="3342" width="18.7109375" style="81" bestFit="1" customWidth="1"/>
    <col min="3343" max="3343" width="9.7109375" style="81" bestFit="1" customWidth="1"/>
    <col min="3344" max="3344" width="20.85546875" style="81" bestFit="1" customWidth="1"/>
    <col min="3345" max="3583" width="9.140625" style="81"/>
    <col min="3584" max="3584" width="12.85546875" style="81" bestFit="1" customWidth="1"/>
    <col min="3585" max="3585" width="45.7109375" style="81" bestFit="1" customWidth="1"/>
    <col min="3586" max="3586" width="75.42578125" style="81" bestFit="1" customWidth="1"/>
    <col min="3587" max="3587" width="67.42578125" style="81" bestFit="1" customWidth="1"/>
    <col min="3588" max="3592" width="0" style="81" hidden="1" customWidth="1"/>
    <col min="3593" max="3593" width="8.7109375" style="81" customWidth="1"/>
    <col min="3594" max="3594" width="17.28515625" style="81" bestFit="1" customWidth="1"/>
    <col min="3595" max="3595" width="10.7109375" style="81" bestFit="1" customWidth="1"/>
    <col min="3596" max="3596" width="11.28515625" style="81" bestFit="1" customWidth="1"/>
    <col min="3597" max="3597" width="31.85546875" style="81" bestFit="1" customWidth="1"/>
    <col min="3598" max="3598" width="18.7109375" style="81" bestFit="1" customWidth="1"/>
    <col min="3599" max="3599" width="9.7109375" style="81" bestFit="1" customWidth="1"/>
    <col min="3600" max="3600" width="20.85546875" style="81" bestFit="1" customWidth="1"/>
    <col min="3601" max="3839" width="9.140625" style="81"/>
    <col min="3840" max="3840" width="12.85546875" style="81" bestFit="1" customWidth="1"/>
    <col min="3841" max="3841" width="45.7109375" style="81" bestFit="1" customWidth="1"/>
    <col min="3842" max="3842" width="75.42578125" style="81" bestFit="1" customWidth="1"/>
    <col min="3843" max="3843" width="67.42578125" style="81" bestFit="1" customWidth="1"/>
    <col min="3844" max="3848" width="0" style="81" hidden="1" customWidth="1"/>
    <col min="3849" max="3849" width="8.7109375" style="81" customWidth="1"/>
    <col min="3850" max="3850" width="17.28515625" style="81" bestFit="1" customWidth="1"/>
    <col min="3851" max="3851" width="10.7109375" style="81" bestFit="1" customWidth="1"/>
    <col min="3852" max="3852" width="11.28515625" style="81" bestFit="1" customWidth="1"/>
    <col min="3853" max="3853" width="31.85546875" style="81" bestFit="1" customWidth="1"/>
    <col min="3854" max="3854" width="18.7109375" style="81" bestFit="1" customWidth="1"/>
    <col min="3855" max="3855" width="9.7109375" style="81" bestFit="1" customWidth="1"/>
    <col min="3856" max="3856" width="20.85546875" style="81" bestFit="1" customWidth="1"/>
    <col min="3857" max="4095" width="9.140625" style="81"/>
    <col min="4096" max="4096" width="12.85546875" style="81" bestFit="1" customWidth="1"/>
    <col min="4097" max="4097" width="45.7109375" style="81" bestFit="1" customWidth="1"/>
    <col min="4098" max="4098" width="75.42578125" style="81" bestFit="1" customWidth="1"/>
    <col min="4099" max="4099" width="67.42578125" style="81" bestFit="1" customWidth="1"/>
    <col min="4100" max="4104" width="0" style="81" hidden="1" customWidth="1"/>
    <col min="4105" max="4105" width="8.7109375" style="81" customWidth="1"/>
    <col min="4106" max="4106" width="17.28515625" style="81" bestFit="1" customWidth="1"/>
    <col min="4107" max="4107" width="10.7109375" style="81" bestFit="1" customWidth="1"/>
    <col min="4108" max="4108" width="11.28515625" style="81" bestFit="1" customWidth="1"/>
    <col min="4109" max="4109" width="31.85546875" style="81" bestFit="1" customWidth="1"/>
    <col min="4110" max="4110" width="18.7109375" style="81" bestFit="1" customWidth="1"/>
    <col min="4111" max="4111" width="9.7109375" style="81" bestFit="1" customWidth="1"/>
    <col min="4112" max="4112" width="20.85546875" style="81" bestFit="1" customWidth="1"/>
    <col min="4113" max="4351" width="9.140625" style="81"/>
    <col min="4352" max="4352" width="12.85546875" style="81" bestFit="1" customWidth="1"/>
    <col min="4353" max="4353" width="45.7109375" style="81" bestFit="1" customWidth="1"/>
    <col min="4354" max="4354" width="75.42578125" style="81" bestFit="1" customWidth="1"/>
    <col min="4355" max="4355" width="67.42578125" style="81" bestFit="1" customWidth="1"/>
    <col min="4356" max="4360" width="0" style="81" hidden="1" customWidth="1"/>
    <col min="4361" max="4361" width="8.7109375" style="81" customWidth="1"/>
    <col min="4362" max="4362" width="17.28515625" style="81" bestFit="1" customWidth="1"/>
    <col min="4363" max="4363" width="10.7109375" style="81" bestFit="1" customWidth="1"/>
    <col min="4364" max="4364" width="11.28515625" style="81" bestFit="1" customWidth="1"/>
    <col min="4365" max="4365" width="31.85546875" style="81" bestFit="1" customWidth="1"/>
    <col min="4366" max="4366" width="18.7109375" style="81" bestFit="1" customWidth="1"/>
    <col min="4367" max="4367" width="9.7109375" style="81" bestFit="1" customWidth="1"/>
    <col min="4368" max="4368" width="20.85546875" style="81" bestFit="1" customWidth="1"/>
    <col min="4369" max="4607" width="9.140625" style="81"/>
    <col min="4608" max="4608" width="12.85546875" style="81" bestFit="1" customWidth="1"/>
    <col min="4609" max="4609" width="45.7109375" style="81" bestFit="1" customWidth="1"/>
    <col min="4610" max="4610" width="75.42578125" style="81" bestFit="1" customWidth="1"/>
    <col min="4611" max="4611" width="67.42578125" style="81" bestFit="1" customWidth="1"/>
    <col min="4612" max="4616" width="0" style="81" hidden="1" customWidth="1"/>
    <col min="4617" max="4617" width="8.7109375" style="81" customWidth="1"/>
    <col min="4618" max="4618" width="17.28515625" style="81" bestFit="1" customWidth="1"/>
    <col min="4619" max="4619" width="10.7109375" style="81" bestFit="1" customWidth="1"/>
    <col min="4620" max="4620" width="11.28515625" style="81" bestFit="1" customWidth="1"/>
    <col min="4621" max="4621" width="31.85546875" style="81" bestFit="1" customWidth="1"/>
    <col min="4622" max="4622" width="18.7109375" style="81" bestFit="1" customWidth="1"/>
    <col min="4623" max="4623" width="9.7109375" style="81" bestFit="1" customWidth="1"/>
    <col min="4624" max="4624" width="20.85546875" style="81" bestFit="1" customWidth="1"/>
    <col min="4625" max="4863" width="9.140625" style="81"/>
    <col min="4864" max="4864" width="12.85546875" style="81" bestFit="1" customWidth="1"/>
    <col min="4865" max="4865" width="45.7109375" style="81" bestFit="1" customWidth="1"/>
    <col min="4866" max="4866" width="75.42578125" style="81" bestFit="1" customWidth="1"/>
    <col min="4867" max="4867" width="67.42578125" style="81" bestFit="1" customWidth="1"/>
    <col min="4868" max="4872" width="0" style="81" hidden="1" customWidth="1"/>
    <col min="4873" max="4873" width="8.7109375" style="81" customWidth="1"/>
    <col min="4874" max="4874" width="17.28515625" style="81" bestFit="1" customWidth="1"/>
    <col min="4875" max="4875" width="10.7109375" style="81" bestFit="1" customWidth="1"/>
    <col min="4876" max="4876" width="11.28515625" style="81" bestFit="1" customWidth="1"/>
    <col min="4877" max="4877" width="31.85546875" style="81" bestFit="1" customWidth="1"/>
    <col min="4878" max="4878" width="18.7109375" style="81" bestFit="1" customWidth="1"/>
    <col min="4879" max="4879" width="9.7109375" style="81" bestFit="1" customWidth="1"/>
    <col min="4880" max="4880" width="20.85546875" style="81" bestFit="1" customWidth="1"/>
    <col min="4881" max="5119" width="9.140625" style="81"/>
    <col min="5120" max="5120" width="12.85546875" style="81" bestFit="1" customWidth="1"/>
    <col min="5121" max="5121" width="45.7109375" style="81" bestFit="1" customWidth="1"/>
    <col min="5122" max="5122" width="75.42578125" style="81" bestFit="1" customWidth="1"/>
    <col min="5123" max="5123" width="67.42578125" style="81" bestFit="1" customWidth="1"/>
    <col min="5124" max="5128" width="0" style="81" hidden="1" customWidth="1"/>
    <col min="5129" max="5129" width="8.7109375" style="81" customWidth="1"/>
    <col min="5130" max="5130" width="17.28515625" style="81" bestFit="1" customWidth="1"/>
    <col min="5131" max="5131" width="10.7109375" style="81" bestFit="1" customWidth="1"/>
    <col min="5132" max="5132" width="11.28515625" style="81" bestFit="1" customWidth="1"/>
    <col min="5133" max="5133" width="31.85546875" style="81" bestFit="1" customWidth="1"/>
    <col min="5134" max="5134" width="18.7109375" style="81" bestFit="1" customWidth="1"/>
    <col min="5135" max="5135" width="9.7109375" style="81" bestFit="1" customWidth="1"/>
    <col min="5136" max="5136" width="20.85546875" style="81" bestFit="1" customWidth="1"/>
    <col min="5137" max="5375" width="9.140625" style="81"/>
    <col min="5376" max="5376" width="12.85546875" style="81" bestFit="1" customWidth="1"/>
    <col min="5377" max="5377" width="45.7109375" style="81" bestFit="1" customWidth="1"/>
    <col min="5378" max="5378" width="75.42578125" style="81" bestFit="1" customWidth="1"/>
    <col min="5379" max="5379" width="67.42578125" style="81" bestFit="1" customWidth="1"/>
    <col min="5380" max="5384" width="0" style="81" hidden="1" customWidth="1"/>
    <col min="5385" max="5385" width="8.7109375" style="81" customWidth="1"/>
    <col min="5386" max="5386" width="17.28515625" style="81" bestFit="1" customWidth="1"/>
    <col min="5387" max="5387" width="10.7109375" style="81" bestFit="1" customWidth="1"/>
    <col min="5388" max="5388" width="11.28515625" style="81" bestFit="1" customWidth="1"/>
    <col min="5389" max="5389" width="31.85546875" style="81" bestFit="1" customWidth="1"/>
    <col min="5390" max="5390" width="18.7109375" style="81" bestFit="1" customWidth="1"/>
    <col min="5391" max="5391" width="9.7109375" style="81" bestFit="1" customWidth="1"/>
    <col min="5392" max="5392" width="20.85546875" style="81" bestFit="1" customWidth="1"/>
    <col min="5393" max="5631" width="9.140625" style="81"/>
    <col min="5632" max="5632" width="12.85546875" style="81" bestFit="1" customWidth="1"/>
    <col min="5633" max="5633" width="45.7109375" style="81" bestFit="1" customWidth="1"/>
    <col min="5634" max="5634" width="75.42578125" style="81" bestFit="1" customWidth="1"/>
    <col min="5635" max="5635" width="67.42578125" style="81" bestFit="1" customWidth="1"/>
    <col min="5636" max="5640" width="0" style="81" hidden="1" customWidth="1"/>
    <col min="5641" max="5641" width="8.7109375" style="81" customWidth="1"/>
    <col min="5642" max="5642" width="17.28515625" style="81" bestFit="1" customWidth="1"/>
    <col min="5643" max="5643" width="10.7109375" style="81" bestFit="1" customWidth="1"/>
    <col min="5644" max="5644" width="11.28515625" style="81" bestFit="1" customWidth="1"/>
    <col min="5645" max="5645" width="31.85546875" style="81" bestFit="1" customWidth="1"/>
    <col min="5646" max="5646" width="18.7109375" style="81" bestFit="1" customWidth="1"/>
    <col min="5647" max="5647" width="9.7109375" style="81" bestFit="1" customWidth="1"/>
    <col min="5648" max="5648" width="20.85546875" style="81" bestFit="1" customWidth="1"/>
    <col min="5649" max="5887" width="9.140625" style="81"/>
    <col min="5888" max="5888" width="12.85546875" style="81" bestFit="1" customWidth="1"/>
    <col min="5889" max="5889" width="45.7109375" style="81" bestFit="1" customWidth="1"/>
    <col min="5890" max="5890" width="75.42578125" style="81" bestFit="1" customWidth="1"/>
    <col min="5891" max="5891" width="67.42578125" style="81" bestFit="1" customWidth="1"/>
    <col min="5892" max="5896" width="0" style="81" hidden="1" customWidth="1"/>
    <col min="5897" max="5897" width="8.7109375" style="81" customWidth="1"/>
    <col min="5898" max="5898" width="17.28515625" style="81" bestFit="1" customWidth="1"/>
    <col min="5899" max="5899" width="10.7109375" style="81" bestFit="1" customWidth="1"/>
    <col min="5900" max="5900" width="11.28515625" style="81" bestFit="1" customWidth="1"/>
    <col min="5901" max="5901" width="31.85546875" style="81" bestFit="1" customWidth="1"/>
    <col min="5902" max="5902" width="18.7109375" style="81" bestFit="1" customWidth="1"/>
    <col min="5903" max="5903" width="9.7109375" style="81" bestFit="1" customWidth="1"/>
    <col min="5904" max="5904" width="20.85546875" style="81" bestFit="1" customWidth="1"/>
    <col min="5905" max="6143" width="9.140625" style="81"/>
    <col min="6144" max="6144" width="12.85546875" style="81" bestFit="1" customWidth="1"/>
    <col min="6145" max="6145" width="45.7109375" style="81" bestFit="1" customWidth="1"/>
    <col min="6146" max="6146" width="75.42578125" style="81" bestFit="1" customWidth="1"/>
    <col min="6147" max="6147" width="67.42578125" style="81" bestFit="1" customWidth="1"/>
    <col min="6148" max="6152" width="0" style="81" hidden="1" customWidth="1"/>
    <col min="6153" max="6153" width="8.7109375" style="81" customWidth="1"/>
    <col min="6154" max="6154" width="17.28515625" style="81" bestFit="1" customWidth="1"/>
    <col min="6155" max="6155" width="10.7109375" style="81" bestFit="1" customWidth="1"/>
    <col min="6156" max="6156" width="11.28515625" style="81" bestFit="1" customWidth="1"/>
    <col min="6157" max="6157" width="31.85546875" style="81" bestFit="1" customWidth="1"/>
    <col min="6158" max="6158" width="18.7109375" style="81" bestFit="1" customWidth="1"/>
    <col min="6159" max="6159" width="9.7109375" style="81" bestFit="1" customWidth="1"/>
    <col min="6160" max="6160" width="20.85546875" style="81" bestFit="1" customWidth="1"/>
    <col min="6161" max="6399" width="9.140625" style="81"/>
    <col min="6400" max="6400" width="12.85546875" style="81" bestFit="1" customWidth="1"/>
    <col min="6401" max="6401" width="45.7109375" style="81" bestFit="1" customWidth="1"/>
    <col min="6402" max="6402" width="75.42578125" style="81" bestFit="1" customWidth="1"/>
    <col min="6403" max="6403" width="67.42578125" style="81" bestFit="1" customWidth="1"/>
    <col min="6404" max="6408" width="0" style="81" hidden="1" customWidth="1"/>
    <col min="6409" max="6409" width="8.7109375" style="81" customWidth="1"/>
    <col min="6410" max="6410" width="17.28515625" style="81" bestFit="1" customWidth="1"/>
    <col min="6411" max="6411" width="10.7109375" style="81" bestFit="1" customWidth="1"/>
    <col min="6412" max="6412" width="11.28515625" style="81" bestFit="1" customWidth="1"/>
    <col min="6413" max="6413" width="31.85546875" style="81" bestFit="1" customWidth="1"/>
    <col min="6414" max="6414" width="18.7109375" style="81" bestFit="1" customWidth="1"/>
    <col min="6415" max="6415" width="9.7109375" style="81" bestFit="1" customWidth="1"/>
    <col min="6416" max="6416" width="20.85546875" style="81" bestFit="1" customWidth="1"/>
    <col min="6417" max="6655" width="9.140625" style="81"/>
    <col min="6656" max="6656" width="12.85546875" style="81" bestFit="1" customWidth="1"/>
    <col min="6657" max="6657" width="45.7109375" style="81" bestFit="1" customWidth="1"/>
    <col min="6658" max="6658" width="75.42578125" style="81" bestFit="1" customWidth="1"/>
    <col min="6659" max="6659" width="67.42578125" style="81" bestFit="1" customWidth="1"/>
    <col min="6660" max="6664" width="0" style="81" hidden="1" customWidth="1"/>
    <col min="6665" max="6665" width="8.7109375" style="81" customWidth="1"/>
    <col min="6666" max="6666" width="17.28515625" style="81" bestFit="1" customWidth="1"/>
    <col min="6667" max="6667" width="10.7109375" style="81" bestFit="1" customWidth="1"/>
    <col min="6668" max="6668" width="11.28515625" style="81" bestFit="1" customWidth="1"/>
    <col min="6669" max="6669" width="31.85546875" style="81" bestFit="1" customWidth="1"/>
    <col min="6670" max="6670" width="18.7109375" style="81" bestFit="1" customWidth="1"/>
    <col min="6671" max="6671" width="9.7109375" style="81" bestFit="1" customWidth="1"/>
    <col min="6672" max="6672" width="20.85546875" style="81" bestFit="1" customWidth="1"/>
    <col min="6673" max="6911" width="9.140625" style="81"/>
    <col min="6912" max="6912" width="12.85546875" style="81" bestFit="1" customWidth="1"/>
    <col min="6913" max="6913" width="45.7109375" style="81" bestFit="1" customWidth="1"/>
    <col min="6914" max="6914" width="75.42578125" style="81" bestFit="1" customWidth="1"/>
    <col min="6915" max="6915" width="67.42578125" style="81" bestFit="1" customWidth="1"/>
    <col min="6916" max="6920" width="0" style="81" hidden="1" customWidth="1"/>
    <col min="6921" max="6921" width="8.7109375" style="81" customWidth="1"/>
    <col min="6922" max="6922" width="17.28515625" style="81" bestFit="1" customWidth="1"/>
    <col min="6923" max="6923" width="10.7109375" style="81" bestFit="1" customWidth="1"/>
    <col min="6924" max="6924" width="11.28515625" style="81" bestFit="1" customWidth="1"/>
    <col min="6925" max="6925" width="31.85546875" style="81" bestFit="1" customWidth="1"/>
    <col min="6926" max="6926" width="18.7109375" style="81" bestFit="1" customWidth="1"/>
    <col min="6927" max="6927" width="9.7109375" style="81" bestFit="1" customWidth="1"/>
    <col min="6928" max="6928" width="20.85546875" style="81" bestFit="1" customWidth="1"/>
    <col min="6929" max="7167" width="9.140625" style="81"/>
    <col min="7168" max="7168" width="12.85546875" style="81" bestFit="1" customWidth="1"/>
    <col min="7169" max="7169" width="45.7109375" style="81" bestFit="1" customWidth="1"/>
    <col min="7170" max="7170" width="75.42578125" style="81" bestFit="1" customWidth="1"/>
    <col min="7171" max="7171" width="67.42578125" style="81" bestFit="1" customWidth="1"/>
    <col min="7172" max="7176" width="0" style="81" hidden="1" customWidth="1"/>
    <col min="7177" max="7177" width="8.7109375" style="81" customWidth="1"/>
    <col min="7178" max="7178" width="17.28515625" style="81" bestFit="1" customWidth="1"/>
    <col min="7179" max="7179" width="10.7109375" style="81" bestFit="1" customWidth="1"/>
    <col min="7180" max="7180" width="11.28515625" style="81" bestFit="1" customWidth="1"/>
    <col min="7181" max="7181" width="31.85546875" style="81" bestFit="1" customWidth="1"/>
    <col min="7182" max="7182" width="18.7109375" style="81" bestFit="1" customWidth="1"/>
    <col min="7183" max="7183" width="9.7109375" style="81" bestFit="1" customWidth="1"/>
    <col min="7184" max="7184" width="20.85546875" style="81" bestFit="1" customWidth="1"/>
    <col min="7185" max="7423" width="9.140625" style="81"/>
    <col min="7424" max="7424" width="12.85546875" style="81" bestFit="1" customWidth="1"/>
    <col min="7425" max="7425" width="45.7109375" style="81" bestFit="1" customWidth="1"/>
    <col min="7426" max="7426" width="75.42578125" style="81" bestFit="1" customWidth="1"/>
    <col min="7427" max="7427" width="67.42578125" style="81" bestFit="1" customWidth="1"/>
    <col min="7428" max="7432" width="0" style="81" hidden="1" customWidth="1"/>
    <col min="7433" max="7433" width="8.7109375" style="81" customWidth="1"/>
    <col min="7434" max="7434" width="17.28515625" style="81" bestFit="1" customWidth="1"/>
    <col min="7435" max="7435" width="10.7109375" style="81" bestFit="1" customWidth="1"/>
    <col min="7436" max="7436" width="11.28515625" style="81" bestFit="1" customWidth="1"/>
    <col min="7437" max="7437" width="31.85546875" style="81" bestFit="1" customWidth="1"/>
    <col min="7438" max="7438" width="18.7109375" style="81" bestFit="1" customWidth="1"/>
    <col min="7439" max="7439" width="9.7109375" style="81" bestFit="1" customWidth="1"/>
    <col min="7440" max="7440" width="20.85546875" style="81" bestFit="1" customWidth="1"/>
    <col min="7441" max="7679" width="9.140625" style="81"/>
    <col min="7680" max="7680" width="12.85546875" style="81" bestFit="1" customWidth="1"/>
    <col min="7681" max="7681" width="45.7109375" style="81" bestFit="1" customWidth="1"/>
    <col min="7682" max="7682" width="75.42578125" style="81" bestFit="1" customWidth="1"/>
    <col min="7683" max="7683" width="67.42578125" style="81" bestFit="1" customWidth="1"/>
    <col min="7684" max="7688" width="0" style="81" hidden="1" customWidth="1"/>
    <col min="7689" max="7689" width="8.7109375" style="81" customWidth="1"/>
    <col min="7690" max="7690" width="17.28515625" style="81" bestFit="1" customWidth="1"/>
    <col min="7691" max="7691" width="10.7109375" style="81" bestFit="1" customWidth="1"/>
    <col min="7692" max="7692" width="11.28515625" style="81" bestFit="1" customWidth="1"/>
    <col min="7693" max="7693" width="31.85546875" style="81" bestFit="1" customWidth="1"/>
    <col min="7694" max="7694" width="18.7109375" style="81" bestFit="1" customWidth="1"/>
    <col min="7695" max="7695" width="9.7109375" style="81" bestFit="1" customWidth="1"/>
    <col min="7696" max="7696" width="20.85546875" style="81" bestFit="1" customWidth="1"/>
    <col min="7697" max="7935" width="9.140625" style="81"/>
    <col min="7936" max="7936" width="12.85546875" style="81" bestFit="1" customWidth="1"/>
    <col min="7937" max="7937" width="45.7109375" style="81" bestFit="1" customWidth="1"/>
    <col min="7938" max="7938" width="75.42578125" style="81" bestFit="1" customWidth="1"/>
    <col min="7939" max="7939" width="67.42578125" style="81" bestFit="1" customWidth="1"/>
    <col min="7940" max="7944" width="0" style="81" hidden="1" customWidth="1"/>
    <col min="7945" max="7945" width="8.7109375" style="81" customWidth="1"/>
    <col min="7946" max="7946" width="17.28515625" style="81" bestFit="1" customWidth="1"/>
    <col min="7947" max="7947" width="10.7109375" style="81" bestFit="1" customWidth="1"/>
    <col min="7948" max="7948" width="11.28515625" style="81" bestFit="1" customWidth="1"/>
    <col min="7949" max="7949" width="31.85546875" style="81" bestFit="1" customWidth="1"/>
    <col min="7950" max="7950" width="18.7109375" style="81" bestFit="1" customWidth="1"/>
    <col min="7951" max="7951" width="9.7109375" style="81" bestFit="1" customWidth="1"/>
    <col min="7952" max="7952" width="20.85546875" style="81" bestFit="1" customWidth="1"/>
    <col min="7953" max="8191" width="9.140625" style="81"/>
    <col min="8192" max="8192" width="12.85546875" style="81" bestFit="1" customWidth="1"/>
    <col min="8193" max="8193" width="45.7109375" style="81" bestFit="1" customWidth="1"/>
    <col min="8194" max="8194" width="75.42578125" style="81" bestFit="1" customWidth="1"/>
    <col min="8195" max="8195" width="67.42578125" style="81" bestFit="1" customWidth="1"/>
    <col min="8196" max="8200" width="0" style="81" hidden="1" customWidth="1"/>
    <col min="8201" max="8201" width="8.7109375" style="81" customWidth="1"/>
    <col min="8202" max="8202" width="17.28515625" style="81" bestFit="1" customWidth="1"/>
    <col min="8203" max="8203" width="10.7109375" style="81" bestFit="1" customWidth="1"/>
    <col min="8204" max="8204" width="11.28515625" style="81" bestFit="1" customWidth="1"/>
    <col min="8205" max="8205" width="31.85546875" style="81" bestFit="1" customWidth="1"/>
    <col min="8206" max="8206" width="18.7109375" style="81" bestFit="1" customWidth="1"/>
    <col min="8207" max="8207" width="9.7109375" style="81" bestFit="1" customWidth="1"/>
    <col min="8208" max="8208" width="20.85546875" style="81" bestFit="1" customWidth="1"/>
    <col min="8209" max="8447" width="9.140625" style="81"/>
    <col min="8448" max="8448" width="12.85546875" style="81" bestFit="1" customWidth="1"/>
    <col min="8449" max="8449" width="45.7109375" style="81" bestFit="1" customWidth="1"/>
    <col min="8450" max="8450" width="75.42578125" style="81" bestFit="1" customWidth="1"/>
    <col min="8451" max="8451" width="67.42578125" style="81" bestFit="1" customWidth="1"/>
    <col min="8452" max="8456" width="0" style="81" hidden="1" customWidth="1"/>
    <col min="8457" max="8457" width="8.7109375" style="81" customWidth="1"/>
    <col min="8458" max="8458" width="17.28515625" style="81" bestFit="1" customWidth="1"/>
    <col min="8459" max="8459" width="10.7109375" style="81" bestFit="1" customWidth="1"/>
    <col min="8460" max="8460" width="11.28515625" style="81" bestFit="1" customWidth="1"/>
    <col min="8461" max="8461" width="31.85546875" style="81" bestFit="1" customWidth="1"/>
    <col min="8462" max="8462" width="18.7109375" style="81" bestFit="1" customWidth="1"/>
    <col min="8463" max="8463" width="9.7109375" style="81" bestFit="1" customWidth="1"/>
    <col min="8464" max="8464" width="20.85546875" style="81" bestFit="1" customWidth="1"/>
    <col min="8465" max="8703" width="9.140625" style="81"/>
    <col min="8704" max="8704" width="12.85546875" style="81" bestFit="1" customWidth="1"/>
    <col min="8705" max="8705" width="45.7109375" style="81" bestFit="1" customWidth="1"/>
    <col min="8706" max="8706" width="75.42578125" style="81" bestFit="1" customWidth="1"/>
    <col min="8707" max="8707" width="67.42578125" style="81" bestFit="1" customWidth="1"/>
    <col min="8708" max="8712" width="0" style="81" hidden="1" customWidth="1"/>
    <col min="8713" max="8713" width="8.7109375" style="81" customWidth="1"/>
    <col min="8714" max="8714" width="17.28515625" style="81" bestFit="1" customWidth="1"/>
    <col min="8715" max="8715" width="10.7109375" style="81" bestFit="1" customWidth="1"/>
    <col min="8716" max="8716" width="11.28515625" style="81" bestFit="1" customWidth="1"/>
    <col min="8717" max="8717" width="31.85546875" style="81" bestFit="1" customWidth="1"/>
    <col min="8718" max="8718" width="18.7109375" style="81" bestFit="1" customWidth="1"/>
    <col min="8719" max="8719" width="9.7109375" style="81" bestFit="1" customWidth="1"/>
    <col min="8720" max="8720" width="20.85546875" style="81" bestFit="1" customWidth="1"/>
    <col min="8721" max="8959" width="9.140625" style="81"/>
    <col min="8960" max="8960" width="12.85546875" style="81" bestFit="1" customWidth="1"/>
    <col min="8961" max="8961" width="45.7109375" style="81" bestFit="1" customWidth="1"/>
    <col min="8962" max="8962" width="75.42578125" style="81" bestFit="1" customWidth="1"/>
    <col min="8963" max="8963" width="67.42578125" style="81" bestFit="1" customWidth="1"/>
    <col min="8964" max="8968" width="0" style="81" hidden="1" customWidth="1"/>
    <col min="8969" max="8969" width="8.7109375" style="81" customWidth="1"/>
    <col min="8970" max="8970" width="17.28515625" style="81" bestFit="1" customWidth="1"/>
    <col min="8971" max="8971" width="10.7109375" style="81" bestFit="1" customWidth="1"/>
    <col min="8972" max="8972" width="11.28515625" style="81" bestFit="1" customWidth="1"/>
    <col min="8973" max="8973" width="31.85546875" style="81" bestFit="1" customWidth="1"/>
    <col min="8974" max="8974" width="18.7109375" style="81" bestFit="1" customWidth="1"/>
    <col min="8975" max="8975" width="9.7109375" style="81" bestFit="1" customWidth="1"/>
    <col min="8976" max="8976" width="20.85546875" style="81" bestFit="1" customWidth="1"/>
    <col min="8977" max="9215" width="9.140625" style="81"/>
    <col min="9216" max="9216" width="12.85546875" style="81" bestFit="1" customWidth="1"/>
    <col min="9217" max="9217" width="45.7109375" style="81" bestFit="1" customWidth="1"/>
    <col min="9218" max="9218" width="75.42578125" style="81" bestFit="1" customWidth="1"/>
    <col min="9219" max="9219" width="67.42578125" style="81" bestFit="1" customWidth="1"/>
    <col min="9220" max="9224" width="0" style="81" hidden="1" customWidth="1"/>
    <col min="9225" max="9225" width="8.7109375" style="81" customWidth="1"/>
    <col min="9226" max="9226" width="17.28515625" style="81" bestFit="1" customWidth="1"/>
    <col min="9227" max="9227" width="10.7109375" style="81" bestFit="1" customWidth="1"/>
    <col min="9228" max="9228" width="11.28515625" style="81" bestFit="1" customWidth="1"/>
    <col min="9229" max="9229" width="31.85546875" style="81" bestFit="1" customWidth="1"/>
    <col min="9230" max="9230" width="18.7109375" style="81" bestFit="1" customWidth="1"/>
    <col min="9231" max="9231" width="9.7109375" style="81" bestFit="1" customWidth="1"/>
    <col min="9232" max="9232" width="20.85546875" style="81" bestFit="1" customWidth="1"/>
    <col min="9233" max="9471" width="9.140625" style="81"/>
    <col min="9472" max="9472" width="12.85546875" style="81" bestFit="1" customWidth="1"/>
    <col min="9473" max="9473" width="45.7109375" style="81" bestFit="1" customWidth="1"/>
    <col min="9474" max="9474" width="75.42578125" style="81" bestFit="1" customWidth="1"/>
    <col min="9475" max="9475" width="67.42578125" style="81" bestFit="1" customWidth="1"/>
    <col min="9476" max="9480" width="0" style="81" hidden="1" customWidth="1"/>
    <col min="9481" max="9481" width="8.7109375" style="81" customWidth="1"/>
    <col min="9482" max="9482" width="17.28515625" style="81" bestFit="1" customWidth="1"/>
    <col min="9483" max="9483" width="10.7109375" style="81" bestFit="1" customWidth="1"/>
    <col min="9484" max="9484" width="11.28515625" style="81" bestFit="1" customWidth="1"/>
    <col min="9485" max="9485" width="31.85546875" style="81" bestFit="1" customWidth="1"/>
    <col min="9486" max="9486" width="18.7109375" style="81" bestFit="1" customWidth="1"/>
    <col min="9487" max="9487" width="9.7109375" style="81" bestFit="1" customWidth="1"/>
    <col min="9488" max="9488" width="20.85546875" style="81" bestFit="1" customWidth="1"/>
    <col min="9489" max="9727" width="9.140625" style="81"/>
    <col min="9728" max="9728" width="12.85546875" style="81" bestFit="1" customWidth="1"/>
    <col min="9729" max="9729" width="45.7109375" style="81" bestFit="1" customWidth="1"/>
    <col min="9730" max="9730" width="75.42578125" style="81" bestFit="1" customWidth="1"/>
    <col min="9731" max="9731" width="67.42578125" style="81" bestFit="1" customWidth="1"/>
    <col min="9732" max="9736" width="0" style="81" hidden="1" customWidth="1"/>
    <col min="9737" max="9737" width="8.7109375" style="81" customWidth="1"/>
    <col min="9738" max="9738" width="17.28515625" style="81" bestFit="1" customWidth="1"/>
    <col min="9739" max="9739" width="10.7109375" style="81" bestFit="1" customWidth="1"/>
    <col min="9740" max="9740" width="11.28515625" style="81" bestFit="1" customWidth="1"/>
    <col min="9741" max="9741" width="31.85546875" style="81" bestFit="1" customWidth="1"/>
    <col min="9742" max="9742" width="18.7109375" style="81" bestFit="1" customWidth="1"/>
    <col min="9743" max="9743" width="9.7109375" style="81" bestFit="1" customWidth="1"/>
    <col min="9744" max="9744" width="20.85546875" style="81" bestFit="1" customWidth="1"/>
    <col min="9745" max="9983" width="9.140625" style="81"/>
    <col min="9984" max="9984" width="12.85546875" style="81" bestFit="1" customWidth="1"/>
    <col min="9985" max="9985" width="45.7109375" style="81" bestFit="1" customWidth="1"/>
    <col min="9986" max="9986" width="75.42578125" style="81" bestFit="1" customWidth="1"/>
    <col min="9987" max="9987" width="67.42578125" style="81" bestFit="1" customWidth="1"/>
    <col min="9988" max="9992" width="0" style="81" hidden="1" customWidth="1"/>
    <col min="9993" max="9993" width="8.7109375" style="81" customWidth="1"/>
    <col min="9994" max="9994" width="17.28515625" style="81" bestFit="1" customWidth="1"/>
    <col min="9995" max="9995" width="10.7109375" style="81" bestFit="1" customWidth="1"/>
    <col min="9996" max="9996" width="11.28515625" style="81" bestFit="1" customWidth="1"/>
    <col min="9997" max="9997" width="31.85546875" style="81" bestFit="1" customWidth="1"/>
    <col min="9998" max="9998" width="18.7109375" style="81" bestFit="1" customWidth="1"/>
    <col min="9999" max="9999" width="9.7109375" style="81" bestFit="1" customWidth="1"/>
    <col min="10000" max="10000" width="20.85546875" style="81" bestFit="1" customWidth="1"/>
    <col min="10001" max="10239" width="9.140625" style="81"/>
    <col min="10240" max="10240" width="12.85546875" style="81" bestFit="1" customWidth="1"/>
    <col min="10241" max="10241" width="45.7109375" style="81" bestFit="1" customWidth="1"/>
    <col min="10242" max="10242" width="75.42578125" style="81" bestFit="1" customWidth="1"/>
    <col min="10243" max="10243" width="67.42578125" style="81" bestFit="1" customWidth="1"/>
    <col min="10244" max="10248" width="0" style="81" hidden="1" customWidth="1"/>
    <col min="10249" max="10249" width="8.7109375" style="81" customWidth="1"/>
    <col min="10250" max="10250" width="17.28515625" style="81" bestFit="1" customWidth="1"/>
    <col min="10251" max="10251" width="10.7109375" style="81" bestFit="1" customWidth="1"/>
    <col min="10252" max="10252" width="11.28515625" style="81" bestFit="1" customWidth="1"/>
    <col min="10253" max="10253" width="31.85546875" style="81" bestFit="1" customWidth="1"/>
    <col min="10254" max="10254" width="18.7109375" style="81" bestFit="1" customWidth="1"/>
    <col min="10255" max="10255" width="9.7109375" style="81" bestFit="1" customWidth="1"/>
    <col min="10256" max="10256" width="20.85546875" style="81" bestFit="1" customWidth="1"/>
    <col min="10257" max="10495" width="9.140625" style="81"/>
    <col min="10496" max="10496" width="12.85546875" style="81" bestFit="1" customWidth="1"/>
    <col min="10497" max="10497" width="45.7109375" style="81" bestFit="1" customWidth="1"/>
    <col min="10498" max="10498" width="75.42578125" style="81" bestFit="1" customWidth="1"/>
    <col min="10499" max="10499" width="67.42578125" style="81" bestFit="1" customWidth="1"/>
    <col min="10500" max="10504" width="0" style="81" hidden="1" customWidth="1"/>
    <col min="10505" max="10505" width="8.7109375" style="81" customWidth="1"/>
    <col min="10506" max="10506" width="17.28515625" style="81" bestFit="1" customWidth="1"/>
    <col min="10507" max="10507" width="10.7109375" style="81" bestFit="1" customWidth="1"/>
    <col min="10508" max="10508" width="11.28515625" style="81" bestFit="1" customWidth="1"/>
    <col min="10509" max="10509" width="31.85546875" style="81" bestFit="1" customWidth="1"/>
    <col min="10510" max="10510" width="18.7109375" style="81" bestFit="1" customWidth="1"/>
    <col min="10511" max="10511" width="9.7109375" style="81" bestFit="1" customWidth="1"/>
    <col min="10512" max="10512" width="20.85546875" style="81" bestFit="1" customWidth="1"/>
    <col min="10513" max="10751" width="9.140625" style="81"/>
    <col min="10752" max="10752" width="12.85546875" style="81" bestFit="1" customWidth="1"/>
    <col min="10753" max="10753" width="45.7109375" style="81" bestFit="1" customWidth="1"/>
    <col min="10754" max="10754" width="75.42578125" style="81" bestFit="1" customWidth="1"/>
    <col min="10755" max="10755" width="67.42578125" style="81" bestFit="1" customWidth="1"/>
    <col min="10756" max="10760" width="0" style="81" hidden="1" customWidth="1"/>
    <col min="10761" max="10761" width="8.7109375" style="81" customWidth="1"/>
    <col min="10762" max="10762" width="17.28515625" style="81" bestFit="1" customWidth="1"/>
    <col min="10763" max="10763" width="10.7109375" style="81" bestFit="1" customWidth="1"/>
    <col min="10764" max="10764" width="11.28515625" style="81" bestFit="1" customWidth="1"/>
    <col min="10765" max="10765" width="31.85546875" style="81" bestFit="1" customWidth="1"/>
    <col min="10766" max="10766" width="18.7109375" style="81" bestFit="1" customWidth="1"/>
    <col min="10767" max="10767" width="9.7109375" style="81" bestFit="1" customWidth="1"/>
    <col min="10768" max="10768" width="20.85546875" style="81" bestFit="1" customWidth="1"/>
    <col min="10769" max="11007" width="9.140625" style="81"/>
    <col min="11008" max="11008" width="12.85546875" style="81" bestFit="1" customWidth="1"/>
    <col min="11009" max="11009" width="45.7109375" style="81" bestFit="1" customWidth="1"/>
    <col min="11010" max="11010" width="75.42578125" style="81" bestFit="1" customWidth="1"/>
    <col min="11011" max="11011" width="67.42578125" style="81" bestFit="1" customWidth="1"/>
    <col min="11012" max="11016" width="0" style="81" hidden="1" customWidth="1"/>
    <col min="11017" max="11017" width="8.7109375" style="81" customWidth="1"/>
    <col min="11018" max="11018" width="17.28515625" style="81" bestFit="1" customWidth="1"/>
    <col min="11019" max="11019" width="10.7109375" style="81" bestFit="1" customWidth="1"/>
    <col min="11020" max="11020" width="11.28515625" style="81" bestFit="1" customWidth="1"/>
    <col min="11021" max="11021" width="31.85546875" style="81" bestFit="1" customWidth="1"/>
    <col min="11022" max="11022" width="18.7109375" style="81" bestFit="1" customWidth="1"/>
    <col min="11023" max="11023" width="9.7109375" style="81" bestFit="1" customWidth="1"/>
    <col min="11024" max="11024" width="20.85546875" style="81" bestFit="1" customWidth="1"/>
    <col min="11025" max="11263" width="9.140625" style="81"/>
    <col min="11264" max="11264" width="12.85546875" style="81" bestFit="1" customWidth="1"/>
    <col min="11265" max="11265" width="45.7109375" style="81" bestFit="1" customWidth="1"/>
    <col min="11266" max="11266" width="75.42578125" style="81" bestFit="1" customWidth="1"/>
    <col min="11267" max="11267" width="67.42578125" style="81" bestFit="1" customWidth="1"/>
    <col min="11268" max="11272" width="0" style="81" hidden="1" customWidth="1"/>
    <col min="11273" max="11273" width="8.7109375" style="81" customWidth="1"/>
    <col min="11274" max="11274" width="17.28515625" style="81" bestFit="1" customWidth="1"/>
    <col min="11275" max="11275" width="10.7109375" style="81" bestFit="1" customWidth="1"/>
    <col min="11276" max="11276" width="11.28515625" style="81" bestFit="1" customWidth="1"/>
    <col min="11277" max="11277" width="31.85546875" style="81" bestFit="1" customWidth="1"/>
    <col min="11278" max="11278" width="18.7109375" style="81" bestFit="1" customWidth="1"/>
    <col min="11279" max="11279" width="9.7109375" style="81" bestFit="1" customWidth="1"/>
    <col min="11280" max="11280" width="20.85546875" style="81" bestFit="1" customWidth="1"/>
    <col min="11281" max="11519" width="9.140625" style="81"/>
    <col min="11520" max="11520" width="12.85546875" style="81" bestFit="1" customWidth="1"/>
    <col min="11521" max="11521" width="45.7109375" style="81" bestFit="1" customWidth="1"/>
    <col min="11522" max="11522" width="75.42578125" style="81" bestFit="1" customWidth="1"/>
    <col min="11523" max="11523" width="67.42578125" style="81" bestFit="1" customWidth="1"/>
    <col min="11524" max="11528" width="0" style="81" hidden="1" customWidth="1"/>
    <col min="11529" max="11529" width="8.7109375" style="81" customWidth="1"/>
    <col min="11530" max="11530" width="17.28515625" style="81" bestFit="1" customWidth="1"/>
    <col min="11531" max="11531" width="10.7109375" style="81" bestFit="1" customWidth="1"/>
    <col min="11532" max="11532" width="11.28515625" style="81" bestFit="1" customWidth="1"/>
    <col min="11533" max="11533" width="31.85546875" style="81" bestFit="1" customWidth="1"/>
    <col min="11534" max="11534" width="18.7109375" style="81" bestFit="1" customWidth="1"/>
    <col min="11535" max="11535" width="9.7109375" style="81" bestFit="1" customWidth="1"/>
    <col min="11536" max="11536" width="20.85546875" style="81" bestFit="1" customWidth="1"/>
    <col min="11537" max="11775" width="9.140625" style="81"/>
    <col min="11776" max="11776" width="12.85546875" style="81" bestFit="1" customWidth="1"/>
    <col min="11777" max="11777" width="45.7109375" style="81" bestFit="1" customWidth="1"/>
    <col min="11778" max="11778" width="75.42578125" style="81" bestFit="1" customWidth="1"/>
    <col min="11779" max="11779" width="67.42578125" style="81" bestFit="1" customWidth="1"/>
    <col min="11780" max="11784" width="0" style="81" hidden="1" customWidth="1"/>
    <col min="11785" max="11785" width="8.7109375" style="81" customWidth="1"/>
    <col min="11786" max="11786" width="17.28515625" style="81" bestFit="1" customWidth="1"/>
    <col min="11787" max="11787" width="10.7109375" style="81" bestFit="1" customWidth="1"/>
    <col min="11788" max="11788" width="11.28515625" style="81" bestFit="1" customWidth="1"/>
    <col min="11789" max="11789" width="31.85546875" style="81" bestFit="1" customWidth="1"/>
    <col min="11790" max="11790" width="18.7109375" style="81" bestFit="1" customWidth="1"/>
    <col min="11791" max="11791" width="9.7109375" style="81" bestFit="1" customWidth="1"/>
    <col min="11792" max="11792" width="20.85546875" style="81" bestFit="1" customWidth="1"/>
    <col min="11793" max="12031" width="9.140625" style="81"/>
    <col min="12032" max="12032" width="12.85546875" style="81" bestFit="1" customWidth="1"/>
    <col min="12033" max="12033" width="45.7109375" style="81" bestFit="1" customWidth="1"/>
    <col min="12034" max="12034" width="75.42578125" style="81" bestFit="1" customWidth="1"/>
    <col min="12035" max="12035" width="67.42578125" style="81" bestFit="1" customWidth="1"/>
    <col min="12036" max="12040" width="0" style="81" hidden="1" customWidth="1"/>
    <col min="12041" max="12041" width="8.7109375" style="81" customWidth="1"/>
    <col min="12042" max="12042" width="17.28515625" style="81" bestFit="1" customWidth="1"/>
    <col min="12043" max="12043" width="10.7109375" style="81" bestFit="1" customWidth="1"/>
    <col min="12044" max="12044" width="11.28515625" style="81" bestFit="1" customWidth="1"/>
    <col min="12045" max="12045" width="31.85546875" style="81" bestFit="1" customWidth="1"/>
    <col min="12046" max="12046" width="18.7109375" style="81" bestFit="1" customWidth="1"/>
    <col min="12047" max="12047" width="9.7109375" style="81" bestFit="1" customWidth="1"/>
    <col min="12048" max="12048" width="20.85546875" style="81" bestFit="1" customWidth="1"/>
    <col min="12049" max="12287" width="9.140625" style="81"/>
    <col min="12288" max="12288" width="12.85546875" style="81" bestFit="1" customWidth="1"/>
    <col min="12289" max="12289" width="45.7109375" style="81" bestFit="1" customWidth="1"/>
    <col min="12290" max="12290" width="75.42578125" style="81" bestFit="1" customWidth="1"/>
    <col min="12291" max="12291" width="67.42578125" style="81" bestFit="1" customWidth="1"/>
    <col min="12292" max="12296" width="0" style="81" hidden="1" customWidth="1"/>
    <col min="12297" max="12297" width="8.7109375" style="81" customWidth="1"/>
    <col min="12298" max="12298" width="17.28515625" style="81" bestFit="1" customWidth="1"/>
    <col min="12299" max="12299" width="10.7109375" style="81" bestFit="1" customWidth="1"/>
    <col min="12300" max="12300" width="11.28515625" style="81" bestFit="1" customWidth="1"/>
    <col min="12301" max="12301" width="31.85546875" style="81" bestFit="1" customWidth="1"/>
    <col min="12302" max="12302" width="18.7109375" style="81" bestFit="1" customWidth="1"/>
    <col min="12303" max="12303" width="9.7109375" style="81" bestFit="1" customWidth="1"/>
    <col min="12304" max="12304" width="20.85546875" style="81" bestFit="1" customWidth="1"/>
    <col min="12305" max="12543" width="9.140625" style="81"/>
    <col min="12544" max="12544" width="12.85546875" style="81" bestFit="1" customWidth="1"/>
    <col min="12545" max="12545" width="45.7109375" style="81" bestFit="1" customWidth="1"/>
    <col min="12546" max="12546" width="75.42578125" style="81" bestFit="1" customWidth="1"/>
    <col min="12547" max="12547" width="67.42578125" style="81" bestFit="1" customWidth="1"/>
    <col min="12548" max="12552" width="0" style="81" hidden="1" customWidth="1"/>
    <col min="12553" max="12553" width="8.7109375" style="81" customWidth="1"/>
    <col min="12554" max="12554" width="17.28515625" style="81" bestFit="1" customWidth="1"/>
    <col min="12555" max="12555" width="10.7109375" style="81" bestFit="1" customWidth="1"/>
    <col min="12556" max="12556" width="11.28515625" style="81" bestFit="1" customWidth="1"/>
    <col min="12557" max="12557" width="31.85546875" style="81" bestFit="1" customWidth="1"/>
    <col min="12558" max="12558" width="18.7109375" style="81" bestFit="1" customWidth="1"/>
    <col min="12559" max="12559" width="9.7109375" style="81" bestFit="1" customWidth="1"/>
    <col min="12560" max="12560" width="20.85546875" style="81" bestFit="1" customWidth="1"/>
    <col min="12561" max="12799" width="9.140625" style="81"/>
    <col min="12800" max="12800" width="12.85546875" style="81" bestFit="1" customWidth="1"/>
    <col min="12801" max="12801" width="45.7109375" style="81" bestFit="1" customWidth="1"/>
    <col min="12802" max="12802" width="75.42578125" style="81" bestFit="1" customWidth="1"/>
    <col min="12803" max="12803" width="67.42578125" style="81" bestFit="1" customWidth="1"/>
    <col min="12804" max="12808" width="0" style="81" hidden="1" customWidth="1"/>
    <col min="12809" max="12809" width="8.7109375" style="81" customWidth="1"/>
    <col min="12810" max="12810" width="17.28515625" style="81" bestFit="1" customWidth="1"/>
    <col min="12811" max="12811" width="10.7109375" style="81" bestFit="1" customWidth="1"/>
    <col min="12812" max="12812" width="11.28515625" style="81" bestFit="1" customWidth="1"/>
    <col min="12813" max="12813" width="31.85546875" style="81" bestFit="1" customWidth="1"/>
    <col min="12814" max="12814" width="18.7109375" style="81" bestFit="1" customWidth="1"/>
    <col min="12815" max="12815" width="9.7109375" style="81" bestFit="1" customWidth="1"/>
    <col min="12816" max="12816" width="20.85546875" style="81" bestFit="1" customWidth="1"/>
    <col min="12817" max="13055" width="9.140625" style="81"/>
    <col min="13056" max="13056" width="12.85546875" style="81" bestFit="1" customWidth="1"/>
    <col min="13057" max="13057" width="45.7109375" style="81" bestFit="1" customWidth="1"/>
    <col min="13058" max="13058" width="75.42578125" style="81" bestFit="1" customWidth="1"/>
    <col min="13059" max="13059" width="67.42578125" style="81" bestFit="1" customWidth="1"/>
    <col min="13060" max="13064" width="0" style="81" hidden="1" customWidth="1"/>
    <col min="13065" max="13065" width="8.7109375" style="81" customWidth="1"/>
    <col min="13066" max="13066" width="17.28515625" style="81" bestFit="1" customWidth="1"/>
    <col min="13067" max="13067" width="10.7109375" style="81" bestFit="1" customWidth="1"/>
    <col min="13068" max="13068" width="11.28515625" style="81" bestFit="1" customWidth="1"/>
    <col min="13069" max="13069" width="31.85546875" style="81" bestFit="1" customWidth="1"/>
    <col min="13070" max="13070" width="18.7109375" style="81" bestFit="1" customWidth="1"/>
    <col min="13071" max="13071" width="9.7109375" style="81" bestFit="1" customWidth="1"/>
    <col min="13072" max="13072" width="20.85546875" style="81" bestFit="1" customWidth="1"/>
    <col min="13073" max="13311" width="9.140625" style="81"/>
    <col min="13312" max="13312" width="12.85546875" style="81" bestFit="1" customWidth="1"/>
    <col min="13313" max="13313" width="45.7109375" style="81" bestFit="1" customWidth="1"/>
    <col min="13314" max="13314" width="75.42578125" style="81" bestFit="1" customWidth="1"/>
    <col min="13315" max="13315" width="67.42578125" style="81" bestFit="1" customWidth="1"/>
    <col min="13316" max="13320" width="0" style="81" hidden="1" customWidth="1"/>
    <col min="13321" max="13321" width="8.7109375" style="81" customWidth="1"/>
    <col min="13322" max="13322" width="17.28515625" style="81" bestFit="1" customWidth="1"/>
    <col min="13323" max="13323" width="10.7109375" style="81" bestFit="1" customWidth="1"/>
    <col min="13324" max="13324" width="11.28515625" style="81" bestFit="1" customWidth="1"/>
    <col min="13325" max="13325" width="31.85546875" style="81" bestFit="1" customWidth="1"/>
    <col min="13326" max="13326" width="18.7109375" style="81" bestFit="1" customWidth="1"/>
    <col min="13327" max="13327" width="9.7109375" style="81" bestFit="1" customWidth="1"/>
    <col min="13328" max="13328" width="20.85546875" style="81" bestFit="1" customWidth="1"/>
    <col min="13329" max="13567" width="9.140625" style="81"/>
    <col min="13568" max="13568" width="12.85546875" style="81" bestFit="1" customWidth="1"/>
    <col min="13569" max="13569" width="45.7109375" style="81" bestFit="1" customWidth="1"/>
    <col min="13570" max="13570" width="75.42578125" style="81" bestFit="1" customWidth="1"/>
    <col min="13571" max="13571" width="67.42578125" style="81" bestFit="1" customWidth="1"/>
    <col min="13572" max="13576" width="0" style="81" hidden="1" customWidth="1"/>
    <col min="13577" max="13577" width="8.7109375" style="81" customWidth="1"/>
    <col min="13578" max="13578" width="17.28515625" style="81" bestFit="1" customWidth="1"/>
    <col min="13579" max="13579" width="10.7109375" style="81" bestFit="1" customWidth="1"/>
    <col min="13580" max="13580" width="11.28515625" style="81" bestFit="1" customWidth="1"/>
    <col min="13581" max="13581" width="31.85546875" style="81" bestFit="1" customWidth="1"/>
    <col min="13582" max="13582" width="18.7109375" style="81" bestFit="1" customWidth="1"/>
    <col min="13583" max="13583" width="9.7109375" style="81" bestFit="1" customWidth="1"/>
    <col min="13584" max="13584" width="20.85546875" style="81" bestFit="1" customWidth="1"/>
    <col min="13585" max="13823" width="9.140625" style="81"/>
    <col min="13824" max="13824" width="12.85546875" style="81" bestFit="1" customWidth="1"/>
    <col min="13825" max="13825" width="45.7109375" style="81" bestFit="1" customWidth="1"/>
    <col min="13826" max="13826" width="75.42578125" style="81" bestFit="1" customWidth="1"/>
    <col min="13827" max="13827" width="67.42578125" style="81" bestFit="1" customWidth="1"/>
    <col min="13828" max="13832" width="0" style="81" hidden="1" customWidth="1"/>
    <col min="13833" max="13833" width="8.7109375" style="81" customWidth="1"/>
    <col min="13834" max="13834" width="17.28515625" style="81" bestFit="1" customWidth="1"/>
    <col min="13835" max="13835" width="10.7109375" style="81" bestFit="1" customWidth="1"/>
    <col min="13836" max="13836" width="11.28515625" style="81" bestFit="1" customWidth="1"/>
    <col min="13837" max="13837" width="31.85546875" style="81" bestFit="1" customWidth="1"/>
    <col min="13838" max="13838" width="18.7109375" style="81" bestFit="1" customWidth="1"/>
    <col min="13839" max="13839" width="9.7109375" style="81" bestFit="1" customWidth="1"/>
    <col min="13840" max="13840" width="20.85546875" style="81" bestFit="1" customWidth="1"/>
    <col min="13841" max="14079" width="9.140625" style="81"/>
    <col min="14080" max="14080" width="12.85546875" style="81" bestFit="1" customWidth="1"/>
    <col min="14081" max="14081" width="45.7109375" style="81" bestFit="1" customWidth="1"/>
    <col min="14082" max="14082" width="75.42578125" style="81" bestFit="1" customWidth="1"/>
    <col min="14083" max="14083" width="67.42578125" style="81" bestFit="1" customWidth="1"/>
    <col min="14084" max="14088" width="0" style="81" hidden="1" customWidth="1"/>
    <col min="14089" max="14089" width="8.7109375" style="81" customWidth="1"/>
    <col min="14090" max="14090" width="17.28515625" style="81" bestFit="1" customWidth="1"/>
    <col min="14091" max="14091" width="10.7109375" style="81" bestFit="1" customWidth="1"/>
    <col min="14092" max="14092" width="11.28515625" style="81" bestFit="1" customWidth="1"/>
    <col min="14093" max="14093" width="31.85546875" style="81" bestFit="1" customWidth="1"/>
    <col min="14094" max="14094" width="18.7109375" style="81" bestFit="1" customWidth="1"/>
    <col min="14095" max="14095" width="9.7109375" style="81" bestFit="1" customWidth="1"/>
    <col min="14096" max="14096" width="20.85546875" style="81" bestFit="1" customWidth="1"/>
    <col min="14097" max="14335" width="9.140625" style="81"/>
    <col min="14336" max="14336" width="12.85546875" style="81" bestFit="1" customWidth="1"/>
    <col min="14337" max="14337" width="45.7109375" style="81" bestFit="1" customWidth="1"/>
    <col min="14338" max="14338" width="75.42578125" style="81" bestFit="1" customWidth="1"/>
    <col min="14339" max="14339" width="67.42578125" style="81" bestFit="1" customWidth="1"/>
    <col min="14340" max="14344" width="0" style="81" hidden="1" customWidth="1"/>
    <col min="14345" max="14345" width="8.7109375" style="81" customWidth="1"/>
    <col min="14346" max="14346" width="17.28515625" style="81" bestFit="1" customWidth="1"/>
    <col min="14347" max="14347" width="10.7109375" style="81" bestFit="1" customWidth="1"/>
    <col min="14348" max="14348" width="11.28515625" style="81" bestFit="1" customWidth="1"/>
    <col min="14349" max="14349" width="31.85546875" style="81" bestFit="1" customWidth="1"/>
    <col min="14350" max="14350" width="18.7109375" style="81" bestFit="1" customWidth="1"/>
    <col min="14351" max="14351" width="9.7109375" style="81" bestFit="1" customWidth="1"/>
    <col min="14352" max="14352" width="20.85546875" style="81" bestFit="1" customWidth="1"/>
    <col min="14353" max="14591" width="9.140625" style="81"/>
    <col min="14592" max="14592" width="12.85546875" style="81" bestFit="1" customWidth="1"/>
    <col min="14593" max="14593" width="45.7109375" style="81" bestFit="1" customWidth="1"/>
    <col min="14594" max="14594" width="75.42578125" style="81" bestFit="1" customWidth="1"/>
    <col min="14595" max="14595" width="67.42578125" style="81" bestFit="1" customWidth="1"/>
    <col min="14596" max="14600" width="0" style="81" hidden="1" customWidth="1"/>
    <col min="14601" max="14601" width="8.7109375" style="81" customWidth="1"/>
    <col min="14602" max="14602" width="17.28515625" style="81" bestFit="1" customWidth="1"/>
    <col min="14603" max="14603" width="10.7109375" style="81" bestFit="1" customWidth="1"/>
    <col min="14604" max="14604" width="11.28515625" style="81" bestFit="1" customWidth="1"/>
    <col min="14605" max="14605" width="31.85546875" style="81" bestFit="1" customWidth="1"/>
    <col min="14606" max="14606" width="18.7109375" style="81" bestFit="1" customWidth="1"/>
    <col min="14607" max="14607" width="9.7109375" style="81" bestFit="1" customWidth="1"/>
    <col min="14608" max="14608" width="20.85546875" style="81" bestFit="1" customWidth="1"/>
    <col min="14609" max="14847" width="9.140625" style="81"/>
    <col min="14848" max="14848" width="12.85546875" style="81" bestFit="1" customWidth="1"/>
    <col min="14849" max="14849" width="45.7109375" style="81" bestFit="1" customWidth="1"/>
    <col min="14850" max="14850" width="75.42578125" style="81" bestFit="1" customWidth="1"/>
    <col min="14851" max="14851" width="67.42578125" style="81" bestFit="1" customWidth="1"/>
    <col min="14852" max="14856" width="0" style="81" hidden="1" customWidth="1"/>
    <col min="14857" max="14857" width="8.7109375" style="81" customWidth="1"/>
    <col min="14858" max="14858" width="17.28515625" style="81" bestFit="1" customWidth="1"/>
    <col min="14859" max="14859" width="10.7109375" style="81" bestFit="1" customWidth="1"/>
    <col min="14860" max="14860" width="11.28515625" style="81" bestFit="1" customWidth="1"/>
    <col min="14861" max="14861" width="31.85546875" style="81" bestFit="1" customWidth="1"/>
    <col min="14862" max="14862" width="18.7109375" style="81" bestFit="1" customWidth="1"/>
    <col min="14863" max="14863" width="9.7109375" style="81" bestFit="1" customWidth="1"/>
    <col min="14864" max="14864" width="20.85546875" style="81" bestFit="1" customWidth="1"/>
    <col min="14865" max="15103" width="9.140625" style="81"/>
    <col min="15104" max="15104" width="12.85546875" style="81" bestFit="1" customWidth="1"/>
    <col min="15105" max="15105" width="45.7109375" style="81" bestFit="1" customWidth="1"/>
    <col min="15106" max="15106" width="75.42578125" style="81" bestFit="1" customWidth="1"/>
    <col min="15107" max="15107" width="67.42578125" style="81" bestFit="1" customWidth="1"/>
    <col min="15108" max="15112" width="0" style="81" hidden="1" customWidth="1"/>
    <col min="15113" max="15113" width="8.7109375" style="81" customWidth="1"/>
    <col min="15114" max="15114" width="17.28515625" style="81" bestFit="1" customWidth="1"/>
    <col min="15115" max="15115" width="10.7109375" style="81" bestFit="1" customWidth="1"/>
    <col min="15116" max="15116" width="11.28515625" style="81" bestFit="1" customWidth="1"/>
    <col min="15117" max="15117" width="31.85546875" style="81" bestFit="1" customWidth="1"/>
    <col min="15118" max="15118" width="18.7109375" style="81" bestFit="1" customWidth="1"/>
    <col min="15119" max="15119" width="9.7109375" style="81" bestFit="1" customWidth="1"/>
    <col min="15120" max="15120" width="20.85546875" style="81" bestFit="1" customWidth="1"/>
    <col min="15121" max="15359" width="9.140625" style="81"/>
    <col min="15360" max="15360" width="12.85546875" style="81" bestFit="1" customWidth="1"/>
    <col min="15361" max="15361" width="45.7109375" style="81" bestFit="1" customWidth="1"/>
    <col min="15362" max="15362" width="75.42578125" style="81" bestFit="1" customWidth="1"/>
    <col min="15363" max="15363" width="67.42578125" style="81" bestFit="1" customWidth="1"/>
    <col min="15364" max="15368" width="0" style="81" hidden="1" customWidth="1"/>
    <col min="15369" max="15369" width="8.7109375" style="81" customWidth="1"/>
    <col min="15370" max="15370" width="17.28515625" style="81" bestFit="1" customWidth="1"/>
    <col min="15371" max="15371" width="10.7109375" style="81" bestFit="1" customWidth="1"/>
    <col min="15372" max="15372" width="11.28515625" style="81" bestFit="1" customWidth="1"/>
    <col min="15373" max="15373" width="31.85546875" style="81" bestFit="1" customWidth="1"/>
    <col min="15374" max="15374" width="18.7109375" style="81" bestFit="1" customWidth="1"/>
    <col min="15375" max="15375" width="9.7109375" style="81" bestFit="1" customWidth="1"/>
    <col min="15376" max="15376" width="20.85546875" style="81" bestFit="1" customWidth="1"/>
    <col min="15377" max="15615" width="9.140625" style="81"/>
    <col min="15616" max="15616" width="12.85546875" style="81" bestFit="1" customWidth="1"/>
    <col min="15617" max="15617" width="45.7109375" style="81" bestFit="1" customWidth="1"/>
    <col min="15618" max="15618" width="75.42578125" style="81" bestFit="1" customWidth="1"/>
    <col min="15619" max="15619" width="67.42578125" style="81" bestFit="1" customWidth="1"/>
    <col min="15620" max="15624" width="0" style="81" hidden="1" customWidth="1"/>
    <col min="15625" max="15625" width="8.7109375" style="81" customWidth="1"/>
    <col min="15626" max="15626" width="17.28515625" style="81" bestFit="1" customWidth="1"/>
    <col min="15627" max="15627" width="10.7109375" style="81" bestFit="1" customWidth="1"/>
    <col min="15628" max="15628" width="11.28515625" style="81" bestFit="1" customWidth="1"/>
    <col min="15629" max="15629" width="31.85546875" style="81" bestFit="1" customWidth="1"/>
    <col min="15630" max="15630" width="18.7109375" style="81" bestFit="1" customWidth="1"/>
    <col min="15631" max="15631" width="9.7109375" style="81" bestFit="1" customWidth="1"/>
    <col min="15632" max="15632" width="20.85546875" style="81" bestFit="1" customWidth="1"/>
    <col min="15633" max="15871" width="9.140625" style="81"/>
    <col min="15872" max="15872" width="12.85546875" style="81" bestFit="1" customWidth="1"/>
    <col min="15873" max="15873" width="45.7109375" style="81" bestFit="1" customWidth="1"/>
    <col min="15874" max="15874" width="75.42578125" style="81" bestFit="1" customWidth="1"/>
    <col min="15875" max="15875" width="67.42578125" style="81" bestFit="1" customWidth="1"/>
    <col min="15876" max="15880" width="0" style="81" hidden="1" customWidth="1"/>
    <col min="15881" max="15881" width="8.7109375" style="81" customWidth="1"/>
    <col min="15882" max="15882" width="17.28515625" style="81" bestFit="1" customWidth="1"/>
    <col min="15883" max="15883" width="10.7109375" style="81" bestFit="1" customWidth="1"/>
    <col min="15884" max="15884" width="11.28515625" style="81" bestFit="1" customWidth="1"/>
    <col min="15885" max="15885" width="31.85546875" style="81" bestFit="1" customWidth="1"/>
    <col min="15886" max="15886" width="18.7109375" style="81" bestFit="1" customWidth="1"/>
    <col min="15887" max="15887" width="9.7109375" style="81" bestFit="1" customWidth="1"/>
    <col min="15888" max="15888" width="20.85546875" style="81" bestFit="1" customWidth="1"/>
    <col min="15889" max="16127" width="9.140625" style="81"/>
    <col min="16128" max="16128" width="12.85546875" style="81" bestFit="1" customWidth="1"/>
    <col min="16129" max="16129" width="45.7109375" style="81" bestFit="1" customWidth="1"/>
    <col min="16130" max="16130" width="75.42578125" style="81" bestFit="1" customWidth="1"/>
    <col min="16131" max="16131" width="67.42578125" style="81" bestFit="1" customWidth="1"/>
    <col min="16132" max="16136" width="0" style="81" hidden="1" customWidth="1"/>
    <col min="16137" max="16137" width="8.7109375" style="81" customWidth="1"/>
    <col min="16138" max="16138" width="17.28515625" style="81" bestFit="1" customWidth="1"/>
    <col min="16139" max="16139" width="10.7109375" style="81" bestFit="1" customWidth="1"/>
    <col min="16140" max="16140" width="11.28515625" style="81" bestFit="1" customWidth="1"/>
    <col min="16141" max="16141" width="31.85546875" style="81" bestFit="1" customWidth="1"/>
    <col min="16142" max="16142" width="18.7109375" style="81" bestFit="1" customWidth="1"/>
    <col min="16143" max="16143" width="9.7109375" style="81" bestFit="1" customWidth="1"/>
    <col min="16144" max="16144" width="20.85546875" style="81" bestFit="1" customWidth="1"/>
    <col min="16145" max="16384" width="9.140625" style="81"/>
  </cols>
  <sheetData>
    <row r="1" spans="1:19" s="78" customFormat="1" x14ac:dyDescent="0.2">
      <c r="A1" s="78" t="s">
        <v>1228</v>
      </c>
    </row>
    <row r="2" spans="1:19" s="142" customFormat="1" x14ac:dyDescent="0.2"/>
    <row r="3" spans="1:19" s="79" customFormat="1" ht="15" x14ac:dyDescent="0.2">
      <c r="A3" s="104" t="s">
        <v>582</v>
      </c>
      <c r="B3" s="105" t="s">
        <v>13</v>
      </c>
      <c r="C3" s="105" t="s">
        <v>636</v>
      </c>
      <c r="D3" s="105" t="s">
        <v>637</v>
      </c>
      <c r="E3" s="105" t="s">
        <v>1229</v>
      </c>
      <c r="F3" s="105" t="s">
        <v>1230</v>
      </c>
      <c r="G3" s="105" t="s">
        <v>1231</v>
      </c>
      <c r="H3" s="105" t="s">
        <v>17</v>
      </c>
      <c r="I3" s="105" t="s">
        <v>1232</v>
      </c>
      <c r="J3" s="105" t="s">
        <v>638</v>
      </c>
      <c r="K3" s="105" t="s">
        <v>639</v>
      </c>
      <c r="L3" s="105" t="s">
        <v>465</v>
      </c>
      <c r="M3" s="105" t="s">
        <v>466</v>
      </c>
      <c r="N3" s="105" t="s">
        <v>467</v>
      </c>
      <c r="O3" s="106" t="s">
        <v>468</v>
      </c>
      <c r="P3" s="105" t="s">
        <v>640</v>
      </c>
      <c r="Q3" s="105" t="s">
        <v>641</v>
      </c>
      <c r="R3" s="122" t="s">
        <v>1734</v>
      </c>
      <c r="S3" s="122" t="s">
        <v>1736</v>
      </c>
    </row>
    <row r="4" spans="1:19" ht="14.25" customHeight="1" x14ac:dyDescent="0.2">
      <c r="A4" s="102" t="s">
        <v>1233</v>
      </c>
      <c r="B4" s="82" t="s">
        <v>1234</v>
      </c>
      <c r="C4" s="82" t="s">
        <v>1235</v>
      </c>
      <c r="D4" s="82" t="s">
        <v>1236</v>
      </c>
      <c r="E4" s="82" t="s">
        <v>1237</v>
      </c>
      <c r="F4" s="82"/>
      <c r="G4" s="82" t="s">
        <v>1238</v>
      </c>
      <c r="H4" s="82" t="s">
        <v>1239</v>
      </c>
      <c r="I4" s="82" t="s">
        <v>1240</v>
      </c>
      <c r="J4" s="82" t="s">
        <v>645</v>
      </c>
      <c r="K4" s="82" t="s">
        <v>739</v>
      </c>
      <c r="L4" s="82" t="s">
        <v>939</v>
      </c>
      <c r="M4" s="82" t="s">
        <v>1241</v>
      </c>
      <c r="N4" s="82" t="s">
        <v>1242</v>
      </c>
      <c r="O4" s="82" t="s">
        <v>1243</v>
      </c>
      <c r="P4" s="82"/>
      <c r="Q4" s="82" t="s">
        <v>1244</v>
      </c>
      <c r="R4" s="120" t="s">
        <v>1733</v>
      </c>
      <c r="S4" s="120"/>
    </row>
    <row r="5" spans="1:19" ht="14.25" customHeight="1" x14ac:dyDescent="0.2">
      <c r="A5" s="102" t="s">
        <v>584</v>
      </c>
      <c r="B5" s="82" t="s">
        <v>642</v>
      </c>
      <c r="C5" s="82" t="s">
        <v>643</v>
      </c>
      <c r="D5" s="82" t="s">
        <v>644</v>
      </c>
      <c r="E5" s="80"/>
      <c r="F5" s="80"/>
      <c r="G5" s="80" t="s">
        <v>1245</v>
      </c>
      <c r="H5" s="80" t="s">
        <v>18</v>
      </c>
      <c r="I5" s="80" t="s">
        <v>1246</v>
      </c>
      <c r="J5" s="82" t="s">
        <v>645</v>
      </c>
      <c r="K5" s="82" t="s">
        <v>646</v>
      </c>
      <c r="L5" s="82" t="s">
        <v>647</v>
      </c>
      <c r="M5" s="82" t="s">
        <v>648</v>
      </c>
      <c r="N5" s="82" t="s">
        <v>649</v>
      </c>
      <c r="O5" s="82" t="s">
        <v>650</v>
      </c>
      <c r="P5" s="82"/>
      <c r="Q5" s="82" t="s">
        <v>568</v>
      </c>
      <c r="R5" s="119" t="s">
        <v>1733</v>
      </c>
      <c r="S5" s="155"/>
    </row>
    <row r="6" spans="1:19" ht="14.25" customHeight="1" x14ac:dyDescent="0.2">
      <c r="A6" s="102" t="s">
        <v>585</v>
      </c>
      <c r="B6" s="82" t="s">
        <v>652</v>
      </c>
      <c r="C6" s="82" t="s">
        <v>653</v>
      </c>
      <c r="D6" s="82" t="s">
        <v>654</v>
      </c>
      <c r="E6" s="80"/>
      <c r="F6" s="80"/>
      <c r="G6" s="80" t="s">
        <v>1247</v>
      </c>
      <c r="H6" s="80" t="s">
        <v>18</v>
      </c>
      <c r="I6" s="80" t="s">
        <v>1248</v>
      </c>
      <c r="J6" s="82" t="s">
        <v>655</v>
      </c>
      <c r="K6" s="82" t="s">
        <v>646</v>
      </c>
      <c r="L6" s="82" t="s">
        <v>656</v>
      </c>
      <c r="M6" s="82" t="s">
        <v>657</v>
      </c>
      <c r="N6" s="82" t="s">
        <v>658</v>
      </c>
      <c r="O6" s="82" t="s">
        <v>659</v>
      </c>
      <c r="P6" s="82"/>
      <c r="Q6" s="82" t="s">
        <v>568</v>
      </c>
      <c r="R6" s="119" t="s">
        <v>1733</v>
      </c>
      <c r="S6" s="155"/>
    </row>
    <row r="7" spans="1:19" ht="14.25" customHeight="1" x14ac:dyDescent="0.2">
      <c r="A7" s="101" t="s">
        <v>660</v>
      </c>
      <c r="B7" s="80" t="s">
        <v>661</v>
      </c>
      <c r="C7" s="80" t="s">
        <v>662</v>
      </c>
      <c r="D7" s="80" t="s">
        <v>663</v>
      </c>
      <c r="E7" s="80"/>
      <c r="F7" s="80"/>
      <c r="G7" s="80" t="s">
        <v>1249</v>
      </c>
      <c r="H7" s="80" t="s">
        <v>18</v>
      </c>
      <c r="I7" s="80" t="s">
        <v>1250</v>
      </c>
      <c r="J7" s="80" t="s">
        <v>655</v>
      </c>
      <c r="K7" s="80" t="s">
        <v>646</v>
      </c>
      <c r="L7" s="80" t="s">
        <v>664</v>
      </c>
      <c r="M7" s="80" t="s">
        <v>665</v>
      </c>
      <c r="N7" s="80" t="s">
        <v>666</v>
      </c>
      <c r="O7" s="80" t="s">
        <v>349</v>
      </c>
      <c r="P7" s="80" t="s">
        <v>667</v>
      </c>
      <c r="Q7" s="80" t="s">
        <v>568</v>
      </c>
      <c r="R7" s="119"/>
      <c r="S7" s="155" t="s">
        <v>1735</v>
      </c>
    </row>
    <row r="8" spans="1:19" ht="15" customHeight="1" x14ac:dyDescent="0.2">
      <c r="A8" s="102" t="s">
        <v>586</v>
      </c>
      <c r="B8" s="82" t="s">
        <v>668</v>
      </c>
      <c r="C8" s="82" t="s">
        <v>669</v>
      </c>
      <c r="D8" s="82" t="s">
        <v>670</v>
      </c>
      <c r="E8" s="80" t="s">
        <v>1251</v>
      </c>
      <c r="F8" s="80"/>
      <c r="G8" s="80" t="s">
        <v>1252</v>
      </c>
      <c r="H8" s="80" t="s">
        <v>18</v>
      </c>
      <c r="I8" s="80" t="s">
        <v>1253</v>
      </c>
      <c r="J8" s="82" t="s">
        <v>645</v>
      </c>
      <c r="K8" s="82" t="s">
        <v>646</v>
      </c>
      <c r="L8" s="82" t="s">
        <v>671</v>
      </c>
      <c r="M8" s="82" t="s">
        <v>672</v>
      </c>
      <c r="N8" s="82" t="s">
        <v>673</v>
      </c>
      <c r="O8" s="82" t="s">
        <v>674</v>
      </c>
      <c r="P8" s="82"/>
      <c r="Q8" s="82" t="s">
        <v>568</v>
      </c>
      <c r="R8" s="119" t="s">
        <v>1733</v>
      </c>
      <c r="S8" s="155"/>
    </row>
    <row r="9" spans="1:19" ht="15" customHeight="1" x14ac:dyDescent="0.2">
      <c r="A9" s="101" t="s">
        <v>675</v>
      </c>
      <c r="B9" s="80" t="s">
        <v>676</v>
      </c>
      <c r="C9" s="80" t="s">
        <v>677</v>
      </c>
      <c r="D9" s="80" t="s">
        <v>678</v>
      </c>
      <c r="E9" s="80"/>
      <c r="F9" s="80"/>
      <c r="G9" s="80" t="s">
        <v>1254</v>
      </c>
      <c r="H9" s="80" t="s">
        <v>18</v>
      </c>
      <c r="I9" s="80" t="s">
        <v>1255</v>
      </c>
      <c r="J9" s="80" t="s">
        <v>655</v>
      </c>
      <c r="K9" s="80" t="s">
        <v>646</v>
      </c>
      <c r="L9" s="80" t="s">
        <v>475</v>
      </c>
      <c r="M9" s="80" t="s">
        <v>679</v>
      </c>
      <c r="N9" s="80" t="s">
        <v>680</v>
      </c>
      <c r="O9" s="80" t="s">
        <v>681</v>
      </c>
      <c r="P9" s="80"/>
      <c r="Q9" s="80" t="s">
        <v>568</v>
      </c>
      <c r="R9" s="119"/>
      <c r="S9" s="155"/>
    </row>
    <row r="10" spans="1:19" ht="15" customHeight="1" x14ac:dyDescent="0.2">
      <c r="A10" s="102" t="s">
        <v>682</v>
      </c>
      <c r="B10" s="82" t="s">
        <v>683</v>
      </c>
      <c r="C10" s="82" t="s">
        <v>684</v>
      </c>
      <c r="D10" s="82" t="s">
        <v>685</v>
      </c>
      <c r="E10" s="82" t="s">
        <v>1256</v>
      </c>
      <c r="F10" s="82"/>
      <c r="G10" s="82" t="s">
        <v>1249</v>
      </c>
      <c r="H10" s="82" t="s">
        <v>18</v>
      </c>
      <c r="I10" s="82" t="s">
        <v>1257</v>
      </c>
      <c r="J10" s="82" t="s">
        <v>655</v>
      </c>
      <c r="K10" s="82" t="s">
        <v>646</v>
      </c>
      <c r="L10" s="82" t="s">
        <v>564</v>
      </c>
      <c r="M10" s="82" t="s">
        <v>686</v>
      </c>
      <c r="N10" s="82" t="s">
        <v>687</v>
      </c>
      <c r="O10" s="82" t="s">
        <v>688</v>
      </c>
      <c r="P10" s="82"/>
      <c r="Q10" s="82" t="s">
        <v>568</v>
      </c>
      <c r="R10" s="119" t="s">
        <v>1733</v>
      </c>
      <c r="S10" s="155"/>
    </row>
    <row r="11" spans="1:19" ht="15" customHeight="1" x14ac:dyDescent="0.2">
      <c r="A11" s="103" t="s">
        <v>689</v>
      </c>
      <c r="B11" s="83" t="s">
        <v>690</v>
      </c>
      <c r="C11" s="83" t="s">
        <v>691</v>
      </c>
      <c r="D11" s="83" t="s">
        <v>692</v>
      </c>
      <c r="E11" s="80" t="s">
        <v>1258</v>
      </c>
      <c r="F11" s="80"/>
      <c r="G11" s="80" t="s">
        <v>1259</v>
      </c>
      <c r="H11" s="80" t="s">
        <v>18</v>
      </c>
      <c r="I11" s="80" t="s">
        <v>1260</v>
      </c>
      <c r="J11" s="83" t="s">
        <v>693</v>
      </c>
      <c r="K11" s="83" t="s">
        <v>646</v>
      </c>
      <c r="L11" s="83" t="s">
        <v>694</v>
      </c>
      <c r="M11" s="83" t="s">
        <v>695</v>
      </c>
      <c r="N11" s="83" t="s">
        <v>696</v>
      </c>
      <c r="O11" s="83" t="s">
        <v>697</v>
      </c>
      <c r="P11" s="83"/>
      <c r="Q11" s="83" t="s">
        <v>568</v>
      </c>
      <c r="R11" s="123"/>
      <c r="S11" s="156" t="s">
        <v>1737</v>
      </c>
    </row>
    <row r="12" spans="1:19" ht="15" customHeight="1" x14ac:dyDescent="0.2">
      <c r="A12" s="101" t="s">
        <v>698</v>
      </c>
      <c r="B12" s="80" t="s">
        <v>699</v>
      </c>
      <c r="C12" s="80" t="s">
        <v>700</v>
      </c>
      <c r="D12" s="80" t="s">
        <v>701</v>
      </c>
      <c r="E12" s="80"/>
      <c r="F12" s="80"/>
      <c r="G12" s="80" t="s">
        <v>1261</v>
      </c>
      <c r="H12" s="80" t="s">
        <v>18</v>
      </c>
      <c r="I12" s="80" t="s">
        <v>1262</v>
      </c>
      <c r="J12" s="80" t="s">
        <v>645</v>
      </c>
      <c r="K12" s="80" t="s">
        <v>646</v>
      </c>
      <c r="L12" s="80" t="s">
        <v>702</v>
      </c>
      <c r="M12" s="80" t="s">
        <v>703</v>
      </c>
      <c r="N12" s="80" t="s">
        <v>704</v>
      </c>
      <c r="O12" s="80" t="s">
        <v>705</v>
      </c>
      <c r="P12" s="80"/>
      <c r="Q12" s="80" t="s">
        <v>568</v>
      </c>
      <c r="R12" s="119"/>
      <c r="S12" s="155"/>
    </row>
    <row r="13" spans="1:19" ht="15" customHeight="1" x14ac:dyDescent="0.2">
      <c r="A13" s="102" t="s">
        <v>587</v>
      </c>
      <c r="B13" s="82" t="s">
        <v>706</v>
      </c>
      <c r="C13" s="82" t="s">
        <v>707</v>
      </c>
      <c r="D13" s="82" t="s">
        <v>708</v>
      </c>
      <c r="E13" s="80" t="s">
        <v>1263</v>
      </c>
      <c r="F13" s="80"/>
      <c r="G13" s="80" t="s">
        <v>1264</v>
      </c>
      <c r="H13" s="80" t="s">
        <v>18</v>
      </c>
      <c r="I13" s="80" t="s">
        <v>1265</v>
      </c>
      <c r="J13" s="82" t="s">
        <v>709</v>
      </c>
      <c r="K13" s="82" t="s">
        <v>646</v>
      </c>
      <c r="L13" s="82" t="s">
        <v>710</v>
      </c>
      <c r="M13" s="82" t="s">
        <v>711</v>
      </c>
      <c r="N13" s="82" t="s">
        <v>712</v>
      </c>
      <c r="O13" s="82" t="s">
        <v>713</v>
      </c>
      <c r="P13" s="82"/>
      <c r="Q13" s="82" t="s">
        <v>568</v>
      </c>
      <c r="R13" s="119" t="s">
        <v>1733</v>
      </c>
      <c r="S13" s="155"/>
    </row>
    <row r="14" spans="1:19" ht="15" customHeight="1" x14ac:dyDescent="0.2">
      <c r="A14" s="102" t="s">
        <v>714</v>
      </c>
      <c r="B14" s="82" t="s">
        <v>715</v>
      </c>
      <c r="C14" s="82" t="s">
        <v>716</v>
      </c>
      <c r="D14" s="82" t="s">
        <v>717</v>
      </c>
      <c r="E14" s="80" t="s">
        <v>1266</v>
      </c>
      <c r="F14" s="80"/>
      <c r="G14" s="80" t="s">
        <v>1267</v>
      </c>
      <c r="H14" s="80" t="s">
        <v>18</v>
      </c>
      <c r="I14" s="80" t="s">
        <v>1268</v>
      </c>
      <c r="J14" s="82" t="s">
        <v>645</v>
      </c>
      <c r="K14" s="82" t="s">
        <v>646</v>
      </c>
      <c r="L14" s="82" t="s">
        <v>718</v>
      </c>
      <c r="M14" s="82" t="s">
        <v>719</v>
      </c>
      <c r="N14" s="82" t="s">
        <v>720</v>
      </c>
      <c r="O14" s="82" t="s">
        <v>721</v>
      </c>
      <c r="P14" s="82"/>
      <c r="Q14" s="82" t="s">
        <v>651</v>
      </c>
      <c r="R14" s="119" t="s">
        <v>1733</v>
      </c>
      <c r="S14" s="155"/>
    </row>
    <row r="15" spans="1:19" ht="15" customHeight="1" x14ac:dyDescent="0.2">
      <c r="A15" s="102" t="s">
        <v>722</v>
      </c>
      <c r="B15" s="82" t="s">
        <v>723</v>
      </c>
      <c r="C15" s="82" t="s">
        <v>724</v>
      </c>
      <c r="D15" s="82" t="s">
        <v>725</v>
      </c>
      <c r="E15" s="82"/>
      <c r="F15" s="82"/>
      <c r="G15" s="82" t="s">
        <v>1249</v>
      </c>
      <c r="H15" s="82" t="s">
        <v>18</v>
      </c>
      <c r="I15" s="82" t="s">
        <v>1269</v>
      </c>
      <c r="J15" s="82" t="s">
        <v>655</v>
      </c>
      <c r="K15" s="82" t="s">
        <v>646</v>
      </c>
      <c r="L15" s="82" t="s">
        <v>726</v>
      </c>
      <c r="M15" s="82" t="s">
        <v>727</v>
      </c>
      <c r="N15" s="82"/>
      <c r="O15" s="82" t="s">
        <v>728</v>
      </c>
      <c r="P15" s="82"/>
      <c r="Q15" s="82" t="s">
        <v>568</v>
      </c>
      <c r="R15" s="119" t="s">
        <v>1733</v>
      </c>
      <c r="S15" s="155"/>
    </row>
    <row r="16" spans="1:19" ht="15" customHeight="1" x14ac:dyDescent="0.2">
      <c r="A16" s="102" t="s">
        <v>588</v>
      </c>
      <c r="B16" s="82" t="s">
        <v>729</v>
      </c>
      <c r="C16" s="82" t="s">
        <v>730</v>
      </c>
      <c r="D16" s="82" t="s">
        <v>731</v>
      </c>
      <c r="E16" s="80" t="s">
        <v>1270</v>
      </c>
      <c r="F16" s="80"/>
      <c r="G16" s="80" t="s">
        <v>1249</v>
      </c>
      <c r="H16" s="80" t="s">
        <v>18</v>
      </c>
      <c r="I16" s="80" t="s">
        <v>1271</v>
      </c>
      <c r="J16" s="82" t="s">
        <v>645</v>
      </c>
      <c r="K16" s="82" t="s">
        <v>646</v>
      </c>
      <c r="L16" s="82" t="s">
        <v>732</v>
      </c>
      <c r="M16" s="82" t="s">
        <v>733</v>
      </c>
      <c r="N16" s="82" t="s">
        <v>734</v>
      </c>
      <c r="O16" s="82" t="s">
        <v>735</v>
      </c>
      <c r="P16" s="82"/>
      <c r="Q16" s="82" t="s">
        <v>568</v>
      </c>
      <c r="R16" s="119" t="s">
        <v>1733</v>
      </c>
      <c r="S16" s="155"/>
    </row>
    <row r="17" spans="1:19" ht="15" customHeight="1" x14ac:dyDescent="0.2">
      <c r="A17" s="102" t="s">
        <v>589</v>
      </c>
      <c r="B17" s="82" t="s">
        <v>736</v>
      </c>
      <c r="C17" s="82" t="s">
        <v>737</v>
      </c>
      <c r="D17" s="82" t="s">
        <v>738</v>
      </c>
      <c r="E17" s="80"/>
      <c r="F17" s="80"/>
      <c r="G17" s="80" t="s">
        <v>1249</v>
      </c>
      <c r="H17" s="80" t="s">
        <v>18</v>
      </c>
      <c r="I17" s="80" t="s">
        <v>1272</v>
      </c>
      <c r="J17" s="82" t="s">
        <v>645</v>
      </c>
      <c r="K17" s="82" t="s">
        <v>739</v>
      </c>
      <c r="L17" s="82" t="s">
        <v>740</v>
      </c>
      <c r="M17" s="82" t="s">
        <v>741</v>
      </c>
      <c r="N17" s="82" t="s">
        <v>742</v>
      </c>
      <c r="O17" s="82" t="s">
        <v>743</v>
      </c>
      <c r="P17" s="82"/>
      <c r="Q17" s="82" t="s">
        <v>568</v>
      </c>
      <c r="R17" s="119" t="s">
        <v>1733</v>
      </c>
      <c r="S17" s="155"/>
    </row>
    <row r="18" spans="1:19" ht="15" customHeight="1" x14ac:dyDescent="0.2">
      <c r="A18" s="101" t="s">
        <v>744</v>
      </c>
      <c r="B18" s="80" t="s">
        <v>745</v>
      </c>
      <c r="C18" s="80" t="s">
        <v>746</v>
      </c>
      <c r="D18" s="80" t="s">
        <v>747</v>
      </c>
      <c r="E18" s="80"/>
      <c r="F18" s="80"/>
      <c r="G18" s="80" t="s">
        <v>1249</v>
      </c>
      <c r="H18" s="80" t="s">
        <v>18</v>
      </c>
      <c r="I18" s="80" t="s">
        <v>1250</v>
      </c>
      <c r="J18" s="80" t="s">
        <v>655</v>
      </c>
      <c r="K18" s="80" t="s">
        <v>646</v>
      </c>
      <c r="L18" s="80" t="s">
        <v>664</v>
      </c>
      <c r="M18" s="80" t="s">
        <v>665</v>
      </c>
      <c r="N18" s="80" t="s">
        <v>666</v>
      </c>
      <c r="O18" s="80" t="s">
        <v>748</v>
      </c>
      <c r="P18" s="80" t="s">
        <v>667</v>
      </c>
      <c r="Q18" s="80" t="s">
        <v>568</v>
      </c>
      <c r="R18" s="119"/>
      <c r="S18" s="155" t="s">
        <v>1735</v>
      </c>
    </row>
    <row r="19" spans="1:19" ht="15" customHeight="1" x14ac:dyDescent="0.2">
      <c r="A19" s="101" t="s">
        <v>749</v>
      </c>
      <c r="B19" s="80" t="s">
        <v>750</v>
      </c>
      <c r="C19" s="80" t="s">
        <v>751</v>
      </c>
      <c r="D19" s="80" t="s">
        <v>747</v>
      </c>
      <c r="E19" s="80"/>
      <c r="F19" s="80"/>
      <c r="G19" s="80" t="s">
        <v>1273</v>
      </c>
      <c r="H19" s="80" t="s">
        <v>18</v>
      </c>
      <c r="I19" s="80" t="s">
        <v>1250</v>
      </c>
      <c r="J19" s="80" t="s">
        <v>655</v>
      </c>
      <c r="K19" s="80" t="s">
        <v>646</v>
      </c>
      <c r="L19" s="80" t="s">
        <v>664</v>
      </c>
      <c r="M19" s="80" t="s">
        <v>665</v>
      </c>
      <c r="N19" s="80" t="s">
        <v>666</v>
      </c>
      <c r="O19" s="80" t="s">
        <v>748</v>
      </c>
      <c r="P19" s="80"/>
      <c r="Q19" s="80" t="s">
        <v>568</v>
      </c>
      <c r="R19" s="119"/>
      <c r="S19" s="155" t="s">
        <v>1735</v>
      </c>
    </row>
    <row r="20" spans="1:19" ht="15" customHeight="1" x14ac:dyDescent="0.2">
      <c r="A20" s="102" t="s">
        <v>752</v>
      </c>
      <c r="B20" s="82" t="s">
        <v>753</v>
      </c>
      <c r="C20" s="82" t="s">
        <v>754</v>
      </c>
      <c r="D20" s="82" t="s">
        <v>755</v>
      </c>
      <c r="E20" s="82" t="s">
        <v>1274</v>
      </c>
      <c r="F20" s="82"/>
      <c r="G20" s="82" t="s">
        <v>1249</v>
      </c>
      <c r="H20" s="82" t="s">
        <v>18</v>
      </c>
      <c r="I20" s="82" t="s">
        <v>1275</v>
      </c>
      <c r="J20" s="82" t="s">
        <v>645</v>
      </c>
      <c r="K20" s="82" t="s">
        <v>646</v>
      </c>
      <c r="L20" s="82" t="s">
        <v>756</v>
      </c>
      <c r="M20" s="82" t="s">
        <v>757</v>
      </c>
      <c r="N20" s="82" t="s">
        <v>1763</v>
      </c>
      <c r="O20" s="82" t="s">
        <v>758</v>
      </c>
      <c r="P20" s="82"/>
      <c r="Q20" s="82" t="s">
        <v>568</v>
      </c>
      <c r="R20" s="119" t="s">
        <v>1733</v>
      </c>
      <c r="S20" s="155"/>
    </row>
    <row r="21" spans="1:19" ht="15" customHeight="1" x14ac:dyDescent="0.2">
      <c r="A21" s="101" t="s">
        <v>759</v>
      </c>
      <c r="B21" s="80" t="s">
        <v>760</v>
      </c>
      <c r="C21" s="80" t="s">
        <v>761</v>
      </c>
      <c r="D21" s="80" t="s">
        <v>762</v>
      </c>
      <c r="E21" s="80"/>
      <c r="F21" s="80"/>
      <c r="G21" s="80" t="s">
        <v>1249</v>
      </c>
      <c r="H21" s="80" t="s">
        <v>18</v>
      </c>
      <c r="I21" s="80" t="s">
        <v>1276</v>
      </c>
      <c r="J21" s="80" t="s">
        <v>645</v>
      </c>
      <c r="K21" s="80" t="s">
        <v>646</v>
      </c>
      <c r="L21" s="80" t="s">
        <v>763</v>
      </c>
      <c r="M21" s="80" t="s">
        <v>764</v>
      </c>
      <c r="N21" s="80"/>
      <c r="O21" s="80" t="s">
        <v>765</v>
      </c>
      <c r="P21" s="80"/>
      <c r="Q21" s="80" t="s">
        <v>568</v>
      </c>
      <c r="R21" s="119"/>
      <c r="S21" s="155"/>
    </row>
    <row r="22" spans="1:19" ht="15" customHeight="1" x14ac:dyDescent="0.2">
      <c r="A22" s="102" t="s">
        <v>591</v>
      </c>
      <c r="B22" s="82" t="s">
        <v>766</v>
      </c>
      <c r="C22" s="82" t="s">
        <v>767</v>
      </c>
      <c r="D22" s="82" t="s">
        <v>768</v>
      </c>
      <c r="E22" s="80" t="s">
        <v>1277</v>
      </c>
      <c r="F22" s="80"/>
      <c r="G22" s="80" t="s">
        <v>1249</v>
      </c>
      <c r="H22" s="80" t="s">
        <v>18</v>
      </c>
      <c r="I22" s="80" t="s">
        <v>1278</v>
      </c>
      <c r="J22" s="82" t="s">
        <v>655</v>
      </c>
      <c r="K22" s="82" t="s">
        <v>646</v>
      </c>
      <c r="L22" s="82" t="s">
        <v>769</v>
      </c>
      <c r="M22" s="82" t="s">
        <v>770</v>
      </c>
      <c r="N22" s="82" t="s">
        <v>771</v>
      </c>
      <c r="O22" s="82" t="s">
        <v>772</v>
      </c>
      <c r="P22" s="82"/>
      <c r="Q22" s="82" t="s">
        <v>568</v>
      </c>
      <c r="R22" s="119" t="s">
        <v>1733</v>
      </c>
      <c r="S22" s="119"/>
    </row>
    <row r="23" spans="1:19" ht="15" customHeight="1" x14ac:dyDescent="0.2">
      <c r="A23" s="102" t="s">
        <v>592</v>
      </c>
      <c r="B23" s="82" t="s">
        <v>773</v>
      </c>
      <c r="C23" s="82" t="s">
        <v>774</v>
      </c>
      <c r="D23" s="82" t="s">
        <v>775</v>
      </c>
      <c r="E23" s="80" t="s">
        <v>1279</v>
      </c>
      <c r="F23" s="80"/>
      <c r="G23" s="80" t="s">
        <v>1280</v>
      </c>
      <c r="H23" s="80" t="s">
        <v>18</v>
      </c>
      <c r="I23" s="80" t="s">
        <v>1281</v>
      </c>
      <c r="J23" s="82" t="s">
        <v>655</v>
      </c>
      <c r="K23" s="82" t="s">
        <v>646</v>
      </c>
      <c r="L23" s="82" t="s">
        <v>776</v>
      </c>
      <c r="M23" s="82" t="s">
        <v>777</v>
      </c>
      <c r="N23" s="82" t="s">
        <v>778</v>
      </c>
      <c r="O23" s="82" t="s">
        <v>779</v>
      </c>
      <c r="P23" s="82"/>
      <c r="Q23" s="82" t="s">
        <v>568</v>
      </c>
      <c r="R23" s="119" t="s">
        <v>1733</v>
      </c>
      <c r="S23" s="119"/>
    </row>
    <row r="24" spans="1:19" ht="15" customHeight="1" x14ac:dyDescent="0.2">
      <c r="A24" s="102" t="s">
        <v>593</v>
      </c>
      <c r="B24" s="82" t="s">
        <v>780</v>
      </c>
      <c r="C24" s="82" t="s">
        <v>781</v>
      </c>
      <c r="D24" s="82" t="s">
        <v>782</v>
      </c>
      <c r="E24" s="80" t="s">
        <v>1282</v>
      </c>
      <c r="F24" s="80"/>
      <c r="G24" s="80" t="s">
        <v>1249</v>
      </c>
      <c r="H24" s="80" t="s">
        <v>18</v>
      </c>
      <c r="I24" s="80" t="s">
        <v>1283</v>
      </c>
      <c r="J24" s="82" t="s">
        <v>655</v>
      </c>
      <c r="K24" s="82" t="s">
        <v>646</v>
      </c>
      <c r="L24" s="82" t="s">
        <v>740</v>
      </c>
      <c r="M24" s="82" t="s">
        <v>543</v>
      </c>
      <c r="N24" s="82"/>
      <c r="O24" s="82" t="s">
        <v>783</v>
      </c>
      <c r="P24" s="82"/>
      <c r="Q24" s="82" t="s">
        <v>568</v>
      </c>
      <c r="R24" s="119" t="s">
        <v>1733</v>
      </c>
      <c r="S24" s="119"/>
    </row>
    <row r="25" spans="1:19" ht="15" customHeight="1" x14ac:dyDescent="0.2">
      <c r="A25" s="102" t="s">
        <v>595</v>
      </c>
      <c r="B25" s="82" t="s">
        <v>784</v>
      </c>
      <c r="C25" s="82" t="s">
        <v>785</v>
      </c>
      <c r="D25" s="82" t="s">
        <v>786</v>
      </c>
      <c r="E25" s="80" t="s">
        <v>1284</v>
      </c>
      <c r="F25" s="80"/>
      <c r="G25" s="80" t="s">
        <v>1280</v>
      </c>
      <c r="H25" s="80" t="s">
        <v>18</v>
      </c>
      <c r="I25" s="80" t="s">
        <v>1285</v>
      </c>
      <c r="J25" s="82" t="s">
        <v>645</v>
      </c>
      <c r="K25" s="82" t="s">
        <v>646</v>
      </c>
      <c r="L25" s="82" t="s">
        <v>787</v>
      </c>
      <c r="M25" s="82" t="s">
        <v>788</v>
      </c>
      <c r="N25" s="82" t="s">
        <v>789</v>
      </c>
      <c r="O25" s="82" t="s">
        <v>790</v>
      </c>
      <c r="P25" s="82"/>
      <c r="Q25" s="82" t="s">
        <v>568</v>
      </c>
      <c r="R25" s="119" t="s">
        <v>1733</v>
      </c>
      <c r="S25" s="119"/>
    </row>
    <row r="26" spans="1:19" ht="15" customHeight="1" x14ac:dyDescent="0.2">
      <c r="A26" s="102" t="s">
        <v>791</v>
      </c>
      <c r="B26" s="82" t="s">
        <v>1769</v>
      </c>
      <c r="C26" s="82" t="s">
        <v>792</v>
      </c>
      <c r="D26" s="82" t="s">
        <v>793</v>
      </c>
      <c r="E26" s="82" t="s">
        <v>1286</v>
      </c>
      <c r="F26" s="82"/>
      <c r="G26" s="82" t="s">
        <v>1249</v>
      </c>
      <c r="H26" s="82" t="s">
        <v>18</v>
      </c>
      <c r="I26" s="82" t="s">
        <v>1287</v>
      </c>
      <c r="J26" s="82" t="s">
        <v>655</v>
      </c>
      <c r="K26" s="82" t="s">
        <v>646</v>
      </c>
      <c r="L26" s="82" t="s">
        <v>47</v>
      </c>
      <c r="M26" s="82" t="s">
        <v>541</v>
      </c>
      <c r="N26" s="82" t="s">
        <v>423</v>
      </c>
      <c r="O26" s="82" t="s">
        <v>794</v>
      </c>
      <c r="P26" s="82"/>
      <c r="Q26" s="82" t="s">
        <v>568</v>
      </c>
      <c r="R26" s="119" t="s">
        <v>1733</v>
      </c>
      <c r="S26" s="119"/>
    </row>
    <row r="27" spans="1:19" ht="15" customHeight="1" x14ac:dyDescent="0.2">
      <c r="A27" s="102" t="s">
        <v>596</v>
      </c>
      <c r="B27" s="82" t="s">
        <v>795</v>
      </c>
      <c r="C27" s="82" t="s">
        <v>796</v>
      </c>
      <c r="D27" s="82" t="s">
        <v>797</v>
      </c>
      <c r="E27" s="80" t="s">
        <v>1288</v>
      </c>
      <c r="F27" s="80"/>
      <c r="G27" s="80" t="s">
        <v>1273</v>
      </c>
      <c r="H27" s="80" t="s">
        <v>18</v>
      </c>
      <c r="I27" s="80" t="s">
        <v>1289</v>
      </c>
      <c r="J27" s="82" t="s">
        <v>645</v>
      </c>
      <c r="K27" s="82" t="s">
        <v>646</v>
      </c>
      <c r="L27" s="82" t="s">
        <v>798</v>
      </c>
      <c r="M27" s="82" t="s">
        <v>799</v>
      </c>
      <c r="N27" s="82"/>
      <c r="O27" s="82" t="s">
        <v>800</v>
      </c>
      <c r="P27" s="82" t="s">
        <v>801</v>
      </c>
      <c r="Q27" s="82" t="s">
        <v>568</v>
      </c>
      <c r="R27" s="119" t="s">
        <v>1733</v>
      </c>
      <c r="S27" s="119"/>
    </row>
    <row r="28" spans="1:19" ht="15" customHeight="1" x14ac:dyDescent="0.2">
      <c r="A28" s="101" t="s">
        <v>802</v>
      </c>
      <c r="B28" s="80" t="s">
        <v>803</v>
      </c>
      <c r="C28" s="80" t="s">
        <v>804</v>
      </c>
      <c r="D28" s="80" t="s">
        <v>805</v>
      </c>
      <c r="E28" s="80"/>
      <c r="F28" s="80"/>
      <c r="G28" s="80" t="s">
        <v>1280</v>
      </c>
      <c r="H28" s="80" t="s">
        <v>18</v>
      </c>
      <c r="I28" s="80" t="s">
        <v>1290</v>
      </c>
      <c r="J28" s="80" t="s">
        <v>645</v>
      </c>
      <c r="K28" s="80" t="s">
        <v>646</v>
      </c>
      <c r="L28" s="80" t="s">
        <v>806</v>
      </c>
      <c r="M28" s="80" t="s">
        <v>807</v>
      </c>
      <c r="N28" s="80" t="s">
        <v>808</v>
      </c>
      <c r="O28" s="80" t="s">
        <v>809</v>
      </c>
      <c r="P28" s="80"/>
      <c r="Q28" s="80" t="s">
        <v>568</v>
      </c>
      <c r="R28" s="119"/>
      <c r="S28" s="119"/>
    </row>
    <row r="29" spans="1:19" ht="15" customHeight="1" x14ac:dyDescent="0.2">
      <c r="A29" s="102" t="s">
        <v>597</v>
      </c>
      <c r="B29" s="82" t="s">
        <v>810</v>
      </c>
      <c r="C29" s="82" t="s">
        <v>811</v>
      </c>
      <c r="D29" s="82" t="s">
        <v>812</v>
      </c>
      <c r="E29" s="80" t="s">
        <v>1291</v>
      </c>
      <c r="F29" s="80"/>
      <c r="G29" s="80" t="s">
        <v>1280</v>
      </c>
      <c r="H29" s="80" t="s">
        <v>18</v>
      </c>
      <c r="I29" s="80" t="s">
        <v>1292</v>
      </c>
      <c r="J29" s="82" t="s">
        <v>655</v>
      </c>
      <c r="K29" s="82" t="s">
        <v>646</v>
      </c>
      <c r="L29" s="82" t="s">
        <v>813</v>
      </c>
      <c r="M29" s="82" t="s">
        <v>814</v>
      </c>
      <c r="N29" s="82" t="s">
        <v>815</v>
      </c>
      <c r="O29" s="82" t="s">
        <v>816</v>
      </c>
      <c r="P29" s="82" t="s">
        <v>817</v>
      </c>
      <c r="Q29" s="82" t="s">
        <v>568</v>
      </c>
      <c r="R29" s="119" t="s">
        <v>1733</v>
      </c>
      <c r="S29" s="119"/>
    </row>
    <row r="30" spans="1:19" ht="15" customHeight="1" x14ac:dyDescent="0.2">
      <c r="A30" s="102" t="s">
        <v>818</v>
      </c>
      <c r="B30" s="82" t="s">
        <v>819</v>
      </c>
      <c r="C30" s="82" t="s">
        <v>820</v>
      </c>
      <c r="D30" s="82" t="s">
        <v>821</v>
      </c>
      <c r="E30" s="82" t="s">
        <v>1293</v>
      </c>
      <c r="F30" s="82"/>
      <c r="G30" s="82" t="s">
        <v>1249</v>
      </c>
      <c r="H30" s="82" t="s">
        <v>18</v>
      </c>
      <c r="I30" s="82" t="s">
        <v>1294</v>
      </c>
      <c r="J30" s="82" t="s">
        <v>655</v>
      </c>
      <c r="K30" s="82" t="s">
        <v>646</v>
      </c>
      <c r="L30" s="82" t="s">
        <v>756</v>
      </c>
      <c r="M30" s="82" t="s">
        <v>822</v>
      </c>
      <c r="N30" s="82" t="s">
        <v>823</v>
      </c>
      <c r="O30" s="82" t="s">
        <v>824</v>
      </c>
      <c r="P30" s="82"/>
      <c r="Q30" s="82" t="s">
        <v>568</v>
      </c>
      <c r="R30" s="119" t="s">
        <v>1733</v>
      </c>
      <c r="S30" s="119"/>
    </row>
    <row r="31" spans="1:19" ht="15" customHeight="1" x14ac:dyDescent="0.2">
      <c r="A31" s="102" t="s">
        <v>1295</v>
      </c>
      <c r="B31" s="82" t="s">
        <v>1296</v>
      </c>
      <c r="C31" s="82" t="s">
        <v>1297</v>
      </c>
      <c r="D31" s="82" t="s">
        <v>986</v>
      </c>
      <c r="E31" s="80" t="s">
        <v>1298</v>
      </c>
      <c r="F31" s="80" t="s">
        <v>1284</v>
      </c>
      <c r="G31" s="80" t="s">
        <v>1247</v>
      </c>
      <c r="H31" s="80" t="s">
        <v>18</v>
      </c>
      <c r="I31" s="80" t="s">
        <v>1299</v>
      </c>
      <c r="J31" s="82" t="s">
        <v>655</v>
      </c>
      <c r="K31" s="82" t="s">
        <v>646</v>
      </c>
      <c r="L31" s="82" t="s">
        <v>1300</v>
      </c>
      <c r="M31" s="82" t="s">
        <v>1301</v>
      </c>
      <c r="N31" s="82" t="s">
        <v>1302</v>
      </c>
      <c r="O31" s="82" t="s">
        <v>1303</v>
      </c>
      <c r="P31" s="82"/>
      <c r="Q31" s="82" t="s">
        <v>1304</v>
      </c>
      <c r="R31" s="119" t="s">
        <v>1733</v>
      </c>
      <c r="S31" s="119"/>
    </row>
    <row r="32" spans="1:19" ht="15" customHeight="1" x14ac:dyDescent="0.2">
      <c r="A32" s="102" t="s">
        <v>598</v>
      </c>
      <c r="B32" s="82" t="s">
        <v>825</v>
      </c>
      <c r="C32" s="82" t="s">
        <v>826</v>
      </c>
      <c r="D32" s="82" t="s">
        <v>827</v>
      </c>
      <c r="E32" s="80" t="s">
        <v>1305</v>
      </c>
      <c r="F32" s="80"/>
      <c r="G32" s="80" t="s">
        <v>1249</v>
      </c>
      <c r="H32" s="80" t="s">
        <v>18</v>
      </c>
      <c r="I32" s="80" t="s">
        <v>1306</v>
      </c>
      <c r="J32" s="82" t="s">
        <v>655</v>
      </c>
      <c r="K32" s="82" t="s">
        <v>646</v>
      </c>
      <c r="L32" s="82" t="s">
        <v>828</v>
      </c>
      <c r="M32" s="82" t="s">
        <v>829</v>
      </c>
      <c r="N32" s="82" t="s">
        <v>830</v>
      </c>
      <c r="O32" s="82" t="s">
        <v>831</v>
      </c>
      <c r="P32" s="82"/>
      <c r="Q32" s="82" t="s">
        <v>568</v>
      </c>
      <c r="R32" s="119" t="s">
        <v>1733</v>
      </c>
      <c r="S32" s="119"/>
    </row>
    <row r="33" spans="1:16384" ht="15" customHeight="1" x14ac:dyDescent="0.2">
      <c r="A33" s="101" t="s">
        <v>832</v>
      </c>
      <c r="B33" s="80" t="s">
        <v>833</v>
      </c>
      <c r="C33" s="80" t="s">
        <v>834</v>
      </c>
      <c r="D33" s="80" t="s">
        <v>835</v>
      </c>
      <c r="E33" s="80" t="s">
        <v>1307</v>
      </c>
      <c r="F33" s="80"/>
      <c r="G33" s="80" t="s">
        <v>1249</v>
      </c>
      <c r="H33" s="80" t="s">
        <v>18</v>
      </c>
      <c r="I33" s="80" t="s">
        <v>1250</v>
      </c>
      <c r="J33" s="80" t="s">
        <v>655</v>
      </c>
      <c r="K33" s="80" t="s">
        <v>646</v>
      </c>
      <c r="L33" s="80" t="s">
        <v>836</v>
      </c>
      <c r="M33" s="80" t="s">
        <v>837</v>
      </c>
      <c r="N33" s="80"/>
      <c r="O33" s="80" t="s">
        <v>349</v>
      </c>
      <c r="P33" s="80"/>
      <c r="Q33" s="80" t="s">
        <v>568</v>
      </c>
      <c r="R33" s="119"/>
      <c r="S33" s="119"/>
    </row>
    <row r="34" spans="1:16384" ht="15" customHeight="1" x14ac:dyDescent="0.2">
      <c r="A34" s="102" t="s">
        <v>599</v>
      </c>
      <c r="B34" s="82" t="s">
        <v>838</v>
      </c>
      <c r="C34" s="82" t="s">
        <v>839</v>
      </c>
      <c r="D34" s="82" t="s">
        <v>840</v>
      </c>
      <c r="E34" s="80" t="s">
        <v>1308</v>
      </c>
      <c r="F34" s="80"/>
      <c r="G34" s="80" t="s">
        <v>1273</v>
      </c>
      <c r="H34" s="80" t="s">
        <v>18</v>
      </c>
      <c r="I34" s="80" t="s">
        <v>1309</v>
      </c>
      <c r="J34" s="82" t="s">
        <v>645</v>
      </c>
      <c r="K34" s="82" t="s">
        <v>646</v>
      </c>
      <c r="L34" s="82" t="s">
        <v>841</v>
      </c>
      <c r="M34" s="82" t="s">
        <v>842</v>
      </c>
      <c r="N34" s="82" t="s">
        <v>843</v>
      </c>
      <c r="O34" s="82" t="s">
        <v>844</v>
      </c>
      <c r="P34" s="82"/>
      <c r="Q34" s="82" t="s">
        <v>568</v>
      </c>
      <c r="R34" s="119" t="s">
        <v>1733</v>
      </c>
      <c r="S34" s="119"/>
      <c r="T34" s="160"/>
      <c r="U34" s="160"/>
      <c r="V34" s="160"/>
      <c r="W34" s="160"/>
      <c r="X34" s="160"/>
      <c r="Y34" s="160"/>
      <c r="Z34" s="160"/>
      <c r="AA34" s="160"/>
      <c r="AB34" s="160"/>
      <c r="AC34" s="160"/>
      <c r="AD34" s="160"/>
      <c r="AE34" s="160"/>
      <c r="AF34" s="160"/>
      <c r="AG34" s="160"/>
      <c r="AH34" s="160"/>
      <c r="AI34" s="160"/>
      <c r="AJ34" s="160"/>
      <c r="AK34" s="160"/>
      <c r="AL34" s="160"/>
      <c r="AM34" s="160"/>
      <c r="AN34" s="160"/>
      <c r="AO34" s="160"/>
      <c r="AP34" s="160"/>
      <c r="AQ34" s="160"/>
      <c r="AR34" s="160"/>
      <c r="AS34" s="160"/>
      <c r="AT34" s="160"/>
      <c r="AU34" s="160"/>
      <c r="AV34" s="160"/>
      <c r="AW34" s="160"/>
      <c r="AX34" s="160"/>
      <c r="AY34" s="160"/>
      <c r="AZ34" s="160"/>
      <c r="BA34" s="160"/>
      <c r="BB34" s="160"/>
      <c r="BC34" s="160"/>
      <c r="BD34" s="160"/>
      <c r="BE34" s="160"/>
      <c r="BF34" s="160"/>
      <c r="BG34" s="160"/>
      <c r="BH34" s="160"/>
      <c r="BI34" s="160"/>
      <c r="BJ34" s="160"/>
      <c r="BK34" s="160"/>
      <c r="BL34" s="160"/>
      <c r="BM34" s="160"/>
      <c r="BN34" s="160"/>
      <c r="BO34" s="160"/>
      <c r="BP34" s="160"/>
      <c r="BQ34" s="160"/>
      <c r="BR34" s="160"/>
      <c r="BS34" s="160"/>
      <c r="BT34" s="160"/>
      <c r="BU34" s="160"/>
      <c r="BV34" s="160"/>
      <c r="BW34" s="160"/>
      <c r="BX34" s="160"/>
      <c r="BY34" s="160"/>
      <c r="BZ34" s="160"/>
      <c r="CA34" s="160"/>
      <c r="CB34" s="160"/>
      <c r="CC34" s="160"/>
      <c r="CD34" s="160"/>
      <c r="CE34" s="160"/>
      <c r="CF34" s="160"/>
      <c r="CG34" s="160"/>
      <c r="CH34" s="160"/>
      <c r="CI34" s="160"/>
      <c r="CJ34" s="160"/>
      <c r="CK34" s="160"/>
      <c r="CL34" s="160"/>
      <c r="CM34" s="160"/>
      <c r="CN34" s="160"/>
      <c r="CO34" s="160"/>
      <c r="CP34" s="160"/>
      <c r="CQ34" s="160"/>
      <c r="CR34" s="160"/>
      <c r="CS34" s="160"/>
      <c r="CT34" s="160"/>
      <c r="CU34" s="160"/>
      <c r="CV34" s="160"/>
      <c r="CW34" s="160"/>
      <c r="CX34" s="160"/>
      <c r="CY34" s="160"/>
      <c r="CZ34" s="160"/>
      <c r="DA34" s="160"/>
      <c r="DB34" s="160"/>
      <c r="DC34" s="160"/>
      <c r="DD34" s="160"/>
      <c r="DE34" s="160"/>
      <c r="DF34" s="160"/>
      <c r="DG34" s="160"/>
      <c r="DH34" s="160"/>
      <c r="DI34" s="160"/>
      <c r="DJ34" s="160"/>
      <c r="DK34" s="160"/>
      <c r="DL34" s="160"/>
      <c r="DM34" s="160"/>
      <c r="DN34" s="160"/>
      <c r="DO34" s="160"/>
      <c r="DP34" s="160"/>
      <c r="DQ34" s="160"/>
      <c r="DR34" s="160"/>
      <c r="DS34" s="160"/>
      <c r="DT34" s="160"/>
      <c r="DU34" s="160"/>
      <c r="DV34" s="160"/>
      <c r="DW34" s="160"/>
      <c r="DX34" s="160"/>
      <c r="DY34" s="160"/>
      <c r="DZ34" s="160"/>
      <c r="EA34" s="160"/>
      <c r="EB34" s="160"/>
      <c r="EC34" s="160"/>
      <c r="ED34" s="160"/>
      <c r="EE34" s="160"/>
      <c r="EF34" s="160"/>
      <c r="EG34" s="160"/>
      <c r="EH34" s="160"/>
      <c r="EI34" s="160"/>
      <c r="EJ34" s="160"/>
      <c r="EK34" s="160"/>
      <c r="EL34" s="160"/>
      <c r="EM34" s="160"/>
      <c r="EN34" s="160"/>
      <c r="EO34" s="160"/>
      <c r="EP34" s="160"/>
      <c r="EQ34" s="160"/>
      <c r="ER34" s="160"/>
      <c r="ES34" s="160"/>
      <c r="ET34" s="160"/>
      <c r="EU34" s="160"/>
      <c r="EV34" s="160"/>
      <c r="EW34" s="160"/>
      <c r="EX34" s="160"/>
      <c r="EY34" s="160"/>
      <c r="EZ34" s="160"/>
      <c r="FA34" s="160"/>
      <c r="FB34" s="160"/>
      <c r="FC34" s="160"/>
      <c r="FD34" s="160"/>
      <c r="FE34" s="160"/>
      <c r="FF34" s="160"/>
      <c r="FG34" s="160"/>
      <c r="FH34" s="160"/>
      <c r="FI34" s="160"/>
      <c r="FJ34" s="160"/>
      <c r="FK34" s="160"/>
      <c r="FL34" s="160"/>
      <c r="FM34" s="160"/>
      <c r="FN34" s="160"/>
      <c r="FO34" s="160"/>
      <c r="FP34" s="160"/>
      <c r="FQ34" s="160"/>
      <c r="FR34" s="160"/>
      <c r="FS34" s="160"/>
      <c r="FT34" s="160"/>
      <c r="FU34" s="160"/>
      <c r="FV34" s="160"/>
      <c r="FW34" s="160"/>
      <c r="FX34" s="160"/>
      <c r="FY34" s="160"/>
      <c r="FZ34" s="160"/>
      <c r="GA34" s="160"/>
      <c r="GB34" s="160"/>
      <c r="GC34" s="160"/>
      <c r="GD34" s="160"/>
      <c r="GE34" s="160"/>
      <c r="GF34" s="160"/>
      <c r="GG34" s="160"/>
      <c r="GH34" s="160"/>
      <c r="GI34" s="160"/>
      <c r="GJ34" s="160"/>
      <c r="GK34" s="160"/>
      <c r="GL34" s="160"/>
      <c r="GM34" s="160"/>
      <c r="GN34" s="160"/>
      <c r="GO34" s="160"/>
      <c r="GP34" s="160"/>
      <c r="GQ34" s="160"/>
      <c r="GR34" s="160"/>
      <c r="GS34" s="160"/>
      <c r="GT34" s="160"/>
      <c r="GU34" s="160"/>
      <c r="GV34" s="160"/>
      <c r="GW34" s="160"/>
      <c r="GX34" s="160"/>
      <c r="GY34" s="160"/>
      <c r="GZ34" s="160"/>
      <c r="HA34" s="160"/>
      <c r="HB34" s="160"/>
      <c r="HC34" s="160"/>
      <c r="HD34" s="160"/>
      <c r="HE34" s="160"/>
      <c r="HF34" s="160"/>
      <c r="HG34" s="160"/>
      <c r="HH34" s="160"/>
      <c r="HI34" s="160"/>
      <c r="HJ34" s="160"/>
      <c r="HK34" s="160"/>
      <c r="HL34" s="160"/>
      <c r="HM34" s="160"/>
      <c r="HN34" s="160"/>
      <c r="HO34" s="160"/>
      <c r="HP34" s="160"/>
      <c r="HQ34" s="160"/>
      <c r="HR34" s="160"/>
      <c r="HS34" s="160"/>
      <c r="HT34" s="160"/>
      <c r="HU34" s="160"/>
      <c r="HV34" s="160"/>
      <c r="HW34" s="160"/>
      <c r="HX34" s="160"/>
      <c r="HY34" s="160"/>
      <c r="HZ34" s="160"/>
      <c r="IA34" s="160"/>
      <c r="IB34" s="160"/>
      <c r="IC34" s="160"/>
      <c r="ID34" s="160"/>
      <c r="IE34" s="160"/>
      <c r="IF34" s="160"/>
      <c r="IG34" s="160"/>
      <c r="IH34" s="160"/>
      <c r="II34" s="160"/>
      <c r="IJ34" s="160"/>
      <c r="IK34" s="160"/>
      <c r="IL34" s="160"/>
      <c r="IM34" s="160"/>
      <c r="IN34" s="160"/>
      <c r="IO34" s="160"/>
      <c r="IP34" s="160"/>
      <c r="IQ34" s="160"/>
      <c r="IR34" s="160"/>
      <c r="IS34" s="160"/>
      <c r="IT34" s="160"/>
      <c r="IU34" s="160"/>
      <c r="IV34" s="160"/>
      <c r="IW34" s="160"/>
      <c r="IX34" s="160"/>
      <c r="IY34" s="160"/>
      <c r="JE34" s="160"/>
      <c r="JF34" s="160"/>
      <c r="JG34" s="160"/>
      <c r="JH34" s="160"/>
      <c r="JI34" s="160"/>
      <c r="JJ34" s="160"/>
      <c r="JK34" s="160"/>
      <c r="JL34" s="160"/>
      <c r="JM34" s="160"/>
      <c r="JN34" s="160"/>
      <c r="JO34" s="160"/>
      <c r="JP34" s="160"/>
      <c r="JQ34" s="160"/>
      <c r="JR34" s="160"/>
      <c r="JS34" s="160"/>
      <c r="JT34" s="160"/>
      <c r="JU34" s="160"/>
      <c r="JV34" s="160"/>
      <c r="JW34" s="160"/>
      <c r="JX34" s="160"/>
      <c r="JY34" s="160"/>
      <c r="JZ34" s="160"/>
      <c r="KA34" s="160"/>
      <c r="KB34" s="160"/>
      <c r="KC34" s="160"/>
      <c r="KD34" s="160"/>
      <c r="KE34" s="160"/>
      <c r="KF34" s="160"/>
      <c r="KG34" s="160"/>
      <c r="KH34" s="160"/>
      <c r="KI34" s="160"/>
      <c r="KJ34" s="160"/>
      <c r="KK34" s="160"/>
      <c r="KL34" s="160"/>
      <c r="KM34" s="160"/>
      <c r="KN34" s="160"/>
      <c r="KO34" s="160"/>
      <c r="KP34" s="160"/>
      <c r="KQ34" s="160"/>
      <c r="KR34" s="160"/>
      <c r="KS34" s="160"/>
      <c r="KT34" s="160"/>
      <c r="KU34" s="160"/>
      <c r="KV34" s="160"/>
      <c r="KW34" s="160"/>
      <c r="KX34" s="160"/>
      <c r="KY34" s="160"/>
      <c r="KZ34" s="160"/>
      <c r="LA34" s="160"/>
      <c r="LB34" s="160"/>
      <c r="LC34" s="160"/>
      <c r="LD34" s="160"/>
      <c r="LE34" s="160"/>
      <c r="LF34" s="160"/>
      <c r="LG34" s="160"/>
      <c r="LH34" s="160"/>
      <c r="LI34" s="160"/>
      <c r="LJ34" s="160"/>
      <c r="LK34" s="160"/>
      <c r="LL34" s="160"/>
      <c r="LM34" s="160"/>
      <c r="LN34" s="160"/>
      <c r="LO34" s="160"/>
      <c r="LP34" s="160"/>
      <c r="LQ34" s="160"/>
      <c r="LR34" s="160"/>
      <c r="LS34" s="160"/>
      <c r="LT34" s="160"/>
      <c r="LU34" s="160"/>
      <c r="LV34" s="160"/>
      <c r="LW34" s="160"/>
      <c r="LX34" s="160"/>
      <c r="LY34" s="160"/>
      <c r="LZ34" s="160"/>
      <c r="MA34" s="160"/>
      <c r="MB34" s="160"/>
      <c r="MC34" s="160"/>
      <c r="MD34" s="160"/>
      <c r="ME34" s="160"/>
      <c r="MF34" s="160"/>
      <c r="MG34" s="160"/>
      <c r="MH34" s="160"/>
      <c r="MI34" s="160"/>
      <c r="MJ34" s="160"/>
      <c r="MK34" s="160"/>
      <c r="ML34" s="160"/>
      <c r="MM34" s="160"/>
      <c r="MN34" s="160"/>
      <c r="MO34" s="160"/>
      <c r="MP34" s="160"/>
      <c r="MQ34" s="160"/>
      <c r="MR34" s="160"/>
      <c r="MS34" s="160"/>
      <c r="MT34" s="160"/>
      <c r="MU34" s="160"/>
      <c r="MV34" s="160"/>
      <c r="MW34" s="160"/>
      <c r="MX34" s="160"/>
      <c r="MY34" s="160"/>
      <c r="MZ34" s="160"/>
      <c r="NA34" s="160"/>
      <c r="NB34" s="160"/>
      <c r="NC34" s="160"/>
      <c r="ND34" s="160"/>
      <c r="NE34" s="160"/>
      <c r="NF34" s="160"/>
      <c r="NG34" s="160"/>
      <c r="NH34" s="160"/>
      <c r="NI34" s="160"/>
      <c r="NJ34" s="160"/>
      <c r="NK34" s="160"/>
      <c r="NL34" s="160"/>
      <c r="NM34" s="160"/>
      <c r="NN34" s="160"/>
      <c r="NO34" s="160"/>
      <c r="NP34" s="160"/>
      <c r="NQ34" s="160"/>
      <c r="NR34" s="160"/>
      <c r="NS34" s="160"/>
      <c r="NT34" s="160"/>
      <c r="NU34" s="160"/>
      <c r="NV34" s="160"/>
      <c r="NW34" s="160"/>
      <c r="NX34" s="160"/>
      <c r="NY34" s="160"/>
      <c r="NZ34" s="160"/>
      <c r="OA34" s="160"/>
      <c r="OB34" s="160"/>
      <c r="OC34" s="160"/>
      <c r="OD34" s="160"/>
      <c r="OE34" s="160"/>
      <c r="OF34" s="160"/>
      <c r="OG34" s="160"/>
      <c r="OH34" s="160"/>
      <c r="OI34" s="160"/>
      <c r="OJ34" s="160"/>
      <c r="OK34" s="160"/>
      <c r="OL34" s="160"/>
      <c r="OM34" s="160"/>
      <c r="ON34" s="160"/>
      <c r="OO34" s="160"/>
      <c r="OP34" s="160"/>
      <c r="OQ34" s="160"/>
      <c r="OR34" s="160"/>
      <c r="OS34" s="160"/>
      <c r="OT34" s="160"/>
      <c r="OU34" s="160"/>
      <c r="OV34" s="160"/>
      <c r="OW34" s="160"/>
      <c r="OX34" s="160"/>
      <c r="OY34" s="160"/>
      <c r="OZ34" s="160"/>
      <c r="PA34" s="160"/>
      <c r="PB34" s="160"/>
      <c r="PC34" s="160"/>
      <c r="PD34" s="160"/>
      <c r="PE34" s="160"/>
      <c r="PF34" s="160"/>
      <c r="PG34" s="160"/>
      <c r="PH34" s="160"/>
      <c r="PI34" s="160"/>
      <c r="PJ34" s="160"/>
      <c r="PK34" s="160"/>
      <c r="PL34" s="160"/>
      <c r="PM34" s="160"/>
      <c r="PN34" s="160"/>
      <c r="PO34" s="160"/>
      <c r="PP34" s="160"/>
      <c r="PQ34" s="160"/>
      <c r="PR34" s="160"/>
      <c r="PS34" s="160"/>
      <c r="PT34" s="160"/>
      <c r="PU34" s="160"/>
      <c r="PV34" s="160"/>
      <c r="PW34" s="160"/>
      <c r="PX34" s="160"/>
      <c r="PY34" s="160"/>
      <c r="PZ34" s="160"/>
      <c r="QA34" s="160"/>
      <c r="QB34" s="160"/>
      <c r="QC34" s="160"/>
      <c r="QD34" s="160"/>
      <c r="QE34" s="160"/>
      <c r="QF34" s="160"/>
      <c r="QG34" s="160"/>
      <c r="QH34" s="160"/>
      <c r="QI34" s="160"/>
      <c r="QJ34" s="160"/>
      <c r="QK34" s="160"/>
      <c r="QL34" s="160"/>
      <c r="QM34" s="160"/>
      <c r="QN34" s="160"/>
      <c r="QO34" s="160"/>
      <c r="QP34" s="160"/>
      <c r="QQ34" s="160"/>
      <c r="QR34" s="160"/>
      <c r="QS34" s="160"/>
      <c r="QT34" s="160"/>
      <c r="QU34" s="160"/>
      <c r="QV34" s="160"/>
      <c r="QW34" s="160"/>
      <c r="QX34" s="160"/>
      <c r="QY34" s="160"/>
      <c r="QZ34" s="160"/>
      <c r="RA34" s="160"/>
      <c r="RB34" s="160"/>
      <c r="RC34" s="160"/>
      <c r="RD34" s="160"/>
      <c r="RE34" s="160"/>
      <c r="RF34" s="160"/>
      <c r="RG34" s="160"/>
      <c r="RH34" s="160"/>
      <c r="RI34" s="160"/>
      <c r="RJ34" s="160"/>
      <c r="RK34" s="160"/>
      <c r="RL34" s="160"/>
      <c r="RM34" s="160"/>
      <c r="RN34" s="160"/>
      <c r="RO34" s="160"/>
      <c r="RP34" s="160"/>
      <c r="RQ34" s="160"/>
      <c r="RR34" s="160"/>
      <c r="RS34" s="160"/>
      <c r="RT34" s="160"/>
      <c r="RU34" s="160"/>
      <c r="RV34" s="160"/>
      <c r="RW34" s="160"/>
      <c r="RX34" s="160"/>
      <c r="RY34" s="160"/>
      <c r="RZ34" s="160"/>
      <c r="SA34" s="160"/>
      <c r="SB34" s="160"/>
      <c r="SC34" s="160"/>
      <c r="SD34" s="160"/>
      <c r="SE34" s="160"/>
      <c r="SF34" s="160"/>
      <c r="SG34" s="160"/>
      <c r="SH34" s="160"/>
      <c r="SI34" s="160"/>
      <c r="SJ34" s="160"/>
      <c r="SK34" s="160"/>
      <c r="SL34" s="160"/>
      <c r="SM34" s="160"/>
      <c r="SN34" s="160"/>
      <c r="SO34" s="160"/>
      <c r="SP34" s="160"/>
      <c r="SQ34" s="160"/>
      <c r="SR34" s="160"/>
      <c r="SS34" s="160"/>
      <c r="ST34" s="160"/>
      <c r="SU34" s="160"/>
      <c r="TA34" s="160"/>
      <c r="TB34" s="160"/>
      <c r="TC34" s="160"/>
      <c r="TD34" s="160"/>
      <c r="TE34" s="160"/>
      <c r="TF34" s="160"/>
      <c r="TG34" s="160"/>
      <c r="TH34" s="160"/>
      <c r="TI34" s="160"/>
      <c r="TJ34" s="160"/>
      <c r="TK34" s="160"/>
      <c r="TL34" s="160"/>
      <c r="TM34" s="160"/>
      <c r="TN34" s="160"/>
      <c r="TO34" s="160"/>
      <c r="TP34" s="160"/>
      <c r="TQ34" s="160"/>
      <c r="TR34" s="160"/>
      <c r="TS34" s="160"/>
      <c r="TT34" s="160"/>
      <c r="TU34" s="160"/>
      <c r="TV34" s="160"/>
      <c r="TW34" s="160"/>
      <c r="TX34" s="160"/>
      <c r="TY34" s="160"/>
      <c r="TZ34" s="160"/>
      <c r="UA34" s="160"/>
      <c r="UB34" s="160"/>
      <c r="UC34" s="160"/>
      <c r="UD34" s="160"/>
      <c r="UE34" s="160"/>
      <c r="UF34" s="160"/>
      <c r="UG34" s="160"/>
      <c r="UH34" s="160"/>
      <c r="UI34" s="160"/>
      <c r="UJ34" s="160"/>
      <c r="UK34" s="160"/>
      <c r="UL34" s="160"/>
      <c r="UM34" s="160"/>
      <c r="UN34" s="160"/>
      <c r="UO34" s="160"/>
      <c r="UP34" s="160"/>
      <c r="UQ34" s="160"/>
      <c r="UR34" s="160"/>
      <c r="US34" s="160"/>
      <c r="UT34" s="160"/>
      <c r="UU34" s="160"/>
      <c r="UV34" s="160"/>
      <c r="UW34" s="160"/>
      <c r="UX34" s="160"/>
      <c r="UY34" s="160"/>
      <c r="UZ34" s="160"/>
      <c r="VA34" s="160"/>
      <c r="VB34" s="160"/>
      <c r="VC34" s="160"/>
      <c r="VD34" s="160"/>
      <c r="VE34" s="160"/>
      <c r="VF34" s="160"/>
      <c r="VG34" s="160"/>
      <c r="VH34" s="160"/>
      <c r="VI34" s="160"/>
      <c r="VJ34" s="160"/>
      <c r="VK34" s="160"/>
      <c r="VL34" s="160"/>
      <c r="VM34" s="160"/>
      <c r="VN34" s="160"/>
      <c r="VO34" s="160"/>
      <c r="VP34" s="160"/>
      <c r="VQ34" s="160"/>
      <c r="VR34" s="160"/>
      <c r="VS34" s="160"/>
      <c r="VT34" s="160"/>
      <c r="VU34" s="160"/>
      <c r="VV34" s="160"/>
      <c r="VW34" s="160"/>
      <c r="VX34" s="160"/>
      <c r="VY34" s="160"/>
      <c r="VZ34" s="160"/>
      <c r="WA34" s="160"/>
      <c r="WB34" s="160"/>
      <c r="WC34" s="160"/>
      <c r="WD34" s="160"/>
      <c r="WE34" s="160"/>
      <c r="WF34" s="160"/>
      <c r="WG34" s="160"/>
      <c r="WH34" s="160"/>
      <c r="WI34" s="160"/>
      <c r="WJ34" s="160"/>
      <c r="WK34" s="160"/>
      <c r="WL34" s="160"/>
      <c r="WM34" s="160"/>
      <c r="WN34" s="160"/>
      <c r="WO34" s="160"/>
      <c r="WP34" s="160"/>
      <c r="WQ34" s="160"/>
      <c r="WR34" s="160"/>
      <c r="WS34" s="160"/>
      <c r="WT34" s="160"/>
      <c r="WU34" s="160"/>
      <c r="WV34" s="160"/>
      <c r="WW34" s="160"/>
      <c r="WX34" s="160"/>
      <c r="WY34" s="160"/>
      <c r="WZ34" s="160"/>
      <c r="XA34" s="160"/>
      <c r="XB34" s="160"/>
      <c r="XC34" s="160"/>
      <c r="XD34" s="160"/>
      <c r="XE34" s="160"/>
      <c r="XF34" s="160"/>
      <c r="XG34" s="160"/>
      <c r="XH34" s="160"/>
      <c r="XI34" s="160"/>
      <c r="XJ34" s="160"/>
      <c r="XK34" s="160"/>
      <c r="XL34" s="160"/>
      <c r="XM34" s="160"/>
      <c r="XN34" s="160"/>
      <c r="XO34" s="160"/>
      <c r="XP34" s="160"/>
      <c r="XQ34" s="160"/>
      <c r="XR34" s="160"/>
      <c r="XS34" s="160"/>
      <c r="XT34" s="160"/>
      <c r="XU34" s="160"/>
      <c r="XV34" s="160"/>
      <c r="XW34" s="160"/>
      <c r="XX34" s="160"/>
      <c r="XY34" s="160"/>
      <c r="XZ34" s="160"/>
      <c r="YA34" s="160"/>
      <c r="YB34" s="160"/>
      <c r="YC34" s="160"/>
      <c r="YD34" s="160"/>
      <c r="YE34" s="160"/>
      <c r="YF34" s="160"/>
      <c r="YG34" s="160"/>
      <c r="YH34" s="160"/>
      <c r="YI34" s="160"/>
      <c r="YJ34" s="160"/>
      <c r="YK34" s="160"/>
      <c r="YL34" s="160"/>
      <c r="YM34" s="160"/>
      <c r="YN34" s="160"/>
      <c r="YO34" s="160"/>
      <c r="YP34" s="160"/>
      <c r="YQ34" s="160"/>
      <c r="YR34" s="160"/>
      <c r="YS34" s="160"/>
      <c r="YT34" s="160"/>
      <c r="YU34" s="160"/>
      <c r="YV34" s="160"/>
      <c r="YW34" s="160"/>
      <c r="YX34" s="160"/>
      <c r="YY34" s="160"/>
      <c r="YZ34" s="160"/>
      <c r="ZA34" s="160"/>
      <c r="ZB34" s="160"/>
      <c r="ZC34" s="160"/>
      <c r="ZD34" s="160"/>
      <c r="ZE34" s="160"/>
      <c r="ZF34" s="160"/>
      <c r="ZG34" s="160"/>
      <c r="ZH34" s="160"/>
      <c r="ZI34" s="160"/>
      <c r="ZJ34" s="160"/>
      <c r="ZK34" s="160"/>
      <c r="ZL34" s="160"/>
      <c r="ZM34" s="160"/>
      <c r="ZN34" s="160"/>
      <c r="ZO34" s="160"/>
      <c r="ZP34" s="160"/>
      <c r="ZQ34" s="160"/>
      <c r="ZR34" s="160"/>
      <c r="ZS34" s="160"/>
      <c r="ZT34" s="160"/>
      <c r="ZU34" s="160"/>
      <c r="ZV34" s="160"/>
      <c r="ZW34" s="160"/>
      <c r="ZX34" s="160"/>
      <c r="ZY34" s="160"/>
      <c r="ZZ34" s="160"/>
      <c r="AAA34" s="160"/>
      <c r="AAB34" s="160"/>
      <c r="AAC34" s="160"/>
      <c r="AAD34" s="160"/>
      <c r="AAE34" s="160"/>
      <c r="AAF34" s="160"/>
      <c r="AAG34" s="160"/>
      <c r="AAH34" s="160"/>
      <c r="AAI34" s="160"/>
      <c r="AAJ34" s="160"/>
      <c r="AAK34" s="160"/>
      <c r="AAL34" s="160"/>
      <c r="AAM34" s="160"/>
      <c r="AAN34" s="160"/>
      <c r="AAO34" s="160"/>
      <c r="AAP34" s="160"/>
      <c r="AAQ34" s="160"/>
      <c r="AAR34" s="160"/>
      <c r="AAS34" s="160"/>
      <c r="AAT34" s="160"/>
      <c r="AAU34" s="160"/>
      <c r="AAV34" s="160"/>
      <c r="AAW34" s="160"/>
      <c r="AAX34" s="160"/>
      <c r="AAY34" s="160"/>
      <c r="AAZ34" s="160"/>
      <c r="ABA34" s="160"/>
      <c r="ABB34" s="160"/>
      <c r="ABC34" s="160"/>
      <c r="ABD34" s="160"/>
      <c r="ABE34" s="160"/>
      <c r="ABF34" s="160"/>
      <c r="ABG34" s="160"/>
      <c r="ABH34" s="160"/>
      <c r="ABI34" s="160"/>
      <c r="ABJ34" s="160"/>
      <c r="ABK34" s="160"/>
      <c r="ABL34" s="160"/>
      <c r="ABM34" s="160"/>
      <c r="ABN34" s="160"/>
      <c r="ABO34" s="160"/>
      <c r="ABP34" s="160"/>
      <c r="ABQ34" s="160"/>
      <c r="ABR34" s="160"/>
      <c r="ABS34" s="160"/>
      <c r="ABT34" s="160"/>
      <c r="ABU34" s="160"/>
      <c r="ABV34" s="160"/>
      <c r="ABW34" s="160"/>
      <c r="ABX34" s="160"/>
      <c r="ABY34" s="160"/>
      <c r="ABZ34" s="160"/>
      <c r="ACA34" s="160"/>
      <c r="ACB34" s="160"/>
      <c r="ACC34" s="160"/>
      <c r="ACD34" s="160"/>
      <c r="ACE34" s="160"/>
      <c r="ACF34" s="160"/>
      <c r="ACG34" s="160"/>
      <c r="ACH34" s="160"/>
      <c r="ACI34" s="160"/>
      <c r="ACJ34" s="160"/>
      <c r="ACK34" s="160"/>
      <c r="ACL34" s="160"/>
      <c r="ACM34" s="160"/>
      <c r="ACN34" s="160"/>
      <c r="ACO34" s="160"/>
      <c r="ACP34" s="160"/>
      <c r="ACQ34" s="160"/>
      <c r="ACW34" s="160"/>
      <c r="ACX34" s="160"/>
      <c r="ACY34" s="160"/>
      <c r="ACZ34" s="160"/>
      <c r="ADA34" s="160"/>
      <c r="ADB34" s="160"/>
      <c r="ADC34" s="160"/>
      <c r="ADD34" s="160"/>
      <c r="ADE34" s="160"/>
      <c r="ADF34" s="160"/>
      <c r="ADG34" s="160"/>
      <c r="ADH34" s="160"/>
      <c r="ADI34" s="160"/>
      <c r="ADJ34" s="160"/>
      <c r="ADK34" s="160"/>
      <c r="ADL34" s="160"/>
      <c r="ADM34" s="160"/>
      <c r="ADN34" s="160"/>
      <c r="ADO34" s="160"/>
      <c r="ADP34" s="160"/>
      <c r="ADQ34" s="160"/>
      <c r="ADR34" s="160"/>
      <c r="ADS34" s="160"/>
      <c r="ADT34" s="160"/>
      <c r="ADU34" s="160"/>
      <c r="ADV34" s="160"/>
      <c r="ADW34" s="160"/>
      <c r="ADX34" s="160"/>
      <c r="ADY34" s="160"/>
      <c r="ADZ34" s="160"/>
      <c r="AEA34" s="160"/>
      <c r="AEB34" s="160"/>
      <c r="AEC34" s="160"/>
      <c r="AED34" s="160"/>
      <c r="AEE34" s="160"/>
      <c r="AEF34" s="160"/>
      <c r="AEG34" s="160"/>
      <c r="AEH34" s="160"/>
      <c r="AEI34" s="160"/>
      <c r="AEJ34" s="160"/>
      <c r="AEK34" s="160"/>
      <c r="AEL34" s="160"/>
      <c r="AEM34" s="160"/>
      <c r="AEN34" s="160"/>
      <c r="AEO34" s="160"/>
      <c r="AEP34" s="160"/>
      <c r="AEQ34" s="160"/>
      <c r="AER34" s="160"/>
      <c r="AES34" s="160"/>
      <c r="AET34" s="160"/>
      <c r="AEU34" s="160"/>
      <c r="AEV34" s="160"/>
      <c r="AEW34" s="160"/>
      <c r="AEX34" s="160"/>
      <c r="AEY34" s="160"/>
      <c r="AEZ34" s="160"/>
      <c r="AFA34" s="160"/>
      <c r="AFB34" s="160"/>
      <c r="AFC34" s="160"/>
      <c r="AFD34" s="160"/>
      <c r="AFE34" s="160"/>
      <c r="AFF34" s="160"/>
      <c r="AFG34" s="160"/>
      <c r="AFH34" s="160"/>
      <c r="AFI34" s="160"/>
      <c r="AFJ34" s="160"/>
      <c r="AFK34" s="160"/>
      <c r="AFL34" s="160"/>
      <c r="AFM34" s="160"/>
      <c r="AFN34" s="160"/>
      <c r="AFO34" s="160"/>
      <c r="AFP34" s="160"/>
      <c r="AFQ34" s="160"/>
      <c r="AFR34" s="160"/>
      <c r="AFS34" s="160"/>
      <c r="AFT34" s="160"/>
      <c r="AFU34" s="160"/>
      <c r="AFV34" s="160"/>
      <c r="AFW34" s="160"/>
      <c r="AFX34" s="160"/>
      <c r="AFY34" s="160"/>
      <c r="AFZ34" s="160"/>
      <c r="AGA34" s="160"/>
      <c r="AGB34" s="160"/>
      <c r="AGC34" s="160"/>
      <c r="AGD34" s="160"/>
      <c r="AGE34" s="160"/>
      <c r="AGF34" s="160"/>
      <c r="AGG34" s="160"/>
      <c r="AGH34" s="160"/>
      <c r="AGI34" s="160"/>
      <c r="AGJ34" s="160"/>
      <c r="AGK34" s="160"/>
      <c r="AGL34" s="160"/>
      <c r="AGM34" s="160"/>
      <c r="AGN34" s="160"/>
      <c r="AGO34" s="160"/>
      <c r="AGP34" s="160"/>
      <c r="AGQ34" s="160"/>
      <c r="AGR34" s="160"/>
      <c r="AGS34" s="160"/>
      <c r="AGT34" s="160"/>
      <c r="AGU34" s="160"/>
      <c r="AGV34" s="160"/>
      <c r="AGW34" s="160"/>
      <c r="AGX34" s="160"/>
      <c r="AGY34" s="160"/>
      <c r="AGZ34" s="160"/>
      <c r="AHA34" s="160"/>
      <c r="AHB34" s="160"/>
      <c r="AHC34" s="160"/>
      <c r="AHD34" s="160"/>
      <c r="AHE34" s="160"/>
      <c r="AHF34" s="160"/>
      <c r="AHG34" s="160"/>
      <c r="AHH34" s="160"/>
      <c r="AHI34" s="160"/>
      <c r="AHJ34" s="160"/>
      <c r="AHK34" s="160"/>
      <c r="AHL34" s="160"/>
      <c r="AHM34" s="160"/>
      <c r="AHN34" s="160"/>
      <c r="AHO34" s="160"/>
      <c r="AHP34" s="160"/>
      <c r="AHQ34" s="160"/>
      <c r="AHR34" s="160"/>
      <c r="AHS34" s="160"/>
      <c r="AHT34" s="160"/>
      <c r="AHU34" s="160"/>
      <c r="AHV34" s="160"/>
      <c r="AHW34" s="160"/>
      <c r="AHX34" s="160"/>
      <c r="AHY34" s="160"/>
      <c r="AHZ34" s="160"/>
      <c r="AIA34" s="160"/>
      <c r="AIB34" s="160"/>
      <c r="AIC34" s="160"/>
      <c r="AID34" s="160"/>
      <c r="AIE34" s="160"/>
      <c r="AIF34" s="160"/>
      <c r="AIG34" s="160"/>
      <c r="AIH34" s="160"/>
      <c r="AII34" s="160"/>
      <c r="AIJ34" s="160"/>
      <c r="AIK34" s="160"/>
      <c r="AIL34" s="160"/>
      <c r="AIM34" s="160"/>
      <c r="AIN34" s="160"/>
      <c r="AIO34" s="160"/>
      <c r="AIP34" s="160"/>
      <c r="AIQ34" s="160"/>
      <c r="AIR34" s="160"/>
      <c r="AIS34" s="160"/>
      <c r="AIT34" s="160"/>
      <c r="AIU34" s="160"/>
      <c r="AIV34" s="160"/>
      <c r="AIW34" s="160"/>
      <c r="AIX34" s="160"/>
      <c r="AIY34" s="160"/>
      <c r="AIZ34" s="160"/>
      <c r="AJA34" s="160"/>
      <c r="AJB34" s="160"/>
      <c r="AJC34" s="160"/>
      <c r="AJD34" s="160"/>
      <c r="AJE34" s="160"/>
      <c r="AJF34" s="160"/>
      <c r="AJG34" s="160"/>
      <c r="AJH34" s="160"/>
      <c r="AJI34" s="160"/>
      <c r="AJJ34" s="160"/>
      <c r="AJK34" s="160"/>
      <c r="AJL34" s="160"/>
      <c r="AJM34" s="160"/>
      <c r="AJN34" s="160"/>
      <c r="AJO34" s="160"/>
      <c r="AJP34" s="160"/>
      <c r="AJQ34" s="160"/>
      <c r="AJR34" s="160"/>
      <c r="AJS34" s="160"/>
      <c r="AJT34" s="160"/>
      <c r="AJU34" s="160"/>
      <c r="AJV34" s="160"/>
      <c r="AJW34" s="160"/>
      <c r="AJX34" s="160"/>
      <c r="AJY34" s="160"/>
      <c r="AJZ34" s="160"/>
      <c r="AKA34" s="160"/>
      <c r="AKB34" s="160"/>
      <c r="AKC34" s="160"/>
      <c r="AKD34" s="160"/>
      <c r="AKE34" s="160"/>
      <c r="AKF34" s="160"/>
      <c r="AKG34" s="160"/>
      <c r="AKH34" s="160"/>
      <c r="AKI34" s="160"/>
      <c r="AKJ34" s="160"/>
      <c r="AKK34" s="160"/>
      <c r="AKL34" s="160"/>
      <c r="AKM34" s="160"/>
      <c r="AKN34" s="160"/>
      <c r="AKO34" s="160"/>
      <c r="AKP34" s="160"/>
      <c r="AKQ34" s="160"/>
      <c r="AKR34" s="160"/>
      <c r="AKS34" s="160"/>
      <c r="AKT34" s="160"/>
      <c r="AKU34" s="160"/>
      <c r="AKV34" s="160"/>
      <c r="AKW34" s="160"/>
      <c r="AKX34" s="160"/>
      <c r="AKY34" s="160"/>
      <c r="AKZ34" s="160"/>
      <c r="ALA34" s="160"/>
      <c r="ALB34" s="160"/>
      <c r="ALC34" s="160"/>
      <c r="ALD34" s="160"/>
      <c r="ALE34" s="160"/>
      <c r="ALF34" s="160"/>
      <c r="ALG34" s="160"/>
      <c r="ALH34" s="160"/>
      <c r="ALI34" s="160"/>
      <c r="ALJ34" s="160"/>
      <c r="ALK34" s="160"/>
      <c r="ALL34" s="160"/>
      <c r="ALM34" s="160"/>
      <c r="ALN34" s="160"/>
      <c r="ALO34" s="160"/>
      <c r="ALP34" s="160"/>
      <c r="ALQ34" s="160"/>
      <c r="ALR34" s="160"/>
      <c r="ALS34" s="160"/>
      <c r="ALT34" s="160"/>
      <c r="ALU34" s="160"/>
      <c r="ALV34" s="160"/>
      <c r="ALW34" s="160"/>
      <c r="ALX34" s="160"/>
      <c r="ALY34" s="160"/>
      <c r="ALZ34" s="160"/>
      <c r="AMA34" s="160"/>
      <c r="AMB34" s="160"/>
      <c r="AMC34" s="160"/>
      <c r="AMD34" s="160"/>
      <c r="AME34" s="160"/>
      <c r="AMF34" s="160"/>
      <c r="AMG34" s="160"/>
      <c r="AMH34" s="160"/>
      <c r="AMI34" s="160"/>
      <c r="AMJ34" s="160"/>
      <c r="AMK34" s="160"/>
      <c r="AML34" s="160"/>
      <c r="AMM34" s="160"/>
      <c r="AMS34" s="160"/>
      <c r="AMT34" s="160"/>
      <c r="AMU34" s="160"/>
      <c r="AMV34" s="160"/>
      <c r="AMW34" s="160"/>
      <c r="AMX34" s="160"/>
      <c r="AMY34" s="160"/>
      <c r="AMZ34" s="160"/>
      <c r="ANA34" s="160"/>
      <c r="ANB34" s="160"/>
      <c r="ANC34" s="160"/>
      <c r="AND34" s="160"/>
      <c r="ANE34" s="160"/>
      <c r="ANF34" s="160"/>
      <c r="ANG34" s="160"/>
      <c r="ANH34" s="160"/>
      <c r="ANI34" s="160"/>
      <c r="ANJ34" s="160"/>
      <c r="ANK34" s="160"/>
      <c r="ANL34" s="160"/>
      <c r="ANM34" s="160"/>
      <c r="ANN34" s="160"/>
      <c r="ANO34" s="160"/>
      <c r="ANP34" s="160"/>
      <c r="ANQ34" s="160"/>
      <c r="ANR34" s="160"/>
      <c r="ANS34" s="160"/>
      <c r="ANT34" s="160"/>
      <c r="ANU34" s="160"/>
      <c r="ANV34" s="160"/>
      <c r="ANW34" s="160"/>
      <c r="ANX34" s="160"/>
      <c r="ANY34" s="160"/>
      <c r="ANZ34" s="160"/>
      <c r="AOA34" s="160"/>
      <c r="AOB34" s="160"/>
      <c r="AOC34" s="160"/>
      <c r="AOD34" s="160"/>
      <c r="AOE34" s="160"/>
      <c r="AOF34" s="160"/>
      <c r="AOG34" s="160"/>
      <c r="AOH34" s="160"/>
      <c r="AOI34" s="160"/>
      <c r="AOJ34" s="160"/>
      <c r="AOK34" s="160"/>
      <c r="AOL34" s="160"/>
      <c r="AOM34" s="160"/>
      <c r="AON34" s="160"/>
      <c r="AOO34" s="160"/>
      <c r="AOP34" s="160"/>
      <c r="AOQ34" s="160"/>
      <c r="AOR34" s="160"/>
      <c r="AOS34" s="160"/>
      <c r="AOT34" s="160"/>
      <c r="AOU34" s="160"/>
      <c r="AOV34" s="160"/>
      <c r="AOW34" s="160"/>
      <c r="AOX34" s="160"/>
      <c r="AOY34" s="160"/>
      <c r="AOZ34" s="160"/>
      <c r="APA34" s="160"/>
      <c r="APB34" s="160"/>
      <c r="APC34" s="160"/>
      <c r="APD34" s="160"/>
      <c r="APE34" s="160"/>
      <c r="APF34" s="160"/>
      <c r="APG34" s="160"/>
      <c r="APH34" s="160"/>
      <c r="API34" s="160"/>
      <c r="APJ34" s="160"/>
      <c r="APK34" s="160"/>
      <c r="APL34" s="160"/>
      <c r="APM34" s="160"/>
      <c r="APN34" s="160"/>
      <c r="APO34" s="160"/>
      <c r="APP34" s="160"/>
      <c r="APQ34" s="160"/>
      <c r="APR34" s="160"/>
      <c r="APS34" s="160"/>
      <c r="APT34" s="160"/>
      <c r="APU34" s="160"/>
      <c r="APV34" s="160"/>
      <c r="APW34" s="160"/>
      <c r="APX34" s="160"/>
      <c r="APY34" s="160"/>
      <c r="APZ34" s="160"/>
      <c r="AQA34" s="160"/>
      <c r="AQB34" s="160"/>
      <c r="AQC34" s="160"/>
      <c r="AQD34" s="160"/>
      <c r="AQE34" s="160"/>
      <c r="AQF34" s="160"/>
      <c r="AQG34" s="160"/>
      <c r="AQH34" s="160"/>
      <c r="AQI34" s="160"/>
      <c r="AQJ34" s="160"/>
      <c r="AQK34" s="160"/>
      <c r="AQL34" s="160"/>
      <c r="AQM34" s="160"/>
      <c r="AQN34" s="160"/>
      <c r="AQO34" s="160"/>
      <c r="AQP34" s="160"/>
      <c r="AQQ34" s="160"/>
      <c r="AQR34" s="160"/>
      <c r="AQS34" s="160"/>
      <c r="AQT34" s="160"/>
      <c r="AQU34" s="160"/>
      <c r="AQV34" s="160"/>
      <c r="AQW34" s="160"/>
      <c r="AQX34" s="160"/>
      <c r="AQY34" s="160"/>
      <c r="AQZ34" s="160"/>
      <c r="ARA34" s="160"/>
      <c r="ARB34" s="160"/>
      <c r="ARC34" s="160"/>
      <c r="ARD34" s="160"/>
      <c r="ARE34" s="160"/>
      <c r="ARF34" s="160"/>
      <c r="ARG34" s="160"/>
      <c r="ARH34" s="160"/>
      <c r="ARI34" s="160"/>
      <c r="ARJ34" s="160"/>
      <c r="ARK34" s="160"/>
      <c r="ARL34" s="160"/>
      <c r="ARM34" s="160"/>
      <c r="ARN34" s="160"/>
      <c r="ARO34" s="160"/>
      <c r="ARP34" s="160"/>
      <c r="ARQ34" s="160"/>
      <c r="ARR34" s="160"/>
      <c r="ARS34" s="160"/>
      <c r="ART34" s="160"/>
      <c r="ARU34" s="160"/>
      <c r="ARV34" s="160"/>
      <c r="ARW34" s="160"/>
      <c r="ARX34" s="160"/>
      <c r="ARY34" s="160"/>
      <c r="ARZ34" s="160"/>
      <c r="ASA34" s="160"/>
      <c r="ASB34" s="160"/>
      <c r="ASC34" s="160"/>
      <c r="ASD34" s="160"/>
      <c r="ASE34" s="160"/>
      <c r="ASF34" s="160"/>
      <c r="ASG34" s="160"/>
      <c r="ASH34" s="160"/>
      <c r="ASI34" s="160"/>
      <c r="ASJ34" s="160"/>
      <c r="ASK34" s="160"/>
      <c r="ASL34" s="160"/>
      <c r="ASM34" s="160"/>
      <c r="ASN34" s="160"/>
      <c r="ASO34" s="160"/>
      <c r="ASP34" s="160"/>
      <c r="ASQ34" s="160"/>
      <c r="ASR34" s="160"/>
      <c r="ASS34" s="160"/>
      <c r="AST34" s="160"/>
      <c r="ASU34" s="160"/>
      <c r="ASV34" s="160"/>
      <c r="ASW34" s="160"/>
      <c r="ASX34" s="160"/>
      <c r="ASY34" s="160"/>
      <c r="ASZ34" s="160"/>
      <c r="ATA34" s="160"/>
      <c r="ATB34" s="160"/>
      <c r="ATC34" s="160"/>
      <c r="ATD34" s="160"/>
      <c r="ATE34" s="160"/>
      <c r="ATF34" s="160"/>
      <c r="ATG34" s="160"/>
      <c r="ATH34" s="160"/>
      <c r="ATI34" s="160"/>
      <c r="ATJ34" s="160"/>
      <c r="ATK34" s="160"/>
      <c r="ATL34" s="160"/>
      <c r="ATM34" s="160"/>
      <c r="ATN34" s="160"/>
      <c r="ATO34" s="160"/>
      <c r="ATP34" s="160"/>
      <c r="ATQ34" s="160"/>
      <c r="ATR34" s="160"/>
      <c r="ATS34" s="160"/>
      <c r="ATT34" s="160"/>
      <c r="ATU34" s="160"/>
      <c r="ATV34" s="160"/>
      <c r="ATW34" s="160"/>
      <c r="ATX34" s="160"/>
      <c r="ATY34" s="160"/>
      <c r="ATZ34" s="160"/>
      <c r="AUA34" s="160"/>
      <c r="AUB34" s="160"/>
      <c r="AUC34" s="160"/>
      <c r="AUD34" s="160"/>
      <c r="AUE34" s="160"/>
      <c r="AUF34" s="160"/>
      <c r="AUG34" s="160"/>
      <c r="AUH34" s="160"/>
      <c r="AUI34" s="160"/>
      <c r="AUJ34" s="160"/>
      <c r="AUK34" s="160"/>
      <c r="AUL34" s="160"/>
      <c r="AUM34" s="160"/>
      <c r="AUN34" s="160"/>
      <c r="AUO34" s="160"/>
      <c r="AUP34" s="160"/>
      <c r="AUQ34" s="160"/>
      <c r="AUR34" s="160"/>
      <c r="AUS34" s="160"/>
      <c r="AUT34" s="160"/>
      <c r="AUU34" s="160"/>
      <c r="AUV34" s="160"/>
      <c r="AUW34" s="160"/>
      <c r="AUX34" s="160"/>
      <c r="AUY34" s="160"/>
      <c r="AUZ34" s="160"/>
      <c r="AVA34" s="160"/>
      <c r="AVB34" s="160"/>
      <c r="AVC34" s="160"/>
      <c r="AVD34" s="160"/>
      <c r="AVE34" s="160"/>
      <c r="AVF34" s="160"/>
      <c r="AVG34" s="160"/>
      <c r="AVH34" s="160"/>
      <c r="AVI34" s="160"/>
      <c r="AVJ34" s="160"/>
      <c r="AVK34" s="160"/>
      <c r="AVL34" s="160"/>
      <c r="AVM34" s="160"/>
      <c r="AVN34" s="160"/>
      <c r="AVO34" s="160"/>
      <c r="AVP34" s="160"/>
      <c r="AVQ34" s="160"/>
      <c r="AVR34" s="160"/>
      <c r="AVS34" s="160"/>
      <c r="AVT34" s="160"/>
      <c r="AVU34" s="160"/>
      <c r="AVV34" s="160"/>
      <c r="AVW34" s="160"/>
      <c r="AVX34" s="160"/>
      <c r="AVY34" s="160"/>
      <c r="AVZ34" s="160"/>
      <c r="AWA34" s="160"/>
      <c r="AWB34" s="160"/>
      <c r="AWC34" s="160"/>
      <c r="AWD34" s="160"/>
      <c r="AWE34" s="160"/>
      <c r="AWF34" s="160"/>
      <c r="AWG34" s="160"/>
      <c r="AWH34" s="160"/>
      <c r="AWI34" s="160"/>
      <c r="AWO34" s="160"/>
      <c r="AWP34" s="160"/>
      <c r="AWQ34" s="160"/>
      <c r="AWR34" s="160"/>
      <c r="AWS34" s="160"/>
      <c r="AWT34" s="160"/>
      <c r="AWU34" s="160"/>
      <c r="AWV34" s="160"/>
      <c r="AWW34" s="160"/>
      <c r="AWX34" s="160"/>
      <c r="AWY34" s="160"/>
      <c r="AWZ34" s="160"/>
      <c r="AXA34" s="160"/>
      <c r="AXB34" s="160"/>
      <c r="AXC34" s="160"/>
      <c r="AXD34" s="160"/>
      <c r="AXE34" s="160"/>
      <c r="AXF34" s="160"/>
      <c r="AXG34" s="160"/>
      <c r="AXH34" s="160"/>
      <c r="AXI34" s="160"/>
      <c r="AXJ34" s="160"/>
      <c r="AXK34" s="160"/>
      <c r="AXL34" s="160"/>
      <c r="AXM34" s="160"/>
      <c r="AXN34" s="160"/>
      <c r="AXO34" s="160"/>
      <c r="AXP34" s="160"/>
      <c r="AXQ34" s="160"/>
      <c r="AXR34" s="160"/>
      <c r="AXS34" s="160"/>
      <c r="AXT34" s="160"/>
      <c r="AXU34" s="160"/>
      <c r="AXV34" s="160"/>
      <c r="AXW34" s="160"/>
      <c r="AXX34" s="160"/>
      <c r="AXY34" s="160"/>
      <c r="AXZ34" s="160"/>
      <c r="AYA34" s="160"/>
      <c r="AYB34" s="160"/>
      <c r="AYC34" s="160"/>
      <c r="AYD34" s="160"/>
      <c r="AYE34" s="160"/>
      <c r="AYF34" s="160"/>
      <c r="AYG34" s="160"/>
      <c r="AYH34" s="160"/>
      <c r="AYI34" s="160"/>
      <c r="AYJ34" s="160"/>
      <c r="AYK34" s="160"/>
      <c r="AYL34" s="160"/>
      <c r="AYM34" s="160"/>
      <c r="AYN34" s="160"/>
      <c r="AYO34" s="160"/>
      <c r="AYP34" s="160"/>
      <c r="AYQ34" s="160"/>
      <c r="AYR34" s="160"/>
      <c r="AYS34" s="160"/>
      <c r="AYT34" s="160"/>
      <c r="AYU34" s="160"/>
      <c r="AYV34" s="160"/>
      <c r="AYW34" s="160"/>
      <c r="AYX34" s="160"/>
      <c r="AYY34" s="160"/>
      <c r="AYZ34" s="160"/>
      <c r="AZA34" s="160"/>
      <c r="AZB34" s="160"/>
      <c r="AZC34" s="160"/>
      <c r="AZD34" s="160"/>
      <c r="AZE34" s="160"/>
      <c r="AZF34" s="160"/>
      <c r="AZG34" s="160"/>
      <c r="AZH34" s="160"/>
      <c r="AZI34" s="160"/>
      <c r="AZJ34" s="160"/>
      <c r="AZK34" s="160"/>
      <c r="AZL34" s="160"/>
      <c r="AZM34" s="160"/>
      <c r="AZN34" s="160"/>
      <c r="AZO34" s="160"/>
      <c r="AZP34" s="160"/>
      <c r="AZQ34" s="160"/>
      <c r="AZR34" s="160"/>
      <c r="AZS34" s="160"/>
      <c r="AZT34" s="160"/>
      <c r="AZU34" s="160"/>
      <c r="AZV34" s="160"/>
      <c r="AZW34" s="160"/>
      <c r="AZX34" s="160"/>
      <c r="AZY34" s="160"/>
      <c r="AZZ34" s="160"/>
      <c r="BAA34" s="160"/>
      <c r="BAB34" s="160"/>
      <c r="BAC34" s="160"/>
      <c r="BAD34" s="160"/>
      <c r="BAE34" s="160"/>
      <c r="BAF34" s="160"/>
      <c r="BAG34" s="160"/>
      <c r="BAH34" s="160"/>
      <c r="BAI34" s="160"/>
      <c r="BAJ34" s="160"/>
      <c r="BAK34" s="160"/>
      <c r="BAL34" s="160"/>
      <c r="BAM34" s="160"/>
      <c r="BAN34" s="160"/>
      <c r="BAO34" s="160"/>
      <c r="BAP34" s="160"/>
      <c r="BAQ34" s="160"/>
      <c r="BAR34" s="160"/>
      <c r="BAS34" s="160"/>
      <c r="BAT34" s="160"/>
      <c r="BAU34" s="160"/>
      <c r="BAV34" s="160"/>
      <c r="BAW34" s="160"/>
      <c r="BAX34" s="160"/>
      <c r="BAY34" s="160"/>
      <c r="BAZ34" s="160"/>
      <c r="BBA34" s="160"/>
      <c r="BBB34" s="160"/>
      <c r="BBC34" s="160"/>
      <c r="BBD34" s="160"/>
      <c r="BBE34" s="160"/>
      <c r="BBF34" s="160"/>
      <c r="BBG34" s="160"/>
      <c r="BBH34" s="160"/>
      <c r="BBI34" s="160"/>
      <c r="BBJ34" s="160"/>
      <c r="BBK34" s="160"/>
      <c r="BBL34" s="160"/>
      <c r="BBM34" s="160"/>
      <c r="BBN34" s="160"/>
      <c r="BBO34" s="160"/>
      <c r="BBP34" s="160"/>
      <c r="BBQ34" s="160"/>
      <c r="BBR34" s="160"/>
      <c r="BBS34" s="160"/>
      <c r="BBT34" s="160"/>
      <c r="BBU34" s="160"/>
      <c r="BBV34" s="160"/>
      <c r="BBW34" s="160"/>
      <c r="BBX34" s="160"/>
      <c r="BBY34" s="160"/>
      <c r="BBZ34" s="160"/>
      <c r="BCA34" s="160"/>
      <c r="BCB34" s="160"/>
      <c r="BCC34" s="160"/>
      <c r="BCD34" s="160"/>
      <c r="BCE34" s="160"/>
      <c r="BCF34" s="160"/>
      <c r="BCG34" s="160"/>
      <c r="BCH34" s="160"/>
      <c r="BCI34" s="160"/>
      <c r="BCJ34" s="160"/>
      <c r="BCK34" s="160"/>
      <c r="BCL34" s="160"/>
      <c r="BCM34" s="160"/>
      <c r="BCN34" s="160"/>
      <c r="BCO34" s="160"/>
      <c r="BCP34" s="160"/>
      <c r="BCQ34" s="160"/>
      <c r="BCR34" s="160"/>
      <c r="BCS34" s="160"/>
      <c r="BCT34" s="160"/>
      <c r="BCU34" s="160"/>
      <c r="BCV34" s="160"/>
      <c r="BCW34" s="160"/>
      <c r="BCX34" s="160"/>
      <c r="BCY34" s="160"/>
      <c r="BCZ34" s="160"/>
      <c r="BDA34" s="160"/>
      <c r="BDB34" s="160"/>
      <c r="BDC34" s="160"/>
      <c r="BDD34" s="160"/>
      <c r="BDE34" s="160"/>
      <c r="BDF34" s="160"/>
      <c r="BDG34" s="160"/>
      <c r="BDH34" s="160"/>
      <c r="BDI34" s="160"/>
      <c r="BDJ34" s="160"/>
      <c r="BDK34" s="160"/>
      <c r="BDL34" s="160"/>
      <c r="BDM34" s="160"/>
      <c r="BDN34" s="160"/>
      <c r="BDO34" s="160"/>
      <c r="BDP34" s="160"/>
      <c r="BDQ34" s="160"/>
      <c r="BDR34" s="160"/>
      <c r="BDS34" s="160"/>
      <c r="BDT34" s="160"/>
      <c r="BDU34" s="160"/>
      <c r="BDV34" s="160"/>
      <c r="BDW34" s="160"/>
      <c r="BDX34" s="160"/>
      <c r="BDY34" s="160"/>
      <c r="BDZ34" s="160"/>
      <c r="BEA34" s="160"/>
      <c r="BEB34" s="160"/>
      <c r="BEC34" s="160"/>
      <c r="BED34" s="160"/>
      <c r="BEE34" s="160"/>
      <c r="BEF34" s="160"/>
      <c r="BEG34" s="160"/>
      <c r="BEH34" s="160"/>
      <c r="BEI34" s="160"/>
      <c r="BEJ34" s="160"/>
      <c r="BEK34" s="160"/>
      <c r="BEL34" s="160"/>
      <c r="BEM34" s="160"/>
      <c r="BEN34" s="160"/>
      <c r="BEO34" s="160"/>
      <c r="BEP34" s="160"/>
      <c r="BEQ34" s="160"/>
      <c r="BER34" s="160"/>
      <c r="BES34" s="160"/>
      <c r="BET34" s="160"/>
      <c r="BEU34" s="160"/>
      <c r="BEV34" s="160"/>
      <c r="BEW34" s="160"/>
      <c r="BEX34" s="160"/>
      <c r="BEY34" s="160"/>
      <c r="BEZ34" s="160"/>
      <c r="BFA34" s="160"/>
      <c r="BFB34" s="160"/>
      <c r="BFC34" s="160"/>
      <c r="BFD34" s="160"/>
      <c r="BFE34" s="160"/>
      <c r="BFF34" s="160"/>
      <c r="BFG34" s="160"/>
      <c r="BFH34" s="160"/>
      <c r="BFI34" s="160"/>
      <c r="BFJ34" s="160"/>
      <c r="BFK34" s="160"/>
      <c r="BFL34" s="160"/>
      <c r="BFM34" s="160"/>
      <c r="BFN34" s="160"/>
      <c r="BFO34" s="160"/>
      <c r="BFP34" s="160"/>
      <c r="BFQ34" s="160"/>
      <c r="BFR34" s="160"/>
      <c r="BFS34" s="160"/>
      <c r="BFT34" s="160"/>
      <c r="BFU34" s="160"/>
      <c r="BFV34" s="160"/>
      <c r="BFW34" s="160"/>
      <c r="BFX34" s="160"/>
      <c r="BFY34" s="160"/>
      <c r="BFZ34" s="160"/>
      <c r="BGA34" s="160"/>
      <c r="BGB34" s="160"/>
      <c r="BGC34" s="160"/>
      <c r="BGD34" s="160"/>
      <c r="BGE34" s="160"/>
      <c r="BGK34" s="160"/>
      <c r="BGL34" s="160"/>
      <c r="BGM34" s="160"/>
      <c r="BGN34" s="160"/>
      <c r="BGO34" s="160"/>
      <c r="BGP34" s="160"/>
      <c r="BGQ34" s="160"/>
      <c r="BGR34" s="160"/>
      <c r="BGS34" s="160"/>
      <c r="BGT34" s="160"/>
      <c r="BGU34" s="160"/>
      <c r="BGV34" s="160"/>
      <c r="BGW34" s="160"/>
      <c r="BGX34" s="160"/>
      <c r="BGY34" s="160"/>
      <c r="BGZ34" s="160"/>
      <c r="BHA34" s="160"/>
      <c r="BHB34" s="160"/>
      <c r="BHC34" s="160"/>
      <c r="BHD34" s="160"/>
      <c r="BHE34" s="160"/>
      <c r="BHF34" s="160"/>
      <c r="BHG34" s="160"/>
      <c r="BHH34" s="160"/>
      <c r="BHI34" s="160"/>
      <c r="BHJ34" s="160"/>
      <c r="BHK34" s="160"/>
      <c r="BHL34" s="160"/>
      <c r="BHM34" s="160"/>
      <c r="BHN34" s="160"/>
      <c r="BHO34" s="160"/>
      <c r="BHP34" s="160"/>
      <c r="BHQ34" s="160"/>
      <c r="BHR34" s="160"/>
      <c r="BHS34" s="160"/>
      <c r="BHT34" s="160"/>
      <c r="BHU34" s="160"/>
      <c r="BHV34" s="160"/>
      <c r="BHW34" s="160"/>
      <c r="BHX34" s="160"/>
      <c r="BHY34" s="160"/>
      <c r="BHZ34" s="160"/>
      <c r="BIA34" s="160"/>
      <c r="BIB34" s="160"/>
      <c r="BIC34" s="160"/>
      <c r="BID34" s="160"/>
      <c r="BIE34" s="160"/>
      <c r="BIF34" s="160"/>
      <c r="BIG34" s="160"/>
      <c r="BIH34" s="160"/>
      <c r="BII34" s="160"/>
      <c r="BIJ34" s="160"/>
      <c r="BIK34" s="160"/>
      <c r="BIL34" s="160"/>
      <c r="BIM34" s="160"/>
      <c r="BIN34" s="160"/>
      <c r="BIO34" s="160"/>
      <c r="BIP34" s="160"/>
      <c r="BIQ34" s="160"/>
      <c r="BIR34" s="160"/>
      <c r="BIS34" s="160"/>
      <c r="BIT34" s="160"/>
      <c r="BIU34" s="160"/>
      <c r="BIV34" s="160"/>
      <c r="BIW34" s="160"/>
      <c r="BIX34" s="160"/>
      <c r="BIY34" s="160"/>
      <c r="BIZ34" s="160"/>
      <c r="BJA34" s="160"/>
      <c r="BJB34" s="160"/>
      <c r="BJC34" s="160"/>
      <c r="BJD34" s="160"/>
      <c r="BJE34" s="160"/>
      <c r="BJF34" s="160"/>
      <c r="BJG34" s="160"/>
      <c r="BJH34" s="160"/>
      <c r="BJI34" s="160"/>
      <c r="BJJ34" s="160"/>
      <c r="BJK34" s="160"/>
      <c r="BJL34" s="160"/>
      <c r="BJM34" s="160"/>
      <c r="BJN34" s="160"/>
      <c r="BJO34" s="160"/>
      <c r="BJP34" s="160"/>
      <c r="BJQ34" s="160"/>
      <c r="BJR34" s="160"/>
      <c r="BJS34" s="160"/>
      <c r="BJT34" s="160"/>
      <c r="BJU34" s="160"/>
      <c r="BJV34" s="160"/>
      <c r="BJW34" s="160"/>
      <c r="BJX34" s="160"/>
      <c r="BJY34" s="160"/>
      <c r="BJZ34" s="160"/>
      <c r="BKA34" s="160"/>
      <c r="BKB34" s="160"/>
      <c r="BKC34" s="160"/>
      <c r="BKD34" s="160"/>
      <c r="BKE34" s="160"/>
      <c r="BKF34" s="160"/>
      <c r="BKG34" s="160"/>
      <c r="BKH34" s="160"/>
      <c r="BKI34" s="160"/>
      <c r="BKJ34" s="160"/>
      <c r="BKK34" s="160"/>
      <c r="BKL34" s="160"/>
      <c r="BKM34" s="160"/>
      <c r="BKN34" s="160"/>
      <c r="BKO34" s="160"/>
      <c r="BKP34" s="160"/>
      <c r="BKQ34" s="160"/>
      <c r="BKR34" s="160"/>
      <c r="BKS34" s="160"/>
      <c r="BKT34" s="160"/>
      <c r="BKU34" s="160"/>
      <c r="BKV34" s="160"/>
      <c r="BKW34" s="160"/>
      <c r="BKX34" s="160"/>
      <c r="BKY34" s="160"/>
      <c r="BKZ34" s="160"/>
      <c r="BLA34" s="160"/>
      <c r="BLB34" s="160"/>
      <c r="BLC34" s="160"/>
      <c r="BLD34" s="160"/>
      <c r="BLE34" s="160"/>
      <c r="BLF34" s="160"/>
      <c r="BLG34" s="160"/>
      <c r="BLH34" s="160"/>
      <c r="BLI34" s="160"/>
      <c r="BLJ34" s="160"/>
      <c r="BLK34" s="160"/>
      <c r="BLL34" s="160"/>
      <c r="BLM34" s="160"/>
      <c r="BLN34" s="160"/>
      <c r="BLO34" s="160"/>
      <c r="BLP34" s="160"/>
      <c r="BLQ34" s="160"/>
      <c r="BLR34" s="160"/>
      <c r="BLS34" s="160"/>
      <c r="BLT34" s="160"/>
      <c r="BLU34" s="160"/>
      <c r="BLV34" s="160"/>
      <c r="BLW34" s="160"/>
      <c r="BLX34" s="160"/>
      <c r="BLY34" s="160"/>
      <c r="BLZ34" s="160"/>
      <c r="BMA34" s="160"/>
      <c r="BMB34" s="160"/>
      <c r="BMC34" s="160"/>
      <c r="BMD34" s="160"/>
      <c r="BME34" s="160"/>
      <c r="BMF34" s="160"/>
      <c r="BMG34" s="160"/>
      <c r="BMH34" s="160"/>
      <c r="BMI34" s="160"/>
      <c r="BMJ34" s="160"/>
      <c r="BMK34" s="160"/>
      <c r="BML34" s="160"/>
      <c r="BMM34" s="160"/>
      <c r="BMN34" s="160"/>
      <c r="BMO34" s="160"/>
      <c r="BMP34" s="160"/>
      <c r="BMQ34" s="160"/>
      <c r="BMR34" s="160"/>
      <c r="BMS34" s="160"/>
      <c r="BMT34" s="160"/>
      <c r="BMU34" s="160"/>
      <c r="BMV34" s="160"/>
      <c r="BMW34" s="160"/>
      <c r="BMX34" s="160"/>
      <c r="BMY34" s="160"/>
      <c r="BMZ34" s="160"/>
      <c r="BNA34" s="160"/>
      <c r="BNB34" s="160"/>
      <c r="BNC34" s="160"/>
      <c r="BND34" s="160"/>
      <c r="BNE34" s="160"/>
      <c r="BNF34" s="160"/>
      <c r="BNG34" s="160"/>
      <c r="BNH34" s="160"/>
      <c r="BNI34" s="160"/>
      <c r="BNJ34" s="160"/>
      <c r="BNK34" s="160"/>
      <c r="BNL34" s="160"/>
      <c r="BNM34" s="160"/>
      <c r="BNN34" s="160"/>
      <c r="BNO34" s="160"/>
      <c r="BNP34" s="160"/>
      <c r="BNQ34" s="160"/>
      <c r="BNR34" s="160"/>
      <c r="BNS34" s="160"/>
      <c r="BNT34" s="160"/>
      <c r="BNU34" s="160"/>
      <c r="BNV34" s="160"/>
      <c r="BNW34" s="160"/>
      <c r="BNX34" s="160"/>
      <c r="BNY34" s="160"/>
      <c r="BNZ34" s="160"/>
      <c r="BOA34" s="160"/>
      <c r="BOB34" s="160"/>
      <c r="BOC34" s="160"/>
      <c r="BOD34" s="160"/>
      <c r="BOE34" s="160"/>
      <c r="BOF34" s="160"/>
      <c r="BOG34" s="160"/>
      <c r="BOH34" s="160"/>
      <c r="BOI34" s="160"/>
      <c r="BOJ34" s="160"/>
      <c r="BOK34" s="160"/>
      <c r="BOL34" s="160"/>
      <c r="BOM34" s="160"/>
      <c r="BON34" s="160"/>
      <c r="BOO34" s="160"/>
      <c r="BOP34" s="160"/>
      <c r="BOQ34" s="160"/>
      <c r="BOR34" s="160"/>
      <c r="BOS34" s="160"/>
      <c r="BOT34" s="160"/>
      <c r="BOU34" s="160"/>
      <c r="BOV34" s="160"/>
      <c r="BOW34" s="160"/>
      <c r="BOX34" s="160"/>
      <c r="BOY34" s="160"/>
      <c r="BOZ34" s="160"/>
      <c r="BPA34" s="160"/>
      <c r="BPB34" s="160"/>
      <c r="BPC34" s="160"/>
      <c r="BPD34" s="160"/>
      <c r="BPE34" s="160"/>
      <c r="BPF34" s="160"/>
      <c r="BPG34" s="160"/>
      <c r="BPH34" s="160"/>
      <c r="BPI34" s="160"/>
      <c r="BPJ34" s="160"/>
      <c r="BPK34" s="160"/>
      <c r="BPL34" s="160"/>
      <c r="BPM34" s="160"/>
      <c r="BPN34" s="160"/>
      <c r="BPO34" s="160"/>
      <c r="BPP34" s="160"/>
      <c r="BPQ34" s="160"/>
      <c r="BPR34" s="160"/>
      <c r="BPS34" s="160"/>
      <c r="BPT34" s="160"/>
      <c r="BPU34" s="160"/>
      <c r="BPV34" s="160"/>
      <c r="BPW34" s="160"/>
      <c r="BPX34" s="160"/>
      <c r="BPY34" s="160"/>
      <c r="BPZ34" s="160"/>
      <c r="BQA34" s="160"/>
      <c r="BQG34" s="160"/>
      <c r="BQH34" s="160"/>
      <c r="BQI34" s="160"/>
      <c r="BQJ34" s="160"/>
      <c r="BQK34" s="160"/>
      <c r="BQL34" s="160"/>
      <c r="BQM34" s="160"/>
      <c r="BQN34" s="160"/>
      <c r="BQO34" s="160"/>
      <c r="BQP34" s="160"/>
      <c r="BQQ34" s="160"/>
      <c r="BQR34" s="160"/>
      <c r="BQS34" s="160"/>
      <c r="BQT34" s="160"/>
      <c r="BQU34" s="160"/>
      <c r="BQV34" s="160"/>
      <c r="BQW34" s="160"/>
      <c r="BQX34" s="160"/>
      <c r="BQY34" s="160"/>
      <c r="BQZ34" s="160"/>
      <c r="BRA34" s="160"/>
      <c r="BRB34" s="160"/>
      <c r="BRC34" s="160"/>
      <c r="BRD34" s="160"/>
      <c r="BRE34" s="160"/>
      <c r="BRF34" s="160"/>
      <c r="BRG34" s="160"/>
      <c r="BRH34" s="160"/>
      <c r="BRI34" s="160"/>
      <c r="BRJ34" s="160"/>
      <c r="BRK34" s="160"/>
      <c r="BRL34" s="160"/>
      <c r="BRM34" s="160"/>
      <c r="BRN34" s="160"/>
      <c r="BRO34" s="160"/>
      <c r="BRP34" s="160"/>
      <c r="BRQ34" s="160"/>
      <c r="BRR34" s="160"/>
      <c r="BRS34" s="160"/>
      <c r="BRT34" s="160"/>
      <c r="BRU34" s="160"/>
      <c r="BRV34" s="160"/>
      <c r="BRW34" s="160"/>
      <c r="BRX34" s="160"/>
      <c r="BRY34" s="160"/>
      <c r="BRZ34" s="160"/>
      <c r="BSA34" s="160"/>
      <c r="BSB34" s="160"/>
      <c r="BSC34" s="160"/>
      <c r="BSD34" s="160"/>
      <c r="BSE34" s="160"/>
      <c r="BSF34" s="160"/>
      <c r="BSG34" s="160"/>
      <c r="BSH34" s="160"/>
      <c r="BSI34" s="160"/>
      <c r="BSJ34" s="160"/>
      <c r="BSK34" s="160"/>
      <c r="BSL34" s="160"/>
      <c r="BSM34" s="160"/>
      <c r="BSN34" s="160"/>
      <c r="BSO34" s="160"/>
      <c r="BSP34" s="160"/>
      <c r="BSQ34" s="160"/>
      <c r="BSR34" s="160"/>
      <c r="BSS34" s="160"/>
      <c r="BST34" s="160"/>
      <c r="BSU34" s="160"/>
      <c r="BSV34" s="160"/>
      <c r="BSW34" s="160"/>
      <c r="BSX34" s="160"/>
      <c r="BSY34" s="160"/>
      <c r="BSZ34" s="160"/>
      <c r="BTA34" s="160"/>
      <c r="BTB34" s="160"/>
      <c r="BTC34" s="160"/>
      <c r="BTD34" s="160"/>
      <c r="BTE34" s="160"/>
      <c r="BTF34" s="160"/>
      <c r="BTG34" s="160"/>
      <c r="BTH34" s="160"/>
      <c r="BTI34" s="160"/>
      <c r="BTJ34" s="160"/>
      <c r="BTK34" s="160"/>
      <c r="BTL34" s="160"/>
      <c r="BTM34" s="160"/>
      <c r="BTN34" s="160"/>
      <c r="BTO34" s="160"/>
      <c r="BTP34" s="160"/>
      <c r="BTQ34" s="160"/>
      <c r="BTR34" s="160"/>
      <c r="BTS34" s="160"/>
      <c r="BTT34" s="160"/>
      <c r="BTU34" s="160"/>
      <c r="BTV34" s="160"/>
      <c r="BTW34" s="160"/>
      <c r="BTX34" s="160"/>
      <c r="BTY34" s="160"/>
      <c r="BTZ34" s="160"/>
      <c r="BUA34" s="160"/>
      <c r="BUB34" s="160"/>
      <c r="BUC34" s="160"/>
      <c r="BUD34" s="160"/>
      <c r="BUE34" s="160"/>
      <c r="BUF34" s="160"/>
      <c r="BUG34" s="160"/>
      <c r="BUH34" s="160"/>
      <c r="BUI34" s="160"/>
      <c r="BUJ34" s="160"/>
      <c r="BUK34" s="160"/>
      <c r="BUL34" s="160"/>
      <c r="BUM34" s="160"/>
      <c r="BUN34" s="160"/>
      <c r="BUO34" s="160"/>
      <c r="BUP34" s="160"/>
      <c r="BUQ34" s="160"/>
      <c r="BUR34" s="160"/>
      <c r="BUS34" s="160"/>
      <c r="BUT34" s="160"/>
      <c r="BUU34" s="160"/>
      <c r="BUV34" s="160"/>
      <c r="BUW34" s="160"/>
      <c r="BUX34" s="160"/>
      <c r="BUY34" s="160"/>
      <c r="BUZ34" s="160"/>
      <c r="BVA34" s="160"/>
      <c r="BVB34" s="160"/>
      <c r="BVC34" s="160"/>
      <c r="BVD34" s="160"/>
      <c r="BVE34" s="160"/>
      <c r="BVF34" s="160"/>
      <c r="BVG34" s="160"/>
      <c r="BVH34" s="160"/>
      <c r="BVI34" s="160"/>
      <c r="BVJ34" s="160"/>
      <c r="BVK34" s="160"/>
      <c r="BVL34" s="160"/>
      <c r="BVM34" s="160"/>
      <c r="BVN34" s="160"/>
      <c r="BVO34" s="160"/>
      <c r="BVP34" s="160"/>
      <c r="BVQ34" s="160"/>
      <c r="BVR34" s="160"/>
      <c r="BVS34" s="160"/>
      <c r="BVT34" s="160"/>
      <c r="BVU34" s="160"/>
      <c r="BVV34" s="160"/>
      <c r="BVW34" s="160"/>
      <c r="BVX34" s="160"/>
      <c r="BVY34" s="160"/>
      <c r="BVZ34" s="160"/>
      <c r="BWA34" s="160"/>
      <c r="BWB34" s="160"/>
      <c r="BWC34" s="160"/>
      <c r="BWD34" s="160"/>
      <c r="BWE34" s="160"/>
      <c r="BWF34" s="160"/>
      <c r="BWG34" s="160"/>
      <c r="BWH34" s="160"/>
      <c r="BWI34" s="160"/>
      <c r="BWJ34" s="160"/>
      <c r="BWK34" s="160"/>
      <c r="BWL34" s="160"/>
      <c r="BWM34" s="160"/>
      <c r="BWN34" s="160"/>
      <c r="BWO34" s="160"/>
      <c r="BWP34" s="160"/>
      <c r="BWQ34" s="160"/>
      <c r="BWR34" s="160"/>
      <c r="BWS34" s="160"/>
      <c r="BWT34" s="160"/>
      <c r="BWU34" s="160"/>
      <c r="BWV34" s="160"/>
      <c r="BWW34" s="160"/>
      <c r="BWX34" s="160"/>
      <c r="BWY34" s="160"/>
      <c r="BWZ34" s="160"/>
      <c r="BXA34" s="160"/>
      <c r="BXB34" s="160"/>
      <c r="BXC34" s="160"/>
      <c r="BXD34" s="160"/>
      <c r="BXE34" s="160"/>
      <c r="BXF34" s="160"/>
      <c r="BXG34" s="160"/>
      <c r="BXH34" s="160"/>
      <c r="BXI34" s="160"/>
      <c r="BXJ34" s="160"/>
      <c r="BXK34" s="160"/>
      <c r="BXL34" s="160"/>
      <c r="BXM34" s="160"/>
      <c r="BXN34" s="160"/>
      <c r="BXO34" s="160"/>
      <c r="BXP34" s="160"/>
      <c r="BXQ34" s="160"/>
      <c r="BXR34" s="160"/>
      <c r="BXS34" s="160"/>
      <c r="BXT34" s="160"/>
      <c r="BXU34" s="160"/>
      <c r="BXV34" s="160"/>
      <c r="BXW34" s="160"/>
      <c r="BXX34" s="160"/>
      <c r="BXY34" s="160"/>
      <c r="BXZ34" s="160"/>
      <c r="BYA34" s="160"/>
      <c r="BYB34" s="160"/>
      <c r="BYC34" s="160"/>
      <c r="BYD34" s="160"/>
      <c r="BYE34" s="160"/>
      <c r="BYF34" s="160"/>
      <c r="BYG34" s="160"/>
      <c r="BYH34" s="160"/>
      <c r="BYI34" s="160"/>
      <c r="BYJ34" s="160"/>
      <c r="BYK34" s="160"/>
      <c r="BYL34" s="160"/>
      <c r="BYM34" s="160"/>
      <c r="BYN34" s="160"/>
      <c r="BYO34" s="160"/>
      <c r="BYP34" s="160"/>
      <c r="BYQ34" s="160"/>
      <c r="BYR34" s="160"/>
      <c r="BYS34" s="160"/>
      <c r="BYT34" s="160"/>
      <c r="BYU34" s="160"/>
      <c r="BYV34" s="160"/>
      <c r="BYW34" s="160"/>
      <c r="BYX34" s="160"/>
      <c r="BYY34" s="160"/>
      <c r="BYZ34" s="160"/>
      <c r="BZA34" s="160"/>
      <c r="BZB34" s="160"/>
      <c r="BZC34" s="160"/>
      <c r="BZD34" s="160"/>
      <c r="BZE34" s="160"/>
      <c r="BZF34" s="160"/>
      <c r="BZG34" s="160"/>
      <c r="BZH34" s="160"/>
      <c r="BZI34" s="160"/>
      <c r="BZJ34" s="160"/>
      <c r="BZK34" s="160"/>
      <c r="BZL34" s="160"/>
      <c r="BZM34" s="160"/>
      <c r="BZN34" s="160"/>
      <c r="BZO34" s="160"/>
      <c r="BZP34" s="160"/>
      <c r="BZQ34" s="160"/>
      <c r="BZR34" s="160"/>
      <c r="BZS34" s="160"/>
      <c r="BZT34" s="160"/>
      <c r="BZU34" s="160"/>
      <c r="BZV34" s="160"/>
      <c r="BZW34" s="160"/>
      <c r="CAC34" s="160"/>
      <c r="CAD34" s="160"/>
      <c r="CAE34" s="160"/>
      <c r="CAF34" s="160"/>
      <c r="CAG34" s="160"/>
      <c r="CAH34" s="160"/>
      <c r="CAI34" s="160"/>
      <c r="CAJ34" s="160"/>
      <c r="CAK34" s="160"/>
      <c r="CAL34" s="160"/>
      <c r="CAM34" s="160"/>
      <c r="CAN34" s="160"/>
      <c r="CAO34" s="160"/>
      <c r="CAP34" s="160"/>
      <c r="CAQ34" s="160"/>
      <c r="CAR34" s="160"/>
      <c r="CAS34" s="160"/>
      <c r="CAT34" s="160"/>
      <c r="CAU34" s="160"/>
      <c r="CAV34" s="160"/>
      <c r="CAW34" s="160"/>
      <c r="CAX34" s="160"/>
      <c r="CAY34" s="160"/>
      <c r="CAZ34" s="160"/>
      <c r="CBA34" s="160"/>
      <c r="CBB34" s="160"/>
      <c r="CBC34" s="160"/>
      <c r="CBD34" s="160"/>
      <c r="CBE34" s="160"/>
      <c r="CBF34" s="160"/>
      <c r="CBG34" s="160"/>
      <c r="CBH34" s="160"/>
      <c r="CBI34" s="160"/>
      <c r="CBJ34" s="160"/>
      <c r="CBK34" s="160"/>
      <c r="CBL34" s="160"/>
      <c r="CBM34" s="160"/>
      <c r="CBN34" s="160"/>
      <c r="CBO34" s="160"/>
      <c r="CBP34" s="160"/>
      <c r="CBQ34" s="160"/>
      <c r="CBR34" s="160"/>
      <c r="CBS34" s="160"/>
      <c r="CBT34" s="160"/>
      <c r="CBU34" s="160"/>
      <c r="CBV34" s="160"/>
      <c r="CBW34" s="160"/>
      <c r="CBX34" s="160"/>
      <c r="CBY34" s="160"/>
      <c r="CBZ34" s="160"/>
      <c r="CCA34" s="160"/>
      <c r="CCB34" s="160"/>
      <c r="CCC34" s="160"/>
      <c r="CCD34" s="160"/>
      <c r="CCE34" s="160"/>
      <c r="CCF34" s="160"/>
      <c r="CCG34" s="160"/>
      <c r="CCH34" s="160"/>
      <c r="CCI34" s="160"/>
      <c r="CCJ34" s="160"/>
      <c r="CCK34" s="160"/>
      <c r="CCL34" s="160"/>
      <c r="CCM34" s="160"/>
      <c r="CCN34" s="160"/>
      <c r="CCO34" s="160"/>
      <c r="CCP34" s="160"/>
      <c r="CCQ34" s="160"/>
      <c r="CCR34" s="160"/>
      <c r="CCS34" s="160"/>
      <c r="CCT34" s="160"/>
      <c r="CCU34" s="160"/>
      <c r="CCV34" s="160"/>
      <c r="CCW34" s="160"/>
      <c r="CCX34" s="160"/>
      <c r="CCY34" s="160"/>
      <c r="CCZ34" s="160"/>
      <c r="CDA34" s="160"/>
      <c r="CDB34" s="160"/>
      <c r="CDC34" s="160"/>
      <c r="CDD34" s="160"/>
      <c r="CDE34" s="160"/>
      <c r="CDF34" s="160"/>
      <c r="CDG34" s="160"/>
      <c r="CDH34" s="160"/>
      <c r="CDI34" s="160"/>
      <c r="CDJ34" s="160"/>
      <c r="CDK34" s="160"/>
      <c r="CDL34" s="160"/>
      <c r="CDM34" s="160"/>
      <c r="CDN34" s="160"/>
      <c r="CDO34" s="160"/>
      <c r="CDP34" s="160"/>
      <c r="CDQ34" s="160"/>
      <c r="CDR34" s="160"/>
      <c r="CDS34" s="160"/>
      <c r="CDT34" s="160"/>
      <c r="CDU34" s="160"/>
      <c r="CDV34" s="160"/>
      <c r="CDW34" s="160"/>
      <c r="CDX34" s="160"/>
      <c r="CDY34" s="160"/>
      <c r="CDZ34" s="160"/>
      <c r="CEA34" s="160"/>
      <c r="CEB34" s="160"/>
      <c r="CEC34" s="160"/>
      <c r="CED34" s="160"/>
      <c r="CEE34" s="160"/>
      <c r="CEF34" s="160"/>
      <c r="CEG34" s="160"/>
      <c r="CEH34" s="160"/>
      <c r="CEI34" s="160"/>
      <c r="CEJ34" s="160"/>
      <c r="CEK34" s="160"/>
      <c r="CEL34" s="160"/>
      <c r="CEM34" s="160"/>
      <c r="CEN34" s="160"/>
      <c r="CEO34" s="160"/>
      <c r="CEP34" s="160"/>
      <c r="CEQ34" s="160"/>
      <c r="CER34" s="160"/>
      <c r="CES34" s="160"/>
      <c r="CET34" s="160"/>
      <c r="CEU34" s="160"/>
      <c r="CEV34" s="160"/>
      <c r="CEW34" s="160"/>
      <c r="CEX34" s="160"/>
      <c r="CEY34" s="160"/>
      <c r="CEZ34" s="160"/>
      <c r="CFA34" s="160"/>
      <c r="CFB34" s="160"/>
      <c r="CFC34" s="160"/>
      <c r="CFD34" s="160"/>
      <c r="CFE34" s="160"/>
      <c r="CFF34" s="160"/>
      <c r="CFG34" s="160"/>
      <c r="CFH34" s="160"/>
      <c r="CFI34" s="160"/>
      <c r="CFJ34" s="160"/>
      <c r="CFK34" s="160"/>
      <c r="CFL34" s="160"/>
      <c r="CFM34" s="160"/>
      <c r="CFN34" s="160"/>
      <c r="CFO34" s="160"/>
      <c r="CFP34" s="160"/>
      <c r="CFQ34" s="160"/>
      <c r="CFR34" s="160"/>
      <c r="CFS34" s="160"/>
      <c r="CFT34" s="160"/>
      <c r="CFU34" s="160"/>
      <c r="CFV34" s="160"/>
      <c r="CFW34" s="160"/>
      <c r="CFX34" s="160"/>
      <c r="CFY34" s="160"/>
      <c r="CFZ34" s="160"/>
      <c r="CGA34" s="160"/>
      <c r="CGB34" s="160"/>
      <c r="CGC34" s="160"/>
      <c r="CGD34" s="160"/>
      <c r="CGE34" s="160"/>
      <c r="CGF34" s="160"/>
      <c r="CGG34" s="160"/>
      <c r="CGH34" s="160"/>
      <c r="CGI34" s="160"/>
      <c r="CGJ34" s="160"/>
      <c r="CGK34" s="160"/>
      <c r="CGL34" s="160"/>
      <c r="CGM34" s="160"/>
      <c r="CGN34" s="160"/>
      <c r="CGO34" s="160"/>
      <c r="CGP34" s="160"/>
      <c r="CGQ34" s="160"/>
      <c r="CGR34" s="160"/>
      <c r="CGS34" s="160"/>
      <c r="CGT34" s="160"/>
      <c r="CGU34" s="160"/>
      <c r="CGV34" s="160"/>
      <c r="CGW34" s="160"/>
      <c r="CGX34" s="160"/>
      <c r="CGY34" s="160"/>
      <c r="CGZ34" s="160"/>
      <c r="CHA34" s="160"/>
      <c r="CHB34" s="160"/>
      <c r="CHC34" s="160"/>
      <c r="CHD34" s="160"/>
      <c r="CHE34" s="160"/>
      <c r="CHF34" s="160"/>
      <c r="CHG34" s="160"/>
      <c r="CHH34" s="160"/>
      <c r="CHI34" s="160"/>
      <c r="CHJ34" s="160"/>
      <c r="CHK34" s="160"/>
      <c r="CHL34" s="160"/>
      <c r="CHM34" s="160"/>
      <c r="CHN34" s="160"/>
      <c r="CHO34" s="160"/>
      <c r="CHP34" s="160"/>
      <c r="CHQ34" s="160"/>
      <c r="CHR34" s="160"/>
      <c r="CHS34" s="160"/>
      <c r="CHT34" s="160"/>
      <c r="CHU34" s="160"/>
      <c r="CHV34" s="160"/>
      <c r="CHW34" s="160"/>
      <c r="CHX34" s="160"/>
      <c r="CHY34" s="160"/>
      <c r="CHZ34" s="160"/>
      <c r="CIA34" s="160"/>
      <c r="CIB34" s="160"/>
      <c r="CIC34" s="160"/>
      <c r="CID34" s="160"/>
      <c r="CIE34" s="160"/>
      <c r="CIF34" s="160"/>
      <c r="CIG34" s="160"/>
      <c r="CIH34" s="160"/>
      <c r="CII34" s="160"/>
      <c r="CIJ34" s="160"/>
      <c r="CIK34" s="160"/>
      <c r="CIL34" s="160"/>
      <c r="CIM34" s="160"/>
      <c r="CIN34" s="160"/>
      <c r="CIO34" s="160"/>
      <c r="CIP34" s="160"/>
      <c r="CIQ34" s="160"/>
      <c r="CIR34" s="160"/>
      <c r="CIS34" s="160"/>
      <c r="CIT34" s="160"/>
      <c r="CIU34" s="160"/>
      <c r="CIV34" s="160"/>
      <c r="CIW34" s="160"/>
      <c r="CIX34" s="160"/>
      <c r="CIY34" s="160"/>
      <c r="CIZ34" s="160"/>
      <c r="CJA34" s="160"/>
      <c r="CJB34" s="160"/>
      <c r="CJC34" s="160"/>
      <c r="CJD34" s="160"/>
      <c r="CJE34" s="160"/>
      <c r="CJF34" s="160"/>
      <c r="CJG34" s="160"/>
      <c r="CJH34" s="160"/>
      <c r="CJI34" s="160"/>
      <c r="CJJ34" s="160"/>
      <c r="CJK34" s="160"/>
      <c r="CJL34" s="160"/>
      <c r="CJM34" s="160"/>
      <c r="CJN34" s="160"/>
      <c r="CJO34" s="160"/>
      <c r="CJP34" s="160"/>
      <c r="CJQ34" s="160"/>
      <c r="CJR34" s="160"/>
      <c r="CJS34" s="160"/>
      <c r="CJY34" s="160"/>
      <c r="CJZ34" s="160"/>
      <c r="CKA34" s="160"/>
      <c r="CKB34" s="160"/>
      <c r="CKC34" s="160"/>
      <c r="CKD34" s="160"/>
      <c r="CKE34" s="160"/>
      <c r="CKF34" s="160"/>
      <c r="CKG34" s="160"/>
      <c r="CKH34" s="160"/>
      <c r="CKI34" s="160"/>
      <c r="CKJ34" s="160"/>
      <c r="CKK34" s="160"/>
      <c r="CKL34" s="160"/>
      <c r="CKM34" s="160"/>
      <c r="CKN34" s="160"/>
      <c r="CKO34" s="160"/>
      <c r="CKP34" s="160"/>
      <c r="CKQ34" s="160"/>
      <c r="CKR34" s="160"/>
      <c r="CKS34" s="160"/>
      <c r="CKT34" s="160"/>
      <c r="CKU34" s="160"/>
      <c r="CKV34" s="160"/>
      <c r="CKW34" s="160"/>
      <c r="CKX34" s="160"/>
      <c r="CKY34" s="160"/>
      <c r="CKZ34" s="160"/>
      <c r="CLA34" s="160"/>
      <c r="CLB34" s="160"/>
      <c r="CLC34" s="160"/>
      <c r="CLD34" s="160"/>
      <c r="CLE34" s="160"/>
      <c r="CLF34" s="160"/>
      <c r="CLG34" s="160"/>
      <c r="CLH34" s="160"/>
      <c r="CLI34" s="160"/>
      <c r="CLJ34" s="160"/>
      <c r="CLK34" s="160"/>
      <c r="CLL34" s="160"/>
      <c r="CLM34" s="160"/>
      <c r="CLN34" s="160"/>
      <c r="CLO34" s="160"/>
      <c r="CLP34" s="160"/>
      <c r="CLQ34" s="160"/>
      <c r="CLR34" s="160"/>
      <c r="CLS34" s="160"/>
      <c r="CLT34" s="160"/>
      <c r="CLU34" s="160"/>
      <c r="CLV34" s="160"/>
      <c r="CLW34" s="160"/>
      <c r="CLX34" s="160"/>
      <c r="CLY34" s="160"/>
      <c r="CLZ34" s="160"/>
      <c r="CMA34" s="160"/>
      <c r="CMB34" s="160"/>
      <c r="CMC34" s="160"/>
      <c r="CMD34" s="160"/>
      <c r="CME34" s="160"/>
      <c r="CMF34" s="160"/>
      <c r="CMG34" s="160"/>
      <c r="CMH34" s="160"/>
      <c r="CMI34" s="160"/>
      <c r="CMJ34" s="160"/>
      <c r="CMK34" s="160"/>
      <c r="CML34" s="160"/>
      <c r="CMM34" s="160"/>
      <c r="CMN34" s="160"/>
      <c r="CMO34" s="160"/>
      <c r="CMP34" s="160"/>
      <c r="CMQ34" s="160"/>
      <c r="CMR34" s="160"/>
      <c r="CMS34" s="160"/>
      <c r="CMT34" s="160"/>
      <c r="CMU34" s="160"/>
      <c r="CMV34" s="160"/>
      <c r="CMW34" s="160"/>
      <c r="CMX34" s="160"/>
      <c r="CMY34" s="160"/>
      <c r="CMZ34" s="160"/>
      <c r="CNA34" s="160"/>
      <c r="CNB34" s="160"/>
      <c r="CNC34" s="160"/>
      <c r="CND34" s="160"/>
      <c r="CNE34" s="160"/>
      <c r="CNF34" s="160"/>
      <c r="CNG34" s="160"/>
      <c r="CNH34" s="160"/>
      <c r="CNI34" s="160"/>
      <c r="CNJ34" s="160"/>
      <c r="CNK34" s="160"/>
      <c r="CNL34" s="160"/>
      <c r="CNM34" s="160"/>
      <c r="CNN34" s="160"/>
      <c r="CNO34" s="160"/>
      <c r="CNP34" s="160"/>
      <c r="CNQ34" s="160"/>
      <c r="CNR34" s="160"/>
      <c r="CNS34" s="160"/>
      <c r="CNT34" s="160"/>
      <c r="CNU34" s="160"/>
      <c r="CNV34" s="160"/>
      <c r="CNW34" s="160"/>
      <c r="CNX34" s="160"/>
      <c r="CNY34" s="160"/>
      <c r="CNZ34" s="160"/>
      <c r="COA34" s="160"/>
      <c r="COB34" s="160"/>
      <c r="COC34" s="160"/>
      <c r="COD34" s="160"/>
      <c r="COE34" s="160"/>
      <c r="COF34" s="160"/>
      <c r="COG34" s="160"/>
      <c r="COH34" s="160"/>
      <c r="COI34" s="160"/>
      <c r="COJ34" s="160"/>
      <c r="COK34" s="160"/>
      <c r="COL34" s="160"/>
      <c r="COM34" s="160"/>
      <c r="CON34" s="160"/>
      <c r="COO34" s="160"/>
      <c r="COP34" s="160"/>
      <c r="COQ34" s="160"/>
      <c r="COR34" s="160"/>
      <c r="COS34" s="160"/>
      <c r="COT34" s="160"/>
      <c r="COU34" s="160"/>
      <c r="COV34" s="160"/>
      <c r="COW34" s="160"/>
      <c r="COX34" s="160"/>
      <c r="COY34" s="160"/>
      <c r="COZ34" s="160"/>
      <c r="CPA34" s="160"/>
      <c r="CPB34" s="160"/>
      <c r="CPC34" s="160"/>
      <c r="CPD34" s="160"/>
      <c r="CPE34" s="160"/>
      <c r="CPF34" s="160"/>
      <c r="CPG34" s="160"/>
      <c r="CPH34" s="160"/>
      <c r="CPI34" s="160"/>
      <c r="CPJ34" s="160"/>
      <c r="CPK34" s="160"/>
      <c r="CPL34" s="160"/>
      <c r="CPM34" s="160"/>
      <c r="CPN34" s="160"/>
      <c r="CPO34" s="160"/>
      <c r="CPP34" s="160"/>
      <c r="CPQ34" s="160"/>
      <c r="CPR34" s="160"/>
      <c r="CPS34" s="160"/>
      <c r="CPT34" s="160"/>
      <c r="CPU34" s="160"/>
      <c r="CPV34" s="160"/>
      <c r="CPW34" s="160"/>
      <c r="CPX34" s="160"/>
      <c r="CPY34" s="160"/>
      <c r="CPZ34" s="160"/>
      <c r="CQA34" s="160"/>
      <c r="CQB34" s="160"/>
      <c r="CQC34" s="160"/>
      <c r="CQD34" s="160"/>
      <c r="CQE34" s="160"/>
      <c r="CQF34" s="160"/>
      <c r="CQG34" s="160"/>
      <c r="CQH34" s="160"/>
      <c r="CQI34" s="160"/>
      <c r="CQJ34" s="160"/>
      <c r="CQK34" s="160"/>
      <c r="CQL34" s="160"/>
      <c r="CQM34" s="160"/>
      <c r="CQN34" s="160"/>
      <c r="CQO34" s="160"/>
      <c r="CQP34" s="160"/>
      <c r="CQQ34" s="160"/>
      <c r="CQR34" s="160"/>
      <c r="CQS34" s="160"/>
      <c r="CQT34" s="160"/>
      <c r="CQU34" s="160"/>
      <c r="CQV34" s="160"/>
      <c r="CQW34" s="160"/>
      <c r="CQX34" s="160"/>
      <c r="CQY34" s="160"/>
      <c r="CQZ34" s="160"/>
      <c r="CRA34" s="160"/>
      <c r="CRB34" s="160"/>
      <c r="CRC34" s="160"/>
      <c r="CRD34" s="160"/>
      <c r="CRE34" s="160"/>
      <c r="CRF34" s="160"/>
      <c r="CRG34" s="160"/>
      <c r="CRH34" s="160"/>
      <c r="CRI34" s="160"/>
      <c r="CRJ34" s="160"/>
      <c r="CRK34" s="160"/>
      <c r="CRL34" s="160"/>
      <c r="CRM34" s="160"/>
      <c r="CRN34" s="160"/>
      <c r="CRO34" s="160"/>
      <c r="CRP34" s="160"/>
      <c r="CRQ34" s="160"/>
      <c r="CRR34" s="160"/>
      <c r="CRS34" s="160"/>
      <c r="CRT34" s="160"/>
      <c r="CRU34" s="160"/>
      <c r="CRV34" s="160"/>
      <c r="CRW34" s="160"/>
      <c r="CRX34" s="160"/>
      <c r="CRY34" s="160"/>
      <c r="CRZ34" s="160"/>
      <c r="CSA34" s="160"/>
      <c r="CSB34" s="160"/>
      <c r="CSC34" s="160"/>
      <c r="CSD34" s="160"/>
      <c r="CSE34" s="160"/>
      <c r="CSF34" s="160"/>
      <c r="CSG34" s="160"/>
      <c r="CSH34" s="160"/>
      <c r="CSI34" s="160"/>
      <c r="CSJ34" s="160"/>
      <c r="CSK34" s="160"/>
      <c r="CSL34" s="160"/>
      <c r="CSM34" s="160"/>
      <c r="CSN34" s="160"/>
      <c r="CSO34" s="160"/>
      <c r="CSP34" s="160"/>
      <c r="CSQ34" s="160"/>
      <c r="CSR34" s="160"/>
      <c r="CSS34" s="160"/>
      <c r="CST34" s="160"/>
      <c r="CSU34" s="160"/>
      <c r="CSV34" s="160"/>
      <c r="CSW34" s="160"/>
      <c r="CSX34" s="160"/>
      <c r="CSY34" s="160"/>
      <c r="CSZ34" s="160"/>
      <c r="CTA34" s="160"/>
      <c r="CTB34" s="160"/>
      <c r="CTC34" s="160"/>
      <c r="CTD34" s="160"/>
      <c r="CTE34" s="160"/>
      <c r="CTF34" s="160"/>
      <c r="CTG34" s="160"/>
      <c r="CTH34" s="160"/>
      <c r="CTI34" s="160"/>
      <c r="CTJ34" s="160"/>
      <c r="CTK34" s="160"/>
      <c r="CTL34" s="160"/>
      <c r="CTM34" s="160"/>
      <c r="CTN34" s="160"/>
      <c r="CTO34" s="160"/>
      <c r="CTU34" s="160"/>
      <c r="CTV34" s="160"/>
      <c r="CTW34" s="160"/>
      <c r="CTX34" s="160"/>
      <c r="CTY34" s="160"/>
      <c r="CTZ34" s="160"/>
      <c r="CUA34" s="160"/>
      <c r="CUB34" s="160"/>
      <c r="CUC34" s="160"/>
      <c r="CUD34" s="160"/>
      <c r="CUE34" s="160"/>
      <c r="CUF34" s="160"/>
      <c r="CUG34" s="160"/>
      <c r="CUH34" s="160"/>
      <c r="CUI34" s="160"/>
      <c r="CUJ34" s="160"/>
      <c r="CUK34" s="160"/>
      <c r="CUL34" s="160"/>
      <c r="CUM34" s="160"/>
      <c r="CUN34" s="160"/>
      <c r="CUO34" s="160"/>
      <c r="CUP34" s="160"/>
      <c r="CUQ34" s="160"/>
      <c r="CUR34" s="160"/>
      <c r="CUS34" s="160"/>
      <c r="CUT34" s="160"/>
      <c r="CUU34" s="160"/>
      <c r="CUV34" s="160"/>
      <c r="CUW34" s="160"/>
      <c r="CUX34" s="160"/>
      <c r="CUY34" s="160"/>
      <c r="CUZ34" s="160"/>
      <c r="CVA34" s="160"/>
      <c r="CVB34" s="160"/>
      <c r="CVC34" s="160"/>
      <c r="CVD34" s="160"/>
      <c r="CVE34" s="160"/>
      <c r="CVF34" s="160"/>
      <c r="CVG34" s="160"/>
      <c r="CVH34" s="160"/>
      <c r="CVI34" s="160"/>
      <c r="CVJ34" s="160"/>
      <c r="CVK34" s="160"/>
      <c r="CVL34" s="160"/>
      <c r="CVM34" s="160"/>
      <c r="CVN34" s="160"/>
      <c r="CVO34" s="160"/>
      <c r="CVP34" s="160"/>
      <c r="CVQ34" s="160"/>
      <c r="CVR34" s="160"/>
      <c r="CVS34" s="160"/>
      <c r="CVT34" s="160"/>
      <c r="CVU34" s="160"/>
      <c r="CVV34" s="160"/>
      <c r="CVW34" s="160"/>
      <c r="CVX34" s="160"/>
      <c r="CVY34" s="160"/>
      <c r="CVZ34" s="160"/>
      <c r="CWA34" s="160"/>
      <c r="CWB34" s="160"/>
      <c r="CWC34" s="160"/>
      <c r="CWD34" s="160"/>
      <c r="CWE34" s="160"/>
      <c r="CWF34" s="160"/>
      <c r="CWG34" s="160"/>
      <c r="CWH34" s="160"/>
      <c r="CWI34" s="160"/>
      <c r="CWJ34" s="160"/>
      <c r="CWK34" s="160"/>
      <c r="CWL34" s="160"/>
      <c r="CWM34" s="160"/>
      <c r="CWN34" s="160"/>
      <c r="CWO34" s="160"/>
      <c r="CWP34" s="160"/>
      <c r="CWQ34" s="160"/>
      <c r="CWR34" s="160"/>
      <c r="CWS34" s="160"/>
      <c r="CWT34" s="160"/>
      <c r="CWU34" s="160"/>
      <c r="CWV34" s="160"/>
      <c r="CWW34" s="160"/>
      <c r="CWX34" s="160"/>
      <c r="CWY34" s="160"/>
      <c r="CWZ34" s="160"/>
      <c r="CXA34" s="160"/>
      <c r="CXB34" s="160"/>
      <c r="CXC34" s="160"/>
      <c r="CXD34" s="160"/>
      <c r="CXE34" s="160"/>
      <c r="CXF34" s="160"/>
      <c r="CXG34" s="160"/>
      <c r="CXH34" s="160"/>
      <c r="CXI34" s="160"/>
      <c r="CXJ34" s="160"/>
      <c r="CXK34" s="160"/>
      <c r="CXL34" s="160"/>
      <c r="CXM34" s="160"/>
      <c r="CXN34" s="160"/>
      <c r="CXO34" s="160"/>
      <c r="CXP34" s="160"/>
      <c r="CXQ34" s="160"/>
      <c r="CXR34" s="160"/>
      <c r="CXS34" s="160"/>
      <c r="CXT34" s="160"/>
      <c r="CXU34" s="160"/>
      <c r="CXV34" s="160"/>
      <c r="CXW34" s="160"/>
      <c r="CXX34" s="160"/>
      <c r="CXY34" s="160"/>
      <c r="CXZ34" s="160"/>
      <c r="CYA34" s="160"/>
      <c r="CYB34" s="160"/>
      <c r="CYC34" s="160"/>
      <c r="CYD34" s="160"/>
      <c r="CYE34" s="160"/>
      <c r="CYF34" s="160"/>
      <c r="CYG34" s="160"/>
      <c r="CYH34" s="160"/>
      <c r="CYI34" s="160"/>
      <c r="CYJ34" s="160"/>
      <c r="CYK34" s="160"/>
      <c r="CYL34" s="160"/>
      <c r="CYM34" s="160"/>
      <c r="CYN34" s="160"/>
      <c r="CYO34" s="160"/>
      <c r="CYP34" s="160"/>
      <c r="CYQ34" s="160"/>
      <c r="CYR34" s="160"/>
      <c r="CYS34" s="160"/>
      <c r="CYT34" s="160"/>
      <c r="CYU34" s="160"/>
      <c r="CYV34" s="160"/>
      <c r="CYW34" s="160"/>
      <c r="CYX34" s="160"/>
      <c r="CYY34" s="160"/>
      <c r="CYZ34" s="160"/>
      <c r="CZA34" s="160"/>
      <c r="CZB34" s="160"/>
      <c r="CZC34" s="160"/>
      <c r="CZD34" s="160"/>
      <c r="CZE34" s="160"/>
      <c r="CZF34" s="160"/>
      <c r="CZG34" s="160"/>
      <c r="CZH34" s="160"/>
      <c r="CZI34" s="160"/>
      <c r="CZJ34" s="160"/>
      <c r="CZK34" s="160"/>
      <c r="CZL34" s="160"/>
      <c r="CZM34" s="160"/>
      <c r="CZN34" s="160"/>
      <c r="CZO34" s="160"/>
      <c r="CZP34" s="160"/>
      <c r="CZQ34" s="160"/>
      <c r="CZR34" s="160"/>
      <c r="CZS34" s="160"/>
      <c r="CZT34" s="160"/>
      <c r="CZU34" s="160"/>
      <c r="CZV34" s="160"/>
      <c r="CZW34" s="160"/>
      <c r="CZX34" s="160"/>
      <c r="CZY34" s="160"/>
      <c r="CZZ34" s="160"/>
      <c r="DAA34" s="160"/>
      <c r="DAB34" s="160"/>
      <c r="DAC34" s="160"/>
      <c r="DAD34" s="160"/>
      <c r="DAE34" s="160"/>
      <c r="DAF34" s="160"/>
      <c r="DAG34" s="160"/>
      <c r="DAH34" s="160"/>
      <c r="DAI34" s="160"/>
      <c r="DAJ34" s="160"/>
      <c r="DAK34" s="160"/>
      <c r="DAL34" s="160"/>
      <c r="DAM34" s="160"/>
      <c r="DAN34" s="160"/>
      <c r="DAO34" s="160"/>
      <c r="DAP34" s="160"/>
      <c r="DAQ34" s="160"/>
      <c r="DAR34" s="160"/>
      <c r="DAS34" s="160"/>
      <c r="DAT34" s="160"/>
      <c r="DAU34" s="160"/>
      <c r="DAV34" s="160"/>
      <c r="DAW34" s="160"/>
      <c r="DAX34" s="160"/>
      <c r="DAY34" s="160"/>
      <c r="DAZ34" s="160"/>
      <c r="DBA34" s="160"/>
      <c r="DBB34" s="160"/>
      <c r="DBC34" s="160"/>
      <c r="DBD34" s="160"/>
      <c r="DBE34" s="160"/>
      <c r="DBF34" s="160"/>
      <c r="DBG34" s="160"/>
      <c r="DBH34" s="160"/>
      <c r="DBI34" s="160"/>
      <c r="DBJ34" s="160"/>
      <c r="DBK34" s="160"/>
      <c r="DBL34" s="160"/>
      <c r="DBM34" s="160"/>
      <c r="DBN34" s="160"/>
      <c r="DBO34" s="160"/>
      <c r="DBP34" s="160"/>
      <c r="DBQ34" s="160"/>
      <c r="DBR34" s="160"/>
      <c r="DBS34" s="160"/>
      <c r="DBT34" s="160"/>
      <c r="DBU34" s="160"/>
      <c r="DBV34" s="160"/>
      <c r="DBW34" s="160"/>
      <c r="DBX34" s="160"/>
      <c r="DBY34" s="160"/>
      <c r="DBZ34" s="160"/>
      <c r="DCA34" s="160"/>
      <c r="DCB34" s="160"/>
      <c r="DCC34" s="160"/>
      <c r="DCD34" s="160"/>
      <c r="DCE34" s="160"/>
      <c r="DCF34" s="160"/>
      <c r="DCG34" s="160"/>
      <c r="DCH34" s="160"/>
      <c r="DCI34" s="160"/>
      <c r="DCJ34" s="160"/>
      <c r="DCK34" s="160"/>
      <c r="DCL34" s="160"/>
      <c r="DCM34" s="160"/>
      <c r="DCN34" s="160"/>
      <c r="DCO34" s="160"/>
      <c r="DCP34" s="160"/>
      <c r="DCQ34" s="160"/>
      <c r="DCR34" s="160"/>
      <c r="DCS34" s="160"/>
      <c r="DCT34" s="160"/>
      <c r="DCU34" s="160"/>
      <c r="DCV34" s="160"/>
      <c r="DCW34" s="160"/>
      <c r="DCX34" s="160"/>
      <c r="DCY34" s="160"/>
      <c r="DCZ34" s="160"/>
      <c r="DDA34" s="160"/>
      <c r="DDB34" s="160"/>
      <c r="DDC34" s="160"/>
      <c r="DDD34" s="160"/>
      <c r="DDE34" s="160"/>
      <c r="DDF34" s="160"/>
      <c r="DDG34" s="160"/>
      <c r="DDH34" s="160"/>
      <c r="DDI34" s="160"/>
      <c r="DDJ34" s="160"/>
      <c r="DDK34" s="160"/>
      <c r="DDQ34" s="160"/>
      <c r="DDR34" s="160"/>
      <c r="DDS34" s="160"/>
      <c r="DDT34" s="160"/>
      <c r="DDU34" s="160"/>
      <c r="DDV34" s="160"/>
      <c r="DDW34" s="160"/>
      <c r="DDX34" s="160"/>
      <c r="DDY34" s="160"/>
      <c r="DDZ34" s="160"/>
      <c r="DEA34" s="160"/>
      <c r="DEB34" s="160"/>
      <c r="DEC34" s="160"/>
      <c r="DED34" s="160"/>
      <c r="DEE34" s="160"/>
      <c r="DEF34" s="160"/>
      <c r="DEG34" s="160"/>
      <c r="DEH34" s="160"/>
      <c r="DEI34" s="160"/>
      <c r="DEJ34" s="160"/>
      <c r="DEK34" s="160"/>
      <c r="DEL34" s="160"/>
      <c r="DEM34" s="160"/>
      <c r="DEN34" s="160"/>
      <c r="DEO34" s="160"/>
      <c r="DEP34" s="160"/>
      <c r="DEQ34" s="160"/>
      <c r="DER34" s="160"/>
      <c r="DES34" s="160"/>
      <c r="DET34" s="160"/>
      <c r="DEU34" s="160"/>
      <c r="DEV34" s="160"/>
      <c r="DEW34" s="160"/>
      <c r="DEX34" s="160"/>
      <c r="DEY34" s="160"/>
      <c r="DEZ34" s="160"/>
      <c r="DFA34" s="160"/>
      <c r="DFB34" s="160"/>
      <c r="DFC34" s="160"/>
      <c r="DFD34" s="160"/>
      <c r="DFE34" s="160"/>
      <c r="DFF34" s="160"/>
      <c r="DFG34" s="160"/>
      <c r="DFH34" s="160"/>
      <c r="DFI34" s="160"/>
      <c r="DFJ34" s="160"/>
      <c r="DFK34" s="160"/>
      <c r="DFL34" s="160"/>
      <c r="DFM34" s="160"/>
      <c r="DFN34" s="160"/>
      <c r="DFO34" s="160"/>
      <c r="DFP34" s="160"/>
      <c r="DFQ34" s="160"/>
      <c r="DFR34" s="160"/>
      <c r="DFS34" s="160"/>
      <c r="DFT34" s="160"/>
      <c r="DFU34" s="160"/>
      <c r="DFV34" s="160"/>
      <c r="DFW34" s="160"/>
      <c r="DFX34" s="160"/>
      <c r="DFY34" s="160"/>
      <c r="DFZ34" s="160"/>
      <c r="DGA34" s="160"/>
      <c r="DGB34" s="160"/>
      <c r="DGC34" s="160"/>
      <c r="DGD34" s="160"/>
      <c r="DGE34" s="160"/>
      <c r="DGF34" s="160"/>
      <c r="DGG34" s="160"/>
      <c r="DGH34" s="160"/>
      <c r="DGI34" s="160"/>
      <c r="DGJ34" s="160"/>
      <c r="DGK34" s="160"/>
      <c r="DGL34" s="160"/>
      <c r="DGM34" s="160"/>
      <c r="DGN34" s="160"/>
      <c r="DGO34" s="160"/>
      <c r="DGP34" s="160"/>
      <c r="DGQ34" s="160"/>
      <c r="DGR34" s="160"/>
      <c r="DGS34" s="160"/>
      <c r="DGT34" s="160"/>
      <c r="DGU34" s="160"/>
      <c r="DGV34" s="160"/>
      <c r="DGW34" s="160"/>
      <c r="DGX34" s="160"/>
      <c r="DGY34" s="160"/>
      <c r="DGZ34" s="160"/>
      <c r="DHA34" s="160"/>
      <c r="DHB34" s="160"/>
      <c r="DHC34" s="160"/>
      <c r="DHD34" s="160"/>
      <c r="DHE34" s="160"/>
      <c r="DHF34" s="160"/>
      <c r="DHG34" s="160"/>
      <c r="DHH34" s="160"/>
      <c r="DHI34" s="160"/>
      <c r="DHJ34" s="160"/>
      <c r="DHK34" s="160"/>
      <c r="DHL34" s="160"/>
      <c r="DHM34" s="160"/>
      <c r="DHN34" s="160"/>
      <c r="DHO34" s="160"/>
      <c r="DHP34" s="160"/>
      <c r="DHQ34" s="160"/>
      <c r="DHR34" s="160"/>
      <c r="DHS34" s="160"/>
      <c r="DHT34" s="160"/>
      <c r="DHU34" s="160"/>
      <c r="DHV34" s="160"/>
      <c r="DHW34" s="160"/>
      <c r="DHX34" s="160"/>
      <c r="DHY34" s="160"/>
      <c r="DHZ34" s="160"/>
      <c r="DIA34" s="160"/>
      <c r="DIB34" s="160"/>
      <c r="DIC34" s="160"/>
      <c r="DID34" s="160"/>
      <c r="DIE34" s="160"/>
      <c r="DIF34" s="160"/>
      <c r="DIG34" s="160"/>
      <c r="DIH34" s="160"/>
      <c r="DII34" s="160"/>
      <c r="DIJ34" s="160"/>
      <c r="DIK34" s="160"/>
      <c r="DIL34" s="160"/>
      <c r="DIM34" s="160"/>
      <c r="DIN34" s="160"/>
      <c r="DIO34" s="160"/>
      <c r="DIP34" s="160"/>
      <c r="DIQ34" s="160"/>
      <c r="DIR34" s="160"/>
      <c r="DIS34" s="160"/>
      <c r="DIT34" s="160"/>
      <c r="DIU34" s="160"/>
      <c r="DIV34" s="160"/>
      <c r="DIW34" s="160"/>
      <c r="DIX34" s="160"/>
      <c r="DIY34" s="160"/>
      <c r="DIZ34" s="160"/>
      <c r="DJA34" s="160"/>
      <c r="DJB34" s="160"/>
      <c r="DJC34" s="160"/>
      <c r="DJD34" s="160"/>
      <c r="DJE34" s="160"/>
      <c r="DJF34" s="160"/>
      <c r="DJG34" s="160"/>
      <c r="DJH34" s="160"/>
      <c r="DJI34" s="160"/>
      <c r="DJJ34" s="160"/>
      <c r="DJK34" s="160"/>
      <c r="DJL34" s="160"/>
      <c r="DJM34" s="160"/>
      <c r="DJN34" s="160"/>
      <c r="DJO34" s="160"/>
      <c r="DJP34" s="160"/>
      <c r="DJQ34" s="160"/>
      <c r="DJR34" s="160"/>
      <c r="DJS34" s="160"/>
      <c r="DJT34" s="160"/>
      <c r="DJU34" s="160"/>
      <c r="DJV34" s="160"/>
      <c r="DJW34" s="160"/>
      <c r="DJX34" s="160"/>
      <c r="DJY34" s="160"/>
      <c r="DJZ34" s="160"/>
      <c r="DKA34" s="160"/>
      <c r="DKB34" s="160"/>
      <c r="DKC34" s="160"/>
      <c r="DKD34" s="160"/>
      <c r="DKE34" s="160"/>
      <c r="DKF34" s="160"/>
      <c r="DKG34" s="160"/>
      <c r="DKH34" s="160"/>
      <c r="DKI34" s="160"/>
      <c r="DKJ34" s="160"/>
      <c r="DKK34" s="160"/>
      <c r="DKL34" s="160"/>
      <c r="DKM34" s="160"/>
      <c r="DKN34" s="160"/>
      <c r="DKO34" s="160"/>
      <c r="DKP34" s="160"/>
      <c r="DKQ34" s="160"/>
      <c r="DKR34" s="160"/>
      <c r="DKS34" s="160"/>
      <c r="DKT34" s="160"/>
      <c r="DKU34" s="160"/>
      <c r="DKV34" s="160"/>
      <c r="DKW34" s="160"/>
      <c r="DKX34" s="160"/>
      <c r="DKY34" s="160"/>
      <c r="DKZ34" s="160"/>
      <c r="DLA34" s="160"/>
      <c r="DLB34" s="160"/>
      <c r="DLC34" s="160"/>
      <c r="DLD34" s="160"/>
      <c r="DLE34" s="160"/>
      <c r="DLF34" s="160"/>
      <c r="DLG34" s="160"/>
      <c r="DLH34" s="160"/>
      <c r="DLI34" s="160"/>
      <c r="DLJ34" s="160"/>
      <c r="DLK34" s="160"/>
      <c r="DLL34" s="160"/>
      <c r="DLM34" s="160"/>
      <c r="DLN34" s="160"/>
      <c r="DLO34" s="160"/>
      <c r="DLP34" s="160"/>
      <c r="DLQ34" s="160"/>
      <c r="DLR34" s="160"/>
      <c r="DLS34" s="160"/>
      <c r="DLT34" s="160"/>
      <c r="DLU34" s="160"/>
      <c r="DLV34" s="160"/>
      <c r="DLW34" s="160"/>
      <c r="DLX34" s="160"/>
      <c r="DLY34" s="160"/>
      <c r="DLZ34" s="160"/>
      <c r="DMA34" s="160"/>
      <c r="DMB34" s="160"/>
      <c r="DMC34" s="160"/>
      <c r="DMD34" s="160"/>
      <c r="DME34" s="160"/>
      <c r="DMF34" s="160"/>
      <c r="DMG34" s="160"/>
      <c r="DMH34" s="160"/>
      <c r="DMI34" s="160"/>
      <c r="DMJ34" s="160"/>
      <c r="DMK34" s="160"/>
      <c r="DML34" s="160"/>
      <c r="DMM34" s="160"/>
      <c r="DMN34" s="160"/>
      <c r="DMO34" s="160"/>
      <c r="DMP34" s="160"/>
      <c r="DMQ34" s="160"/>
      <c r="DMR34" s="160"/>
      <c r="DMS34" s="160"/>
      <c r="DMT34" s="160"/>
      <c r="DMU34" s="160"/>
      <c r="DMV34" s="160"/>
      <c r="DMW34" s="160"/>
      <c r="DMX34" s="160"/>
      <c r="DMY34" s="160"/>
      <c r="DMZ34" s="160"/>
      <c r="DNA34" s="160"/>
      <c r="DNB34" s="160"/>
      <c r="DNC34" s="160"/>
      <c r="DND34" s="160"/>
      <c r="DNE34" s="160"/>
      <c r="DNF34" s="160"/>
      <c r="DNG34" s="160"/>
      <c r="DNM34" s="160"/>
      <c r="DNN34" s="160"/>
      <c r="DNO34" s="160"/>
      <c r="DNP34" s="160"/>
      <c r="DNQ34" s="160"/>
      <c r="DNR34" s="160"/>
      <c r="DNS34" s="160"/>
      <c r="DNT34" s="160"/>
      <c r="DNU34" s="160"/>
      <c r="DNV34" s="160"/>
      <c r="DNW34" s="160"/>
      <c r="DNX34" s="160"/>
      <c r="DNY34" s="160"/>
      <c r="DNZ34" s="160"/>
      <c r="DOA34" s="160"/>
      <c r="DOB34" s="160"/>
      <c r="DOC34" s="160"/>
      <c r="DOD34" s="160"/>
      <c r="DOE34" s="160"/>
      <c r="DOF34" s="160"/>
      <c r="DOG34" s="160"/>
      <c r="DOH34" s="160"/>
      <c r="DOI34" s="160"/>
      <c r="DOJ34" s="160"/>
      <c r="DOK34" s="160"/>
      <c r="DOL34" s="160"/>
      <c r="DOM34" s="160"/>
      <c r="DON34" s="160"/>
      <c r="DOO34" s="160"/>
      <c r="DOP34" s="160"/>
      <c r="DOQ34" s="160"/>
      <c r="DOR34" s="160"/>
      <c r="DOS34" s="160"/>
      <c r="DOT34" s="160"/>
      <c r="DOU34" s="160"/>
      <c r="DOV34" s="160"/>
      <c r="DOW34" s="160"/>
      <c r="DOX34" s="160"/>
      <c r="DOY34" s="160"/>
      <c r="DOZ34" s="160"/>
      <c r="DPA34" s="160"/>
      <c r="DPB34" s="160"/>
      <c r="DPC34" s="160"/>
      <c r="DPD34" s="160"/>
      <c r="DPE34" s="160"/>
      <c r="DPF34" s="160"/>
      <c r="DPG34" s="160"/>
      <c r="DPH34" s="160"/>
      <c r="DPI34" s="160"/>
      <c r="DPJ34" s="160"/>
      <c r="DPK34" s="160"/>
      <c r="DPL34" s="160"/>
      <c r="DPM34" s="160"/>
      <c r="DPN34" s="160"/>
      <c r="DPO34" s="160"/>
      <c r="DPP34" s="160"/>
      <c r="DPQ34" s="160"/>
      <c r="DPR34" s="160"/>
      <c r="DPS34" s="160"/>
      <c r="DPT34" s="160"/>
      <c r="DPU34" s="160"/>
      <c r="DPV34" s="160"/>
      <c r="DPW34" s="160"/>
      <c r="DPX34" s="160"/>
      <c r="DPY34" s="160"/>
      <c r="DPZ34" s="160"/>
      <c r="DQA34" s="160"/>
      <c r="DQB34" s="160"/>
      <c r="DQC34" s="160"/>
      <c r="DQD34" s="160"/>
      <c r="DQE34" s="160"/>
      <c r="DQF34" s="160"/>
      <c r="DQG34" s="160"/>
      <c r="DQH34" s="160"/>
      <c r="DQI34" s="160"/>
      <c r="DQJ34" s="160"/>
      <c r="DQK34" s="160"/>
      <c r="DQL34" s="160"/>
      <c r="DQM34" s="160"/>
      <c r="DQN34" s="160"/>
      <c r="DQO34" s="160"/>
      <c r="DQP34" s="160"/>
      <c r="DQQ34" s="160"/>
      <c r="DQR34" s="160"/>
      <c r="DQS34" s="160"/>
      <c r="DQT34" s="160"/>
      <c r="DQU34" s="160"/>
      <c r="DQV34" s="160"/>
      <c r="DQW34" s="160"/>
      <c r="DQX34" s="160"/>
      <c r="DQY34" s="160"/>
      <c r="DQZ34" s="160"/>
      <c r="DRA34" s="160"/>
      <c r="DRB34" s="160"/>
      <c r="DRC34" s="160"/>
      <c r="DRD34" s="160"/>
      <c r="DRE34" s="160"/>
      <c r="DRF34" s="160"/>
      <c r="DRG34" s="160"/>
      <c r="DRH34" s="160"/>
      <c r="DRI34" s="160"/>
      <c r="DRJ34" s="160"/>
      <c r="DRK34" s="160"/>
      <c r="DRL34" s="160"/>
      <c r="DRM34" s="160"/>
      <c r="DRN34" s="160"/>
      <c r="DRO34" s="160"/>
      <c r="DRP34" s="160"/>
      <c r="DRQ34" s="160"/>
      <c r="DRR34" s="160"/>
      <c r="DRS34" s="160"/>
      <c r="DRT34" s="160"/>
      <c r="DRU34" s="160"/>
      <c r="DRV34" s="160"/>
      <c r="DRW34" s="160"/>
      <c r="DRX34" s="160"/>
      <c r="DRY34" s="160"/>
      <c r="DRZ34" s="160"/>
      <c r="DSA34" s="160"/>
      <c r="DSB34" s="160"/>
      <c r="DSC34" s="160"/>
      <c r="DSD34" s="160"/>
      <c r="DSE34" s="160"/>
      <c r="DSF34" s="160"/>
      <c r="DSG34" s="160"/>
      <c r="DSH34" s="160"/>
      <c r="DSI34" s="160"/>
      <c r="DSJ34" s="160"/>
      <c r="DSK34" s="160"/>
      <c r="DSL34" s="160"/>
      <c r="DSM34" s="160"/>
      <c r="DSN34" s="160"/>
      <c r="DSO34" s="160"/>
      <c r="DSP34" s="160"/>
      <c r="DSQ34" s="160"/>
      <c r="DSR34" s="160"/>
      <c r="DSS34" s="160"/>
      <c r="DST34" s="160"/>
      <c r="DSU34" s="160"/>
      <c r="DSV34" s="160"/>
      <c r="DSW34" s="160"/>
      <c r="DSX34" s="160"/>
      <c r="DSY34" s="160"/>
      <c r="DSZ34" s="160"/>
      <c r="DTA34" s="160"/>
      <c r="DTB34" s="160"/>
      <c r="DTC34" s="160"/>
      <c r="DTD34" s="160"/>
      <c r="DTE34" s="160"/>
      <c r="DTF34" s="160"/>
      <c r="DTG34" s="160"/>
      <c r="DTH34" s="160"/>
      <c r="DTI34" s="160"/>
      <c r="DTJ34" s="160"/>
      <c r="DTK34" s="160"/>
      <c r="DTL34" s="160"/>
      <c r="DTM34" s="160"/>
      <c r="DTN34" s="160"/>
      <c r="DTO34" s="160"/>
      <c r="DTP34" s="160"/>
      <c r="DTQ34" s="160"/>
      <c r="DTR34" s="160"/>
      <c r="DTS34" s="160"/>
      <c r="DTT34" s="160"/>
      <c r="DTU34" s="160"/>
      <c r="DTV34" s="160"/>
      <c r="DTW34" s="160"/>
      <c r="DTX34" s="160"/>
      <c r="DTY34" s="160"/>
      <c r="DTZ34" s="160"/>
      <c r="DUA34" s="160"/>
      <c r="DUB34" s="160"/>
      <c r="DUC34" s="160"/>
      <c r="DUD34" s="160"/>
      <c r="DUE34" s="160"/>
      <c r="DUF34" s="160"/>
      <c r="DUG34" s="160"/>
      <c r="DUH34" s="160"/>
      <c r="DUI34" s="160"/>
      <c r="DUJ34" s="160"/>
      <c r="DUK34" s="160"/>
      <c r="DUL34" s="160"/>
      <c r="DUM34" s="160"/>
      <c r="DUN34" s="160"/>
      <c r="DUO34" s="160"/>
      <c r="DUP34" s="160"/>
      <c r="DUQ34" s="160"/>
      <c r="DUR34" s="160"/>
      <c r="DUS34" s="160"/>
      <c r="DUT34" s="160"/>
      <c r="DUU34" s="160"/>
      <c r="DUV34" s="160"/>
      <c r="DUW34" s="160"/>
      <c r="DUX34" s="160"/>
      <c r="DUY34" s="160"/>
      <c r="DUZ34" s="160"/>
      <c r="DVA34" s="160"/>
      <c r="DVB34" s="160"/>
      <c r="DVC34" s="160"/>
      <c r="DVD34" s="160"/>
      <c r="DVE34" s="160"/>
      <c r="DVF34" s="160"/>
      <c r="DVG34" s="160"/>
      <c r="DVH34" s="160"/>
      <c r="DVI34" s="160"/>
      <c r="DVJ34" s="160"/>
      <c r="DVK34" s="160"/>
      <c r="DVL34" s="160"/>
      <c r="DVM34" s="160"/>
      <c r="DVN34" s="160"/>
      <c r="DVO34" s="160"/>
      <c r="DVP34" s="160"/>
      <c r="DVQ34" s="160"/>
      <c r="DVR34" s="160"/>
      <c r="DVS34" s="160"/>
      <c r="DVT34" s="160"/>
      <c r="DVU34" s="160"/>
      <c r="DVV34" s="160"/>
      <c r="DVW34" s="160"/>
      <c r="DVX34" s="160"/>
      <c r="DVY34" s="160"/>
      <c r="DVZ34" s="160"/>
      <c r="DWA34" s="160"/>
      <c r="DWB34" s="160"/>
      <c r="DWC34" s="160"/>
      <c r="DWD34" s="160"/>
      <c r="DWE34" s="160"/>
      <c r="DWF34" s="160"/>
      <c r="DWG34" s="160"/>
      <c r="DWH34" s="160"/>
      <c r="DWI34" s="160"/>
      <c r="DWJ34" s="160"/>
      <c r="DWK34" s="160"/>
      <c r="DWL34" s="160"/>
      <c r="DWM34" s="160"/>
      <c r="DWN34" s="160"/>
      <c r="DWO34" s="160"/>
      <c r="DWP34" s="160"/>
      <c r="DWQ34" s="160"/>
      <c r="DWR34" s="160"/>
      <c r="DWS34" s="160"/>
      <c r="DWT34" s="160"/>
      <c r="DWU34" s="160"/>
      <c r="DWV34" s="160"/>
      <c r="DWW34" s="160"/>
      <c r="DWX34" s="160"/>
      <c r="DWY34" s="160"/>
      <c r="DWZ34" s="160"/>
      <c r="DXA34" s="160"/>
      <c r="DXB34" s="160"/>
      <c r="DXC34" s="160"/>
      <c r="DXI34" s="160"/>
      <c r="DXJ34" s="160"/>
      <c r="DXK34" s="160"/>
      <c r="DXL34" s="160"/>
      <c r="DXM34" s="160"/>
      <c r="DXN34" s="160"/>
      <c r="DXO34" s="160"/>
      <c r="DXP34" s="160"/>
      <c r="DXQ34" s="160"/>
      <c r="DXR34" s="160"/>
      <c r="DXS34" s="160"/>
      <c r="DXT34" s="160"/>
      <c r="DXU34" s="160"/>
      <c r="DXV34" s="160"/>
      <c r="DXW34" s="160"/>
      <c r="DXX34" s="160"/>
      <c r="DXY34" s="160"/>
      <c r="DXZ34" s="160"/>
      <c r="DYA34" s="160"/>
      <c r="DYB34" s="160"/>
      <c r="DYC34" s="160"/>
      <c r="DYD34" s="160"/>
      <c r="DYE34" s="160"/>
      <c r="DYF34" s="160"/>
      <c r="DYG34" s="160"/>
      <c r="DYH34" s="160"/>
      <c r="DYI34" s="160"/>
      <c r="DYJ34" s="160"/>
      <c r="DYK34" s="160"/>
      <c r="DYL34" s="160"/>
      <c r="DYM34" s="160"/>
      <c r="DYN34" s="160"/>
      <c r="DYO34" s="160"/>
      <c r="DYP34" s="160"/>
      <c r="DYQ34" s="160"/>
      <c r="DYR34" s="160"/>
      <c r="DYS34" s="160"/>
      <c r="DYT34" s="160"/>
      <c r="DYU34" s="160"/>
      <c r="DYV34" s="160"/>
      <c r="DYW34" s="160"/>
      <c r="DYX34" s="160"/>
      <c r="DYY34" s="160"/>
      <c r="DYZ34" s="160"/>
      <c r="DZA34" s="160"/>
      <c r="DZB34" s="160"/>
      <c r="DZC34" s="160"/>
      <c r="DZD34" s="160"/>
      <c r="DZE34" s="160"/>
      <c r="DZF34" s="160"/>
      <c r="DZG34" s="160"/>
      <c r="DZH34" s="160"/>
      <c r="DZI34" s="160"/>
      <c r="DZJ34" s="160"/>
      <c r="DZK34" s="160"/>
      <c r="DZL34" s="160"/>
      <c r="DZM34" s="160"/>
      <c r="DZN34" s="160"/>
      <c r="DZO34" s="160"/>
      <c r="DZP34" s="160"/>
      <c r="DZQ34" s="160"/>
      <c r="DZR34" s="160"/>
      <c r="DZS34" s="160"/>
      <c r="DZT34" s="160"/>
      <c r="DZU34" s="160"/>
      <c r="DZV34" s="160"/>
      <c r="DZW34" s="160"/>
      <c r="DZX34" s="160"/>
      <c r="DZY34" s="160"/>
      <c r="DZZ34" s="160"/>
      <c r="EAA34" s="160"/>
      <c r="EAB34" s="160"/>
      <c r="EAC34" s="160"/>
      <c r="EAD34" s="160"/>
      <c r="EAE34" s="160"/>
      <c r="EAF34" s="160"/>
      <c r="EAG34" s="160"/>
      <c r="EAH34" s="160"/>
      <c r="EAI34" s="160"/>
      <c r="EAJ34" s="160"/>
      <c r="EAK34" s="160"/>
      <c r="EAL34" s="160"/>
      <c r="EAM34" s="160"/>
      <c r="EAN34" s="160"/>
      <c r="EAO34" s="160"/>
      <c r="EAP34" s="160"/>
      <c r="EAQ34" s="160"/>
      <c r="EAR34" s="160"/>
      <c r="EAS34" s="160"/>
      <c r="EAT34" s="160"/>
      <c r="EAU34" s="160"/>
      <c r="EAV34" s="160"/>
      <c r="EAW34" s="160"/>
      <c r="EAX34" s="160"/>
      <c r="EAY34" s="160"/>
      <c r="EAZ34" s="160"/>
      <c r="EBA34" s="160"/>
      <c r="EBB34" s="160"/>
      <c r="EBC34" s="160"/>
      <c r="EBD34" s="160"/>
      <c r="EBE34" s="160"/>
      <c r="EBF34" s="160"/>
      <c r="EBG34" s="160"/>
      <c r="EBH34" s="160"/>
      <c r="EBI34" s="160"/>
      <c r="EBJ34" s="160"/>
      <c r="EBK34" s="160"/>
      <c r="EBL34" s="160"/>
      <c r="EBM34" s="160"/>
      <c r="EBN34" s="160"/>
      <c r="EBO34" s="160"/>
      <c r="EBP34" s="160"/>
      <c r="EBQ34" s="160"/>
      <c r="EBR34" s="160"/>
      <c r="EBS34" s="160"/>
      <c r="EBT34" s="160"/>
      <c r="EBU34" s="160"/>
      <c r="EBV34" s="160"/>
      <c r="EBW34" s="160"/>
      <c r="EBX34" s="160"/>
      <c r="EBY34" s="160"/>
      <c r="EBZ34" s="160"/>
      <c r="ECA34" s="160"/>
      <c r="ECB34" s="160"/>
      <c r="ECC34" s="160"/>
      <c r="ECD34" s="160"/>
      <c r="ECE34" s="160"/>
      <c r="ECF34" s="160"/>
      <c r="ECG34" s="160"/>
      <c r="ECH34" s="160"/>
      <c r="ECI34" s="160"/>
      <c r="ECJ34" s="160"/>
      <c r="ECK34" s="160"/>
      <c r="ECL34" s="160"/>
      <c r="ECM34" s="160"/>
      <c r="ECN34" s="160"/>
      <c r="ECO34" s="160"/>
      <c r="ECP34" s="160"/>
      <c r="ECQ34" s="160"/>
      <c r="ECR34" s="160"/>
      <c r="ECS34" s="160"/>
      <c r="ECT34" s="160"/>
      <c r="ECU34" s="160"/>
      <c r="ECV34" s="160"/>
      <c r="ECW34" s="160"/>
      <c r="ECX34" s="160"/>
      <c r="ECY34" s="160"/>
      <c r="ECZ34" s="160"/>
      <c r="EDA34" s="160"/>
      <c r="EDB34" s="160"/>
      <c r="EDC34" s="160"/>
      <c r="EDD34" s="160"/>
      <c r="EDE34" s="160"/>
      <c r="EDF34" s="160"/>
      <c r="EDG34" s="160"/>
      <c r="EDH34" s="160"/>
      <c r="EDI34" s="160"/>
      <c r="EDJ34" s="160"/>
      <c r="EDK34" s="160"/>
      <c r="EDL34" s="160"/>
      <c r="EDM34" s="160"/>
      <c r="EDN34" s="160"/>
      <c r="EDO34" s="160"/>
      <c r="EDP34" s="160"/>
      <c r="EDQ34" s="160"/>
      <c r="EDR34" s="160"/>
      <c r="EDS34" s="160"/>
      <c r="EDT34" s="160"/>
      <c r="EDU34" s="160"/>
      <c r="EDV34" s="160"/>
      <c r="EDW34" s="160"/>
      <c r="EDX34" s="160"/>
      <c r="EDY34" s="160"/>
      <c r="EDZ34" s="160"/>
      <c r="EEA34" s="160"/>
      <c r="EEB34" s="160"/>
      <c r="EEC34" s="160"/>
      <c r="EED34" s="160"/>
      <c r="EEE34" s="160"/>
      <c r="EEF34" s="160"/>
      <c r="EEG34" s="160"/>
      <c r="EEH34" s="160"/>
      <c r="EEI34" s="160"/>
      <c r="EEJ34" s="160"/>
      <c r="EEK34" s="160"/>
      <c r="EEL34" s="160"/>
      <c r="EEM34" s="160"/>
      <c r="EEN34" s="160"/>
      <c r="EEO34" s="160"/>
      <c r="EEP34" s="160"/>
      <c r="EEQ34" s="160"/>
      <c r="EER34" s="160"/>
      <c r="EES34" s="160"/>
      <c r="EET34" s="160"/>
      <c r="EEU34" s="160"/>
      <c r="EEV34" s="160"/>
      <c r="EEW34" s="160"/>
      <c r="EEX34" s="160"/>
      <c r="EEY34" s="160"/>
      <c r="EEZ34" s="160"/>
      <c r="EFA34" s="160"/>
      <c r="EFB34" s="160"/>
      <c r="EFC34" s="160"/>
      <c r="EFD34" s="160"/>
      <c r="EFE34" s="160"/>
      <c r="EFF34" s="160"/>
      <c r="EFG34" s="160"/>
      <c r="EFH34" s="160"/>
      <c r="EFI34" s="160"/>
      <c r="EFJ34" s="160"/>
      <c r="EFK34" s="160"/>
      <c r="EFL34" s="160"/>
      <c r="EFM34" s="160"/>
      <c r="EFN34" s="160"/>
      <c r="EFO34" s="160"/>
      <c r="EFP34" s="160"/>
      <c r="EFQ34" s="160"/>
      <c r="EFR34" s="160"/>
      <c r="EFS34" s="160"/>
      <c r="EFT34" s="160"/>
      <c r="EFU34" s="160"/>
      <c r="EFV34" s="160"/>
      <c r="EFW34" s="160"/>
      <c r="EFX34" s="160"/>
      <c r="EFY34" s="160"/>
      <c r="EFZ34" s="160"/>
      <c r="EGA34" s="160"/>
      <c r="EGB34" s="160"/>
      <c r="EGC34" s="160"/>
      <c r="EGD34" s="160"/>
      <c r="EGE34" s="160"/>
      <c r="EGF34" s="160"/>
      <c r="EGG34" s="160"/>
      <c r="EGH34" s="160"/>
      <c r="EGI34" s="160"/>
      <c r="EGJ34" s="160"/>
      <c r="EGK34" s="160"/>
      <c r="EGL34" s="160"/>
      <c r="EGM34" s="160"/>
      <c r="EGN34" s="160"/>
      <c r="EGO34" s="160"/>
      <c r="EGP34" s="160"/>
      <c r="EGQ34" s="160"/>
      <c r="EGR34" s="160"/>
      <c r="EGS34" s="160"/>
      <c r="EGT34" s="160"/>
      <c r="EGU34" s="160"/>
      <c r="EGV34" s="160"/>
      <c r="EGW34" s="160"/>
      <c r="EGX34" s="160"/>
      <c r="EGY34" s="160"/>
      <c r="EHE34" s="160"/>
      <c r="EHF34" s="160"/>
      <c r="EHG34" s="160"/>
      <c r="EHH34" s="160"/>
      <c r="EHI34" s="160"/>
      <c r="EHJ34" s="160"/>
      <c r="EHK34" s="160"/>
      <c r="EHL34" s="160"/>
      <c r="EHM34" s="160"/>
      <c r="EHN34" s="160"/>
      <c r="EHO34" s="160"/>
      <c r="EHP34" s="160"/>
      <c r="EHQ34" s="160"/>
      <c r="EHR34" s="160"/>
      <c r="EHS34" s="160"/>
      <c r="EHT34" s="160"/>
      <c r="EHU34" s="160"/>
      <c r="EHV34" s="160"/>
      <c r="EHW34" s="160"/>
      <c r="EHX34" s="160"/>
      <c r="EHY34" s="160"/>
      <c r="EHZ34" s="160"/>
      <c r="EIA34" s="160"/>
      <c r="EIB34" s="160"/>
      <c r="EIC34" s="160"/>
      <c r="EID34" s="160"/>
      <c r="EIE34" s="160"/>
      <c r="EIF34" s="160"/>
      <c r="EIG34" s="160"/>
      <c r="EIH34" s="160"/>
      <c r="EII34" s="160"/>
      <c r="EIJ34" s="160"/>
      <c r="EIK34" s="160"/>
      <c r="EIL34" s="160"/>
      <c r="EIM34" s="160"/>
      <c r="EIN34" s="160"/>
      <c r="EIO34" s="160"/>
      <c r="EIP34" s="160"/>
      <c r="EIQ34" s="160"/>
      <c r="EIR34" s="160"/>
      <c r="EIS34" s="160"/>
      <c r="EIT34" s="160"/>
      <c r="EIU34" s="160"/>
      <c r="EIV34" s="160"/>
      <c r="EIW34" s="160"/>
      <c r="EIX34" s="160"/>
      <c r="EIY34" s="160"/>
      <c r="EIZ34" s="160"/>
      <c r="EJA34" s="160"/>
      <c r="EJB34" s="160"/>
      <c r="EJC34" s="160"/>
      <c r="EJD34" s="160"/>
      <c r="EJE34" s="160"/>
      <c r="EJF34" s="160"/>
      <c r="EJG34" s="160"/>
      <c r="EJH34" s="160"/>
      <c r="EJI34" s="160"/>
      <c r="EJJ34" s="160"/>
      <c r="EJK34" s="160"/>
      <c r="EJL34" s="160"/>
      <c r="EJM34" s="160"/>
      <c r="EJN34" s="160"/>
      <c r="EJO34" s="160"/>
      <c r="EJP34" s="160"/>
      <c r="EJQ34" s="160"/>
      <c r="EJR34" s="160"/>
      <c r="EJS34" s="160"/>
      <c r="EJT34" s="160"/>
      <c r="EJU34" s="160"/>
      <c r="EJV34" s="160"/>
      <c r="EJW34" s="160"/>
      <c r="EJX34" s="160"/>
      <c r="EJY34" s="160"/>
      <c r="EJZ34" s="160"/>
      <c r="EKA34" s="160"/>
      <c r="EKB34" s="160"/>
      <c r="EKC34" s="160"/>
      <c r="EKD34" s="160"/>
      <c r="EKE34" s="160"/>
      <c r="EKF34" s="160"/>
      <c r="EKG34" s="160"/>
      <c r="EKH34" s="160"/>
      <c r="EKI34" s="160"/>
      <c r="EKJ34" s="160"/>
      <c r="EKK34" s="160"/>
      <c r="EKL34" s="160"/>
      <c r="EKM34" s="160"/>
      <c r="EKN34" s="160"/>
      <c r="EKO34" s="160"/>
      <c r="EKP34" s="160"/>
      <c r="EKQ34" s="160"/>
      <c r="EKR34" s="160"/>
      <c r="EKS34" s="160"/>
      <c r="EKT34" s="160"/>
      <c r="EKU34" s="160"/>
      <c r="EKV34" s="160"/>
      <c r="EKW34" s="160"/>
      <c r="EKX34" s="160"/>
      <c r="EKY34" s="160"/>
      <c r="EKZ34" s="160"/>
      <c r="ELA34" s="160"/>
      <c r="ELB34" s="160"/>
      <c r="ELC34" s="160"/>
      <c r="ELD34" s="160"/>
      <c r="ELE34" s="160"/>
      <c r="ELF34" s="160"/>
      <c r="ELG34" s="160"/>
      <c r="ELH34" s="160"/>
      <c r="ELI34" s="160"/>
      <c r="ELJ34" s="160"/>
      <c r="ELK34" s="160"/>
      <c r="ELL34" s="160"/>
      <c r="ELM34" s="160"/>
      <c r="ELN34" s="160"/>
      <c r="ELO34" s="160"/>
      <c r="ELP34" s="160"/>
      <c r="ELQ34" s="160"/>
      <c r="ELR34" s="160"/>
      <c r="ELS34" s="160"/>
      <c r="ELT34" s="160"/>
      <c r="ELU34" s="160"/>
      <c r="ELV34" s="160"/>
      <c r="ELW34" s="160"/>
      <c r="ELX34" s="160"/>
      <c r="ELY34" s="160"/>
      <c r="ELZ34" s="160"/>
      <c r="EMA34" s="160"/>
      <c r="EMB34" s="160"/>
      <c r="EMC34" s="160"/>
      <c r="EMD34" s="160"/>
      <c r="EME34" s="160"/>
      <c r="EMF34" s="160"/>
      <c r="EMG34" s="160"/>
      <c r="EMH34" s="160"/>
      <c r="EMI34" s="160"/>
      <c r="EMJ34" s="160"/>
      <c r="EMK34" s="160"/>
      <c r="EML34" s="160"/>
      <c r="EMM34" s="160"/>
      <c r="EMN34" s="160"/>
      <c r="EMO34" s="160"/>
      <c r="EMP34" s="160"/>
      <c r="EMQ34" s="160"/>
      <c r="EMR34" s="160"/>
      <c r="EMS34" s="160"/>
      <c r="EMT34" s="160"/>
      <c r="EMU34" s="160"/>
      <c r="EMV34" s="160"/>
      <c r="EMW34" s="160"/>
      <c r="EMX34" s="160"/>
      <c r="EMY34" s="160"/>
      <c r="EMZ34" s="160"/>
      <c r="ENA34" s="160"/>
      <c r="ENB34" s="160"/>
      <c r="ENC34" s="160"/>
      <c r="END34" s="160"/>
      <c r="ENE34" s="160"/>
      <c r="ENF34" s="160"/>
      <c r="ENG34" s="160"/>
      <c r="ENH34" s="160"/>
      <c r="ENI34" s="160"/>
      <c r="ENJ34" s="160"/>
      <c r="ENK34" s="160"/>
      <c r="ENL34" s="160"/>
      <c r="ENM34" s="160"/>
      <c r="ENN34" s="160"/>
      <c r="ENO34" s="160"/>
      <c r="ENP34" s="160"/>
      <c r="ENQ34" s="160"/>
      <c r="ENR34" s="160"/>
      <c r="ENS34" s="160"/>
      <c r="ENT34" s="160"/>
      <c r="ENU34" s="160"/>
      <c r="ENV34" s="160"/>
      <c r="ENW34" s="160"/>
      <c r="ENX34" s="160"/>
      <c r="ENY34" s="160"/>
      <c r="ENZ34" s="160"/>
      <c r="EOA34" s="160"/>
      <c r="EOB34" s="160"/>
      <c r="EOC34" s="160"/>
      <c r="EOD34" s="160"/>
      <c r="EOE34" s="160"/>
      <c r="EOF34" s="160"/>
      <c r="EOG34" s="160"/>
      <c r="EOH34" s="160"/>
      <c r="EOI34" s="160"/>
      <c r="EOJ34" s="160"/>
      <c r="EOK34" s="160"/>
      <c r="EOL34" s="160"/>
      <c r="EOM34" s="160"/>
      <c r="EON34" s="160"/>
      <c r="EOO34" s="160"/>
      <c r="EOP34" s="160"/>
      <c r="EOQ34" s="160"/>
      <c r="EOR34" s="160"/>
      <c r="EOS34" s="160"/>
      <c r="EOT34" s="160"/>
      <c r="EOU34" s="160"/>
      <c r="EOV34" s="160"/>
      <c r="EOW34" s="160"/>
      <c r="EOX34" s="160"/>
      <c r="EOY34" s="160"/>
      <c r="EOZ34" s="160"/>
      <c r="EPA34" s="160"/>
      <c r="EPB34" s="160"/>
      <c r="EPC34" s="160"/>
      <c r="EPD34" s="160"/>
      <c r="EPE34" s="160"/>
      <c r="EPF34" s="160"/>
      <c r="EPG34" s="160"/>
      <c r="EPH34" s="160"/>
      <c r="EPI34" s="160"/>
      <c r="EPJ34" s="160"/>
      <c r="EPK34" s="160"/>
      <c r="EPL34" s="160"/>
      <c r="EPM34" s="160"/>
      <c r="EPN34" s="160"/>
      <c r="EPO34" s="160"/>
      <c r="EPP34" s="160"/>
      <c r="EPQ34" s="160"/>
      <c r="EPR34" s="160"/>
      <c r="EPS34" s="160"/>
      <c r="EPT34" s="160"/>
      <c r="EPU34" s="160"/>
      <c r="EPV34" s="160"/>
      <c r="EPW34" s="160"/>
      <c r="EPX34" s="160"/>
      <c r="EPY34" s="160"/>
      <c r="EPZ34" s="160"/>
      <c r="EQA34" s="160"/>
      <c r="EQB34" s="160"/>
      <c r="EQC34" s="160"/>
      <c r="EQD34" s="160"/>
      <c r="EQE34" s="160"/>
      <c r="EQF34" s="160"/>
      <c r="EQG34" s="160"/>
      <c r="EQH34" s="160"/>
      <c r="EQI34" s="160"/>
      <c r="EQJ34" s="160"/>
      <c r="EQK34" s="160"/>
      <c r="EQL34" s="160"/>
      <c r="EQM34" s="160"/>
      <c r="EQN34" s="160"/>
      <c r="EQO34" s="160"/>
      <c r="EQP34" s="160"/>
      <c r="EQQ34" s="160"/>
      <c r="EQR34" s="160"/>
      <c r="EQS34" s="160"/>
      <c r="EQT34" s="160"/>
      <c r="EQU34" s="160"/>
      <c r="ERA34" s="160"/>
      <c r="ERB34" s="160"/>
      <c r="ERC34" s="160"/>
      <c r="ERD34" s="160"/>
      <c r="ERE34" s="160"/>
      <c r="ERF34" s="160"/>
      <c r="ERG34" s="160"/>
      <c r="ERH34" s="160"/>
      <c r="ERI34" s="160"/>
      <c r="ERJ34" s="160"/>
      <c r="ERK34" s="160"/>
      <c r="ERL34" s="160"/>
      <c r="ERM34" s="160"/>
      <c r="ERN34" s="160"/>
      <c r="ERO34" s="160"/>
      <c r="ERP34" s="160"/>
      <c r="ERQ34" s="160"/>
      <c r="ERR34" s="160"/>
      <c r="ERS34" s="160"/>
      <c r="ERT34" s="160"/>
      <c r="ERU34" s="160"/>
      <c r="ERV34" s="160"/>
      <c r="ERW34" s="160"/>
      <c r="ERX34" s="160"/>
      <c r="ERY34" s="160"/>
      <c r="ERZ34" s="160"/>
      <c r="ESA34" s="160"/>
      <c r="ESB34" s="160"/>
      <c r="ESC34" s="160"/>
      <c r="ESD34" s="160"/>
      <c r="ESE34" s="160"/>
      <c r="ESF34" s="160"/>
      <c r="ESG34" s="160"/>
      <c r="ESH34" s="160"/>
      <c r="ESI34" s="160"/>
      <c r="ESJ34" s="160"/>
      <c r="ESK34" s="160"/>
      <c r="ESL34" s="160"/>
      <c r="ESM34" s="160"/>
      <c r="ESN34" s="160"/>
      <c r="ESO34" s="160"/>
      <c r="ESP34" s="160"/>
      <c r="ESQ34" s="160"/>
      <c r="ESR34" s="160"/>
      <c r="ESS34" s="160"/>
      <c r="EST34" s="160"/>
      <c r="ESU34" s="160"/>
      <c r="ESV34" s="160"/>
      <c r="ESW34" s="160"/>
      <c r="ESX34" s="160"/>
      <c r="ESY34" s="160"/>
      <c r="ESZ34" s="160"/>
      <c r="ETA34" s="160"/>
      <c r="ETB34" s="160"/>
      <c r="ETC34" s="160"/>
      <c r="ETD34" s="160"/>
      <c r="ETE34" s="160"/>
      <c r="ETF34" s="160"/>
      <c r="ETG34" s="160"/>
      <c r="ETH34" s="160"/>
      <c r="ETI34" s="160"/>
      <c r="ETJ34" s="160"/>
      <c r="ETK34" s="160"/>
      <c r="ETL34" s="160"/>
      <c r="ETM34" s="160"/>
      <c r="ETN34" s="160"/>
      <c r="ETO34" s="160"/>
      <c r="ETP34" s="160"/>
      <c r="ETQ34" s="160"/>
      <c r="ETR34" s="160"/>
      <c r="ETS34" s="160"/>
      <c r="ETT34" s="160"/>
      <c r="ETU34" s="160"/>
      <c r="ETV34" s="160"/>
      <c r="ETW34" s="160"/>
      <c r="ETX34" s="160"/>
      <c r="ETY34" s="160"/>
      <c r="ETZ34" s="160"/>
      <c r="EUA34" s="160"/>
      <c r="EUB34" s="160"/>
      <c r="EUC34" s="160"/>
      <c r="EUD34" s="160"/>
      <c r="EUE34" s="160"/>
      <c r="EUF34" s="160"/>
      <c r="EUG34" s="160"/>
      <c r="EUH34" s="160"/>
      <c r="EUI34" s="160"/>
      <c r="EUJ34" s="160"/>
      <c r="EUK34" s="160"/>
      <c r="EUL34" s="160"/>
      <c r="EUM34" s="160"/>
      <c r="EUN34" s="160"/>
      <c r="EUO34" s="160"/>
      <c r="EUP34" s="160"/>
      <c r="EUQ34" s="160"/>
      <c r="EUR34" s="160"/>
      <c r="EUS34" s="160"/>
      <c r="EUT34" s="160"/>
      <c r="EUU34" s="160"/>
      <c r="EUV34" s="160"/>
      <c r="EUW34" s="160"/>
      <c r="EUX34" s="160"/>
      <c r="EUY34" s="160"/>
      <c r="EUZ34" s="160"/>
      <c r="EVA34" s="160"/>
      <c r="EVB34" s="160"/>
      <c r="EVC34" s="160"/>
      <c r="EVD34" s="160"/>
      <c r="EVE34" s="160"/>
      <c r="EVF34" s="160"/>
      <c r="EVG34" s="160"/>
      <c r="EVH34" s="160"/>
      <c r="EVI34" s="160"/>
      <c r="EVJ34" s="160"/>
      <c r="EVK34" s="160"/>
      <c r="EVL34" s="160"/>
      <c r="EVM34" s="160"/>
      <c r="EVN34" s="160"/>
      <c r="EVO34" s="160"/>
      <c r="EVP34" s="160"/>
      <c r="EVQ34" s="160"/>
      <c r="EVR34" s="160"/>
      <c r="EVS34" s="160"/>
      <c r="EVT34" s="160"/>
      <c r="EVU34" s="160"/>
      <c r="EVV34" s="160"/>
      <c r="EVW34" s="160"/>
      <c r="EVX34" s="160"/>
      <c r="EVY34" s="160"/>
      <c r="EVZ34" s="160"/>
      <c r="EWA34" s="160"/>
      <c r="EWB34" s="160"/>
      <c r="EWC34" s="160"/>
      <c r="EWD34" s="160"/>
      <c r="EWE34" s="160"/>
      <c r="EWF34" s="160"/>
      <c r="EWG34" s="160"/>
      <c r="EWH34" s="160"/>
      <c r="EWI34" s="160"/>
      <c r="EWJ34" s="160"/>
      <c r="EWK34" s="160"/>
      <c r="EWL34" s="160"/>
      <c r="EWM34" s="160"/>
      <c r="EWN34" s="160"/>
      <c r="EWO34" s="160"/>
      <c r="EWP34" s="160"/>
      <c r="EWQ34" s="160"/>
      <c r="EWR34" s="160"/>
      <c r="EWS34" s="160"/>
      <c r="EWT34" s="160"/>
      <c r="EWU34" s="160"/>
      <c r="EWV34" s="160"/>
      <c r="EWW34" s="160"/>
      <c r="EWX34" s="160"/>
      <c r="EWY34" s="160"/>
      <c r="EWZ34" s="160"/>
      <c r="EXA34" s="160"/>
      <c r="EXB34" s="160"/>
      <c r="EXC34" s="160"/>
      <c r="EXD34" s="160"/>
      <c r="EXE34" s="160"/>
      <c r="EXF34" s="160"/>
      <c r="EXG34" s="160"/>
      <c r="EXH34" s="160"/>
      <c r="EXI34" s="160"/>
      <c r="EXJ34" s="160"/>
      <c r="EXK34" s="160"/>
      <c r="EXL34" s="160"/>
      <c r="EXM34" s="160"/>
      <c r="EXN34" s="160"/>
      <c r="EXO34" s="160"/>
      <c r="EXP34" s="160"/>
      <c r="EXQ34" s="160"/>
      <c r="EXR34" s="160"/>
      <c r="EXS34" s="160"/>
      <c r="EXT34" s="160"/>
      <c r="EXU34" s="160"/>
      <c r="EXV34" s="160"/>
      <c r="EXW34" s="160"/>
      <c r="EXX34" s="160"/>
      <c r="EXY34" s="160"/>
      <c r="EXZ34" s="160"/>
      <c r="EYA34" s="160"/>
      <c r="EYB34" s="160"/>
      <c r="EYC34" s="160"/>
      <c r="EYD34" s="160"/>
      <c r="EYE34" s="160"/>
      <c r="EYF34" s="160"/>
      <c r="EYG34" s="160"/>
      <c r="EYH34" s="160"/>
      <c r="EYI34" s="160"/>
      <c r="EYJ34" s="160"/>
      <c r="EYK34" s="160"/>
      <c r="EYL34" s="160"/>
      <c r="EYM34" s="160"/>
      <c r="EYN34" s="160"/>
      <c r="EYO34" s="160"/>
      <c r="EYP34" s="160"/>
      <c r="EYQ34" s="160"/>
      <c r="EYR34" s="160"/>
      <c r="EYS34" s="160"/>
      <c r="EYT34" s="160"/>
      <c r="EYU34" s="160"/>
      <c r="EYV34" s="160"/>
      <c r="EYW34" s="160"/>
      <c r="EYX34" s="160"/>
      <c r="EYY34" s="160"/>
      <c r="EYZ34" s="160"/>
      <c r="EZA34" s="160"/>
      <c r="EZB34" s="160"/>
      <c r="EZC34" s="160"/>
      <c r="EZD34" s="160"/>
      <c r="EZE34" s="160"/>
      <c r="EZF34" s="160"/>
      <c r="EZG34" s="160"/>
      <c r="EZH34" s="160"/>
      <c r="EZI34" s="160"/>
      <c r="EZJ34" s="160"/>
      <c r="EZK34" s="160"/>
      <c r="EZL34" s="160"/>
      <c r="EZM34" s="160"/>
      <c r="EZN34" s="160"/>
      <c r="EZO34" s="160"/>
      <c r="EZP34" s="160"/>
      <c r="EZQ34" s="160"/>
      <c r="EZR34" s="160"/>
      <c r="EZS34" s="160"/>
      <c r="EZT34" s="160"/>
      <c r="EZU34" s="160"/>
      <c r="EZV34" s="160"/>
      <c r="EZW34" s="160"/>
      <c r="EZX34" s="160"/>
      <c r="EZY34" s="160"/>
      <c r="EZZ34" s="160"/>
      <c r="FAA34" s="160"/>
      <c r="FAB34" s="160"/>
      <c r="FAC34" s="160"/>
      <c r="FAD34" s="160"/>
      <c r="FAE34" s="160"/>
      <c r="FAF34" s="160"/>
      <c r="FAG34" s="160"/>
      <c r="FAH34" s="160"/>
      <c r="FAI34" s="160"/>
      <c r="FAJ34" s="160"/>
      <c r="FAK34" s="160"/>
      <c r="FAL34" s="160"/>
      <c r="FAM34" s="160"/>
      <c r="FAN34" s="160"/>
      <c r="FAO34" s="160"/>
      <c r="FAP34" s="160"/>
      <c r="FAQ34" s="160"/>
      <c r="FAW34" s="160"/>
      <c r="FAX34" s="160"/>
      <c r="FAY34" s="160"/>
      <c r="FAZ34" s="160"/>
      <c r="FBA34" s="160"/>
      <c r="FBB34" s="160"/>
      <c r="FBC34" s="160"/>
      <c r="FBD34" s="160"/>
      <c r="FBE34" s="160"/>
      <c r="FBF34" s="160"/>
      <c r="FBG34" s="160"/>
      <c r="FBH34" s="160"/>
      <c r="FBI34" s="160"/>
      <c r="FBJ34" s="160"/>
      <c r="FBK34" s="160"/>
      <c r="FBL34" s="160"/>
      <c r="FBM34" s="160"/>
      <c r="FBN34" s="160"/>
      <c r="FBO34" s="160"/>
      <c r="FBP34" s="160"/>
      <c r="FBQ34" s="160"/>
      <c r="FBR34" s="160"/>
      <c r="FBS34" s="160"/>
      <c r="FBT34" s="160"/>
      <c r="FBU34" s="160"/>
      <c r="FBV34" s="160"/>
      <c r="FBW34" s="160"/>
      <c r="FBX34" s="160"/>
      <c r="FBY34" s="160"/>
      <c r="FBZ34" s="160"/>
      <c r="FCA34" s="160"/>
      <c r="FCB34" s="160"/>
      <c r="FCC34" s="160"/>
      <c r="FCD34" s="160"/>
      <c r="FCE34" s="160"/>
      <c r="FCF34" s="160"/>
      <c r="FCG34" s="160"/>
      <c r="FCH34" s="160"/>
      <c r="FCI34" s="160"/>
      <c r="FCJ34" s="160"/>
      <c r="FCK34" s="160"/>
      <c r="FCL34" s="160"/>
      <c r="FCM34" s="160"/>
      <c r="FCN34" s="160"/>
      <c r="FCO34" s="160"/>
      <c r="FCP34" s="160"/>
      <c r="FCQ34" s="160"/>
      <c r="FCR34" s="160"/>
      <c r="FCS34" s="160"/>
      <c r="FCT34" s="160"/>
      <c r="FCU34" s="160"/>
      <c r="FCV34" s="160"/>
      <c r="FCW34" s="160"/>
      <c r="FCX34" s="160"/>
      <c r="FCY34" s="160"/>
      <c r="FCZ34" s="160"/>
      <c r="FDA34" s="160"/>
      <c r="FDB34" s="160"/>
      <c r="FDC34" s="160"/>
      <c r="FDD34" s="160"/>
      <c r="FDE34" s="160"/>
      <c r="FDF34" s="160"/>
      <c r="FDG34" s="160"/>
      <c r="FDH34" s="160"/>
      <c r="FDI34" s="160"/>
      <c r="FDJ34" s="160"/>
      <c r="FDK34" s="160"/>
      <c r="FDL34" s="160"/>
      <c r="FDM34" s="160"/>
      <c r="FDN34" s="160"/>
      <c r="FDO34" s="160"/>
      <c r="FDP34" s="160"/>
      <c r="FDQ34" s="160"/>
      <c r="FDR34" s="160"/>
      <c r="FDS34" s="160"/>
      <c r="FDT34" s="160"/>
      <c r="FDU34" s="160"/>
      <c r="FDV34" s="160"/>
      <c r="FDW34" s="160"/>
      <c r="FDX34" s="160"/>
      <c r="FDY34" s="160"/>
      <c r="FDZ34" s="160"/>
      <c r="FEA34" s="160"/>
      <c r="FEB34" s="160"/>
      <c r="FEC34" s="160"/>
      <c r="FED34" s="160"/>
      <c r="FEE34" s="160"/>
      <c r="FEF34" s="160"/>
      <c r="FEG34" s="160"/>
      <c r="FEH34" s="160"/>
      <c r="FEI34" s="160"/>
      <c r="FEJ34" s="160"/>
      <c r="FEK34" s="160"/>
      <c r="FEL34" s="160"/>
      <c r="FEM34" s="160"/>
      <c r="FEN34" s="160"/>
      <c r="FEO34" s="160"/>
      <c r="FEP34" s="160"/>
      <c r="FEQ34" s="160"/>
      <c r="FER34" s="160"/>
      <c r="FES34" s="160"/>
      <c r="FET34" s="160"/>
      <c r="FEU34" s="160"/>
      <c r="FEV34" s="160"/>
      <c r="FEW34" s="160"/>
      <c r="FEX34" s="160"/>
      <c r="FEY34" s="160"/>
      <c r="FEZ34" s="160"/>
      <c r="FFA34" s="160"/>
      <c r="FFB34" s="160"/>
      <c r="FFC34" s="160"/>
      <c r="FFD34" s="160"/>
      <c r="FFE34" s="160"/>
      <c r="FFF34" s="160"/>
      <c r="FFG34" s="160"/>
      <c r="FFH34" s="160"/>
      <c r="FFI34" s="160"/>
      <c r="FFJ34" s="160"/>
      <c r="FFK34" s="160"/>
      <c r="FFL34" s="160"/>
      <c r="FFM34" s="160"/>
      <c r="FFN34" s="160"/>
      <c r="FFO34" s="160"/>
      <c r="FFP34" s="160"/>
      <c r="FFQ34" s="160"/>
      <c r="FFR34" s="160"/>
      <c r="FFS34" s="160"/>
      <c r="FFT34" s="160"/>
      <c r="FFU34" s="160"/>
      <c r="FFV34" s="160"/>
      <c r="FFW34" s="160"/>
      <c r="FFX34" s="160"/>
      <c r="FFY34" s="160"/>
      <c r="FFZ34" s="160"/>
      <c r="FGA34" s="160"/>
      <c r="FGB34" s="160"/>
      <c r="FGC34" s="160"/>
      <c r="FGD34" s="160"/>
      <c r="FGE34" s="160"/>
      <c r="FGF34" s="160"/>
      <c r="FGG34" s="160"/>
      <c r="FGH34" s="160"/>
      <c r="FGI34" s="160"/>
      <c r="FGJ34" s="160"/>
      <c r="FGK34" s="160"/>
      <c r="FGL34" s="160"/>
      <c r="FGM34" s="160"/>
      <c r="FGN34" s="160"/>
      <c r="FGO34" s="160"/>
      <c r="FGP34" s="160"/>
      <c r="FGQ34" s="160"/>
      <c r="FGR34" s="160"/>
      <c r="FGS34" s="160"/>
      <c r="FGT34" s="160"/>
      <c r="FGU34" s="160"/>
      <c r="FGV34" s="160"/>
      <c r="FGW34" s="160"/>
      <c r="FGX34" s="160"/>
      <c r="FGY34" s="160"/>
      <c r="FGZ34" s="160"/>
      <c r="FHA34" s="160"/>
      <c r="FHB34" s="160"/>
      <c r="FHC34" s="160"/>
      <c r="FHD34" s="160"/>
      <c r="FHE34" s="160"/>
      <c r="FHF34" s="160"/>
      <c r="FHG34" s="160"/>
      <c r="FHH34" s="160"/>
      <c r="FHI34" s="160"/>
      <c r="FHJ34" s="160"/>
      <c r="FHK34" s="160"/>
      <c r="FHL34" s="160"/>
      <c r="FHM34" s="160"/>
      <c r="FHN34" s="160"/>
      <c r="FHO34" s="160"/>
      <c r="FHP34" s="160"/>
      <c r="FHQ34" s="160"/>
      <c r="FHR34" s="160"/>
      <c r="FHS34" s="160"/>
      <c r="FHT34" s="160"/>
      <c r="FHU34" s="160"/>
      <c r="FHV34" s="160"/>
      <c r="FHW34" s="160"/>
      <c r="FHX34" s="160"/>
      <c r="FHY34" s="160"/>
      <c r="FHZ34" s="160"/>
      <c r="FIA34" s="160"/>
      <c r="FIB34" s="160"/>
      <c r="FIC34" s="160"/>
      <c r="FID34" s="160"/>
      <c r="FIE34" s="160"/>
      <c r="FIF34" s="160"/>
      <c r="FIG34" s="160"/>
      <c r="FIH34" s="160"/>
      <c r="FII34" s="160"/>
      <c r="FIJ34" s="160"/>
      <c r="FIK34" s="160"/>
      <c r="FIL34" s="160"/>
      <c r="FIM34" s="160"/>
      <c r="FIN34" s="160"/>
      <c r="FIO34" s="160"/>
      <c r="FIP34" s="160"/>
      <c r="FIQ34" s="160"/>
      <c r="FIR34" s="160"/>
      <c r="FIS34" s="160"/>
      <c r="FIT34" s="160"/>
      <c r="FIU34" s="160"/>
      <c r="FIV34" s="160"/>
      <c r="FIW34" s="160"/>
      <c r="FIX34" s="160"/>
      <c r="FIY34" s="160"/>
      <c r="FIZ34" s="160"/>
      <c r="FJA34" s="160"/>
      <c r="FJB34" s="160"/>
      <c r="FJC34" s="160"/>
      <c r="FJD34" s="160"/>
      <c r="FJE34" s="160"/>
      <c r="FJF34" s="160"/>
      <c r="FJG34" s="160"/>
      <c r="FJH34" s="160"/>
      <c r="FJI34" s="160"/>
      <c r="FJJ34" s="160"/>
      <c r="FJK34" s="160"/>
      <c r="FJL34" s="160"/>
      <c r="FJM34" s="160"/>
      <c r="FJN34" s="160"/>
      <c r="FJO34" s="160"/>
      <c r="FJP34" s="160"/>
      <c r="FJQ34" s="160"/>
      <c r="FJR34" s="160"/>
      <c r="FJS34" s="160"/>
      <c r="FJT34" s="160"/>
      <c r="FJU34" s="160"/>
      <c r="FJV34" s="160"/>
      <c r="FJW34" s="160"/>
      <c r="FJX34" s="160"/>
      <c r="FJY34" s="160"/>
      <c r="FJZ34" s="160"/>
      <c r="FKA34" s="160"/>
      <c r="FKB34" s="160"/>
      <c r="FKC34" s="160"/>
      <c r="FKD34" s="160"/>
      <c r="FKE34" s="160"/>
      <c r="FKF34" s="160"/>
      <c r="FKG34" s="160"/>
      <c r="FKH34" s="160"/>
      <c r="FKI34" s="160"/>
      <c r="FKJ34" s="160"/>
      <c r="FKK34" s="160"/>
      <c r="FKL34" s="160"/>
      <c r="FKM34" s="160"/>
      <c r="FKS34" s="160"/>
      <c r="FKT34" s="160"/>
      <c r="FKU34" s="160"/>
      <c r="FKV34" s="160"/>
      <c r="FKW34" s="160"/>
      <c r="FKX34" s="160"/>
      <c r="FKY34" s="160"/>
      <c r="FKZ34" s="160"/>
      <c r="FLA34" s="160"/>
      <c r="FLB34" s="160"/>
      <c r="FLC34" s="160"/>
      <c r="FLD34" s="160"/>
      <c r="FLE34" s="160"/>
      <c r="FLF34" s="160"/>
      <c r="FLG34" s="160"/>
      <c r="FLH34" s="160"/>
      <c r="FLI34" s="160"/>
      <c r="FLJ34" s="160"/>
      <c r="FLK34" s="160"/>
      <c r="FLL34" s="160"/>
      <c r="FLM34" s="160"/>
      <c r="FLN34" s="160"/>
      <c r="FLO34" s="160"/>
      <c r="FLP34" s="160"/>
      <c r="FLQ34" s="160"/>
      <c r="FLR34" s="160"/>
      <c r="FLS34" s="160"/>
      <c r="FLT34" s="160"/>
      <c r="FLU34" s="160"/>
      <c r="FLV34" s="160"/>
      <c r="FLW34" s="160"/>
      <c r="FLX34" s="160"/>
      <c r="FLY34" s="160"/>
      <c r="FLZ34" s="160"/>
      <c r="FMA34" s="160"/>
      <c r="FMB34" s="160"/>
      <c r="FMC34" s="160"/>
      <c r="FMD34" s="160"/>
      <c r="FME34" s="160"/>
      <c r="FMF34" s="160"/>
      <c r="FMG34" s="160"/>
      <c r="FMH34" s="160"/>
      <c r="FMI34" s="160"/>
      <c r="FMJ34" s="160"/>
      <c r="FMK34" s="160"/>
      <c r="FML34" s="160"/>
      <c r="FMM34" s="160"/>
      <c r="FMN34" s="160"/>
      <c r="FMO34" s="160"/>
      <c r="FMP34" s="160"/>
      <c r="FMQ34" s="160"/>
      <c r="FMR34" s="160"/>
      <c r="FMS34" s="160"/>
      <c r="FMT34" s="160"/>
      <c r="FMU34" s="160"/>
      <c r="FMV34" s="160"/>
      <c r="FMW34" s="160"/>
      <c r="FMX34" s="160"/>
      <c r="FMY34" s="160"/>
      <c r="FMZ34" s="160"/>
      <c r="FNA34" s="160"/>
      <c r="FNB34" s="160"/>
      <c r="FNC34" s="160"/>
      <c r="FND34" s="160"/>
      <c r="FNE34" s="160"/>
      <c r="FNF34" s="160"/>
      <c r="FNG34" s="160"/>
      <c r="FNH34" s="160"/>
      <c r="FNI34" s="160"/>
      <c r="FNJ34" s="160"/>
      <c r="FNK34" s="160"/>
      <c r="FNL34" s="160"/>
      <c r="FNM34" s="160"/>
      <c r="FNN34" s="160"/>
      <c r="FNO34" s="160"/>
      <c r="FNP34" s="160"/>
      <c r="FNQ34" s="160"/>
      <c r="FNR34" s="160"/>
      <c r="FNS34" s="160"/>
      <c r="FNT34" s="160"/>
      <c r="FNU34" s="160"/>
      <c r="FNV34" s="160"/>
      <c r="FNW34" s="160"/>
      <c r="FNX34" s="160"/>
      <c r="FNY34" s="160"/>
      <c r="FNZ34" s="160"/>
      <c r="FOA34" s="160"/>
      <c r="FOB34" s="160"/>
      <c r="FOC34" s="160"/>
      <c r="FOD34" s="160"/>
      <c r="FOE34" s="160"/>
      <c r="FOF34" s="160"/>
      <c r="FOG34" s="160"/>
      <c r="FOH34" s="160"/>
      <c r="FOI34" s="160"/>
      <c r="FOJ34" s="160"/>
      <c r="FOK34" s="160"/>
      <c r="FOL34" s="160"/>
      <c r="FOM34" s="160"/>
      <c r="FON34" s="160"/>
      <c r="FOO34" s="160"/>
      <c r="FOP34" s="160"/>
      <c r="FOQ34" s="160"/>
      <c r="FOR34" s="160"/>
      <c r="FOS34" s="160"/>
      <c r="FOT34" s="160"/>
      <c r="FOU34" s="160"/>
      <c r="FOV34" s="160"/>
      <c r="FOW34" s="160"/>
      <c r="FOX34" s="160"/>
      <c r="FOY34" s="160"/>
      <c r="FOZ34" s="160"/>
      <c r="FPA34" s="160"/>
      <c r="FPB34" s="160"/>
      <c r="FPC34" s="160"/>
      <c r="FPD34" s="160"/>
      <c r="FPE34" s="160"/>
      <c r="FPF34" s="160"/>
      <c r="FPG34" s="160"/>
      <c r="FPH34" s="160"/>
      <c r="FPI34" s="160"/>
      <c r="FPJ34" s="160"/>
      <c r="FPK34" s="160"/>
      <c r="FPL34" s="160"/>
      <c r="FPM34" s="160"/>
      <c r="FPN34" s="160"/>
      <c r="FPO34" s="160"/>
      <c r="FPP34" s="160"/>
      <c r="FPQ34" s="160"/>
      <c r="FPR34" s="160"/>
      <c r="FPS34" s="160"/>
      <c r="FPT34" s="160"/>
      <c r="FPU34" s="160"/>
      <c r="FPV34" s="160"/>
      <c r="FPW34" s="160"/>
      <c r="FPX34" s="160"/>
      <c r="FPY34" s="160"/>
      <c r="FPZ34" s="160"/>
      <c r="FQA34" s="160"/>
      <c r="FQB34" s="160"/>
      <c r="FQC34" s="160"/>
      <c r="FQD34" s="160"/>
      <c r="FQE34" s="160"/>
      <c r="FQF34" s="160"/>
      <c r="FQG34" s="160"/>
      <c r="FQH34" s="160"/>
      <c r="FQI34" s="160"/>
      <c r="FQJ34" s="160"/>
      <c r="FQK34" s="160"/>
      <c r="FQL34" s="160"/>
      <c r="FQM34" s="160"/>
      <c r="FQN34" s="160"/>
      <c r="FQO34" s="160"/>
      <c r="FQP34" s="160"/>
      <c r="FQQ34" s="160"/>
      <c r="FQR34" s="160"/>
      <c r="FQS34" s="160"/>
      <c r="FQT34" s="160"/>
      <c r="FQU34" s="160"/>
      <c r="FQV34" s="160"/>
      <c r="FQW34" s="160"/>
      <c r="FQX34" s="160"/>
      <c r="FQY34" s="160"/>
      <c r="FQZ34" s="160"/>
      <c r="FRA34" s="160"/>
      <c r="FRB34" s="160"/>
      <c r="FRC34" s="160"/>
      <c r="FRD34" s="160"/>
      <c r="FRE34" s="160"/>
      <c r="FRF34" s="160"/>
      <c r="FRG34" s="160"/>
      <c r="FRH34" s="160"/>
      <c r="FRI34" s="160"/>
      <c r="FRJ34" s="160"/>
      <c r="FRK34" s="160"/>
      <c r="FRL34" s="160"/>
      <c r="FRM34" s="160"/>
      <c r="FRN34" s="160"/>
      <c r="FRO34" s="160"/>
      <c r="FRP34" s="160"/>
      <c r="FRQ34" s="160"/>
      <c r="FRR34" s="160"/>
      <c r="FRS34" s="160"/>
      <c r="FRT34" s="160"/>
      <c r="FRU34" s="160"/>
      <c r="FRV34" s="160"/>
      <c r="FRW34" s="160"/>
      <c r="FRX34" s="160"/>
      <c r="FRY34" s="160"/>
      <c r="FRZ34" s="160"/>
      <c r="FSA34" s="160"/>
      <c r="FSB34" s="160"/>
      <c r="FSC34" s="160"/>
      <c r="FSD34" s="160"/>
      <c r="FSE34" s="160"/>
      <c r="FSF34" s="160"/>
      <c r="FSG34" s="160"/>
      <c r="FSH34" s="160"/>
      <c r="FSI34" s="160"/>
      <c r="FSJ34" s="160"/>
      <c r="FSK34" s="160"/>
      <c r="FSL34" s="160"/>
      <c r="FSM34" s="160"/>
      <c r="FSN34" s="160"/>
      <c r="FSO34" s="160"/>
      <c r="FSP34" s="160"/>
      <c r="FSQ34" s="160"/>
      <c r="FSR34" s="160"/>
      <c r="FSS34" s="160"/>
      <c r="FST34" s="160"/>
      <c r="FSU34" s="160"/>
      <c r="FSV34" s="160"/>
      <c r="FSW34" s="160"/>
      <c r="FSX34" s="160"/>
      <c r="FSY34" s="160"/>
      <c r="FSZ34" s="160"/>
      <c r="FTA34" s="160"/>
      <c r="FTB34" s="160"/>
      <c r="FTC34" s="160"/>
      <c r="FTD34" s="160"/>
      <c r="FTE34" s="160"/>
      <c r="FTF34" s="160"/>
      <c r="FTG34" s="160"/>
      <c r="FTH34" s="160"/>
      <c r="FTI34" s="160"/>
      <c r="FTJ34" s="160"/>
      <c r="FTK34" s="160"/>
      <c r="FTL34" s="160"/>
      <c r="FTM34" s="160"/>
      <c r="FTN34" s="160"/>
      <c r="FTO34" s="160"/>
      <c r="FTP34" s="160"/>
      <c r="FTQ34" s="160"/>
      <c r="FTR34" s="160"/>
      <c r="FTS34" s="160"/>
      <c r="FTT34" s="160"/>
      <c r="FTU34" s="160"/>
      <c r="FTV34" s="160"/>
      <c r="FTW34" s="160"/>
      <c r="FTX34" s="160"/>
      <c r="FTY34" s="160"/>
      <c r="FTZ34" s="160"/>
      <c r="FUA34" s="160"/>
      <c r="FUB34" s="160"/>
      <c r="FUC34" s="160"/>
      <c r="FUD34" s="160"/>
      <c r="FUE34" s="160"/>
      <c r="FUF34" s="160"/>
      <c r="FUG34" s="160"/>
      <c r="FUH34" s="160"/>
      <c r="FUI34" s="160"/>
      <c r="FUO34" s="160"/>
      <c r="FUP34" s="160"/>
      <c r="FUQ34" s="160"/>
      <c r="FUR34" s="160"/>
      <c r="FUS34" s="160"/>
      <c r="FUT34" s="160"/>
      <c r="FUU34" s="160"/>
      <c r="FUV34" s="160"/>
      <c r="FUW34" s="160"/>
      <c r="FUX34" s="160"/>
      <c r="FUY34" s="160"/>
      <c r="FUZ34" s="160"/>
      <c r="FVA34" s="160"/>
      <c r="FVB34" s="160"/>
      <c r="FVC34" s="160"/>
      <c r="FVD34" s="160"/>
      <c r="FVE34" s="160"/>
      <c r="FVF34" s="160"/>
      <c r="FVG34" s="160"/>
      <c r="FVH34" s="160"/>
      <c r="FVI34" s="160"/>
      <c r="FVJ34" s="160"/>
      <c r="FVK34" s="160"/>
      <c r="FVL34" s="160"/>
      <c r="FVM34" s="160"/>
      <c r="FVN34" s="160"/>
      <c r="FVO34" s="160"/>
      <c r="FVP34" s="160"/>
      <c r="FVQ34" s="160"/>
      <c r="FVR34" s="160"/>
      <c r="FVS34" s="160"/>
      <c r="FVT34" s="160"/>
      <c r="FVU34" s="160"/>
      <c r="FVV34" s="160"/>
      <c r="FVW34" s="160"/>
      <c r="FVX34" s="160"/>
      <c r="FVY34" s="160"/>
      <c r="FVZ34" s="160"/>
      <c r="FWA34" s="160"/>
      <c r="FWB34" s="160"/>
      <c r="FWC34" s="160"/>
      <c r="FWD34" s="160"/>
      <c r="FWE34" s="160"/>
      <c r="FWF34" s="160"/>
      <c r="FWG34" s="160"/>
      <c r="FWH34" s="160"/>
      <c r="FWI34" s="160"/>
      <c r="FWJ34" s="160"/>
      <c r="FWK34" s="160"/>
      <c r="FWL34" s="160"/>
      <c r="FWM34" s="160"/>
      <c r="FWN34" s="160"/>
      <c r="FWO34" s="160"/>
      <c r="FWP34" s="160"/>
      <c r="FWQ34" s="160"/>
      <c r="FWR34" s="160"/>
      <c r="FWS34" s="160"/>
      <c r="FWT34" s="160"/>
      <c r="FWU34" s="160"/>
      <c r="FWV34" s="160"/>
      <c r="FWW34" s="160"/>
      <c r="FWX34" s="160"/>
      <c r="FWY34" s="160"/>
      <c r="FWZ34" s="160"/>
      <c r="FXA34" s="160"/>
      <c r="FXB34" s="160"/>
      <c r="FXC34" s="160"/>
      <c r="FXD34" s="160"/>
      <c r="FXE34" s="160"/>
      <c r="FXF34" s="160"/>
      <c r="FXG34" s="160"/>
      <c r="FXH34" s="160"/>
      <c r="FXI34" s="160"/>
      <c r="FXJ34" s="160"/>
      <c r="FXK34" s="160"/>
      <c r="FXL34" s="160"/>
      <c r="FXM34" s="160"/>
      <c r="FXN34" s="160"/>
      <c r="FXO34" s="160"/>
      <c r="FXP34" s="160"/>
      <c r="FXQ34" s="160"/>
      <c r="FXR34" s="160"/>
      <c r="FXS34" s="160"/>
      <c r="FXT34" s="160"/>
      <c r="FXU34" s="160"/>
      <c r="FXV34" s="160"/>
      <c r="FXW34" s="160"/>
      <c r="FXX34" s="160"/>
      <c r="FXY34" s="160"/>
      <c r="FXZ34" s="160"/>
      <c r="FYA34" s="160"/>
      <c r="FYB34" s="160"/>
      <c r="FYC34" s="160"/>
      <c r="FYD34" s="160"/>
      <c r="FYE34" s="160"/>
      <c r="FYF34" s="160"/>
      <c r="FYG34" s="160"/>
      <c r="FYH34" s="160"/>
      <c r="FYI34" s="160"/>
      <c r="FYJ34" s="160"/>
      <c r="FYK34" s="160"/>
      <c r="FYL34" s="160"/>
      <c r="FYM34" s="160"/>
      <c r="FYN34" s="160"/>
      <c r="FYO34" s="160"/>
      <c r="FYP34" s="160"/>
      <c r="FYQ34" s="160"/>
      <c r="FYR34" s="160"/>
      <c r="FYS34" s="160"/>
      <c r="FYT34" s="160"/>
      <c r="FYU34" s="160"/>
      <c r="FYV34" s="160"/>
      <c r="FYW34" s="160"/>
      <c r="FYX34" s="160"/>
      <c r="FYY34" s="160"/>
      <c r="FYZ34" s="160"/>
      <c r="FZA34" s="160"/>
      <c r="FZB34" s="160"/>
      <c r="FZC34" s="160"/>
      <c r="FZD34" s="160"/>
      <c r="FZE34" s="160"/>
      <c r="FZF34" s="160"/>
      <c r="FZG34" s="160"/>
      <c r="FZH34" s="160"/>
      <c r="FZI34" s="160"/>
      <c r="FZJ34" s="160"/>
      <c r="FZK34" s="160"/>
      <c r="FZL34" s="160"/>
      <c r="FZM34" s="160"/>
      <c r="FZN34" s="160"/>
      <c r="FZO34" s="160"/>
      <c r="FZP34" s="160"/>
      <c r="FZQ34" s="160"/>
      <c r="FZR34" s="160"/>
      <c r="FZS34" s="160"/>
      <c r="FZT34" s="160"/>
      <c r="FZU34" s="160"/>
      <c r="FZV34" s="160"/>
      <c r="FZW34" s="160"/>
      <c r="FZX34" s="160"/>
      <c r="FZY34" s="160"/>
      <c r="FZZ34" s="160"/>
      <c r="GAA34" s="160"/>
      <c r="GAB34" s="160"/>
      <c r="GAC34" s="160"/>
      <c r="GAD34" s="160"/>
      <c r="GAE34" s="160"/>
      <c r="GAF34" s="160"/>
      <c r="GAG34" s="160"/>
      <c r="GAH34" s="160"/>
      <c r="GAI34" s="160"/>
      <c r="GAJ34" s="160"/>
      <c r="GAK34" s="160"/>
      <c r="GAL34" s="160"/>
      <c r="GAM34" s="160"/>
      <c r="GAN34" s="160"/>
      <c r="GAO34" s="160"/>
      <c r="GAP34" s="160"/>
      <c r="GAQ34" s="160"/>
      <c r="GAR34" s="160"/>
      <c r="GAS34" s="160"/>
      <c r="GAT34" s="160"/>
      <c r="GAU34" s="160"/>
      <c r="GAV34" s="160"/>
      <c r="GAW34" s="160"/>
      <c r="GAX34" s="160"/>
      <c r="GAY34" s="160"/>
      <c r="GAZ34" s="160"/>
      <c r="GBA34" s="160"/>
      <c r="GBB34" s="160"/>
      <c r="GBC34" s="160"/>
      <c r="GBD34" s="160"/>
      <c r="GBE34" s="160"/>
      <c r="GBF34" s="160"/>
      <c r="GBG34" s="160"/>
      <c r="GBH34" s="160"/>
      <c r="GBI34" s="160"/>
      <c r="GBJ34" s="160"/>
      <c r="GBK34" s="160"/>
      <c r="GBL34" s="160"/>
      <c r="GBM34" s="160"/>
      <c r="GBN34" s="160"/>
      <c r="GBO34" s="160"/>
      <c r="GBP34" s="160"/>
      <c r="GBQ34" s="160"/>
      <c r="GBR34" s="160"/>
      <c r="GBS34" s="160"/>
      <c r="GBT34" s="160"/>
      <c r="GBU34" s="160"/>
      <c r="GBV34" s="160"/>
      <c r="GBW34" s="160"/>
      <c r="GBX34" s="160"/>
      <c r="GBY34" s="160"/>
      <c r="GBZ34" s="160"/>
      <c r="GCA34" s="160"/>
      <c r="GCB34" s="160"/>
      <c r="GCC34" s="160"/>
      <c r="GCD34" s="160"/>
      <c r="GCE34" s="160"/>
      <c r="GCF34" s="160"/>
      <c r="GCG34" s="160"/>
      <c r="GCH34" s="160"/>
      <c r="GCI34" s="160"/>
      <c r="GCJ34" s="160"/>
      <c r="GCK34" s="160"/>
      <c r="GCL34" s="160"/>
      <c r="GCM34" s="160"/>
      <c r="GCN34" s="160"/>
      <c r="GCO34" s="160"/>
      <c r="GCP34" s="160"/>
      <c r="GCQ34" s="160"/>
      <c r="GCR34" s="160"/>
      <c r="GCS34" s="160"/>
      <c r="GCT34" s="160"/>
      <c r="GCU34" s="160"/>
      <c r="GCV34" s="160"/>
      <c r="GCW34" s="160"/>
      <c r="GCX34" s="160"/>
      <c r="GCY34" s="160"/>
      <c r="GCZ34" s="160"/>
      <c r="GDA34" s="160"/>
      <c r="GDB34" s="160"/>
      <c r="GDC34" s="160"/>
      <c r="GDD34" s="160"/>
      <c r="GDE34" s="160"/>
      <c r="GDF34" s="160"/>
      <c r="GDG34" s="160"/>
      <c r="GDH34" s="160"/>
      <c r="GDI34" s="160"/>
      <c r="GDJ34" s="160"/>
      <c r="GDK34" s="160"/>
      <c r="GDL34" s="160"/>
      <c r="GDM34" s="160"/>
      <c r="GDN34" s="160"/>
      <c r="GDO34" s="160"/>
      <c r="GDP34" s="160"/>
      <c r="GDQ34" s="160"/>
      <c r="GDR34" s="160"/>
      <c r="GDS34" s="160"/>
      <c r="GDT34" s="160"/>
      <c r="GDU34" s="160"/>
      <c r="GDV34" s="160"/>
      <c r="GDW34" s="160"/>
      <c r="GDX34" s="160"/>
      <c r="GDY34" s="160"/>
      <c r="GDZ34" s="160"/>
      <c r="GEA34" s="160"/>
      <c r="GEB34" s="160"/>
      <c r="GEC34" s="160"/>
      <c r="GED34" s="160"/>
      <c r="GEE34" s="160"/>
      <c r="GEK34" s="160"/>
      <c r="GEL34" s="160"/>
      <c r="GEM34" s="160"/>
      <c r="GEN34" s="160"/>
      <c r="GEO34" s="160"/>
      <c r="GEP34" s="160"/>
      <c r="GEQ34" s="160"/>
      <c r="GER34" s="160"/>
      <c r="GES34" s="160"/>
      <c r="GET34" s="160"/>
      <c r="GEU34" s="160"/>
      <c r="GEV34" s="160"/>
      <c r="GEW34" s="160"/>
      <c r="GEX34" s="160"/>
      <c r="GEY34" s="160"/>
      <c r="GEZ34" s="160"/>
      <c r="GFA34" s="160"/>
      <c r="GFB34" s="160"/>
      <c r="GFC34" s="160"/>
      <c r="GFD34" s="160"/>
      <c r="GFE34" s="160"/>
      <c r="GFF34" s="160"/>
      <c r="GFG34" s="160"/>
      <c r="GFH34" s="160"/>
      <c r="GFI34" s="160"/>
      <c r="GFJ34" s="160"/>
      <c r="GFK34" s="160"/>
      <c r="GFL34" s="160"/>
      <c r="GFM34" s="160"/>
      <c r="GFN34" s="160"/>
      <c r="GFO34" s="160"/>
      <c r="GFP34" s="160"/>
      <c r="GFQ34" s="160"/>
      <c r="GFR34" s="160"/>
      <c r="GFS34" s="160"/>
      <c r="GFT34" s="160"/>
      <c r="GFU34" s="160"/>
      <c r="GFV34" s="160"/>
      <c r="GFW34" s="160"/>
      <c r="GFX34" s="160"/>
      <c r="GFY34" s="160"/>
      <c r="GFZ34" s="160"/>
      <c r="GGA34" s="160"/>
      <c r="GGB34" s="160"/>
      <c r="GGC34" s="160"/>
      <c r="GGD34" s="160"/>
      <c r="GGE34" s="160"/>
      <c r="GGF34" s="160"/>
      <c r="GGG34" s="160"/>
      <c r="GGH34" s="160"/>
      <c r="GGI34" s="160"/>
      <c r="GGJ34" s="160"/>
      <c r="GGK34" s="160"/>
      <c r="GGL34" s="160"/>
      <c r="GGM34" s="160"/>
      <c r="GGN34" s="160"/>
      <c r="GGO34" s="160"/>
      <c r="GGP34" s="160"/>
      <c r="GGQ34" s="160"/>
      <c r="GGR34" s="160"/>
      <c r="GGS34" s="160"/>
      <c r="GGT34" s="160"/>
      <c r="GGU34" s="160"/>
      <c r="GGV34" s="160"/>
      <c r="GGW34" s="160"/>
      <c r="GGX34" s="160"/>
      <c r="GGY34" s="160"/>
      <c r="GGZ34" s="160"/>
      <c r="GHA34" s="160"/>
      <c r="GHB34" s="160"/>
      <c r="GHC34" s="160"/>
      <c r="GHD34" s="160"/>
      <c r="GHE34" s="160"/>
      <c r="GHF34" s="160"/>
      <c r="GHG34" s="160"/>
      <c r="GHH34" s="160"/>
      <c r="GHI34" s="160"/>
      <c r="GHJ34" s="160"/>
      <c r="GHK34" s="160"/>
      <c r="GHL34" s="160"/>
      <c r="GHM34" s="160"/>
      <c r="GHN34" s="160"/>
      <c r="GHO34" s="160"/>
      <c r="GHP34" s="160"/>
      <c r="GHQ34" s="160"/>
      <c r="GHR34" s="160"/>
      <c r="GHS34" s="160"/>
      <c r="GHT34" s="160"/>
      <c r="GHU34" s="160"/>
      <c r="GHV34" s="160"/>
      <c r="GHW34" s="160"/>
      <c r="GHX34" s="160"/>
      <c r="GHY34" s="160"/>
      <c r="GHZ34" s="160"/>
      <c r="GIA34" s="160"/>
      <c r="GIB34" s="160"/>
      <c r="GIC34" s="160"/>
      <c r="GID34" s="160"/>
      <c r="GIE34" s="160"/>
      <c r="GIF34" s="160"/>
      <c r="GIG34" s="160"/>
      <c r="GIH34" s="160"/>
      <c r="GII34" s="160"/>
      <c r="GIJ34" s="160"/>
      <c r="GIK34" s="160"/>
      <c r="GIL34" s="160"/>
      <c r="GIM34" s="160"/>
      <c r="GIN34" s="160"/>
      <c r="GIO34" s="160"/>
      <c r="GIP34" s="160"/>
      <c r="GIQ34" s="160"/>
      <c r="GIR34" s="160"/>
      <c r="GIS34" s="160"/>
      <c r="GIT34" s="160"/>
      <c r="GIU34" s="160"/>
      <c r="GIV34" s="160"/>
      <c r="GIW34" s="160"/>
      <c r="GIX34" s="160"/>
      <c r="GIY34" s="160"/>
      <c r="GIZ34" s="160"/>
      <c r="GJA34" s="160"/>
      <c r="GJB34" s="160"/>
      <c r="GJC34" s="160"/>
      <c r="GJD34" s="160"/>
      <c r="GJE34" s="160"/>
      <c r="GJF34" s="160"/>
      <c r="GJG34" s="160"/>
      <c r="GJH34" s="160"/>
      <c r="GJI34" s="160"/>
      <c r="GJJ34" s="160"/>
      <c r="GJK34" s="160"/>
      <c r="GJL34" s="160"/>
      <c r="GJM34" s="160"/>
      <c r="GJN34" s="160"/>
      <c r="GJO34" s="160"/>
      <c r="GJP34" s="160"/>
      <c r="GJQ34" s="160"/>
      <c r="GJR34" s="160"/>
      <c r="GJS34" s="160"/>
      <c r="GJT34" s="160"/>
      <c r="GJU34" s="160"/>
      <c r="GJV34" s="160"/>
      <c r="GJW34" s="160"/>
      <c r="GJX34" s="160"/>
      <c r="GJY34" s="160"/>
      <c r="GJZ34" s="160"/>
      <c r="GKA34" s="160"/>
      <c r="GKB34" s="160"/>
      <c r="GKC34" s="160"/>
      <c r="GKD34" s="160"/>
      <c r="GKE34" s="160"/>
      <c r="GKF34" s="160"/>
      <c r="GKG34" s="160"/>
      <c r="GKH34" s="160"/>
      <c r="GKI34" s="160"/>
      <c r="GKJ34" s="160"/>
      <c r="GKK34" s="160"/>
      <c r="GKL34" s="160"/>
      <c r="GKM34" s="160"/>
      <c r="GKN34" s="160"/>
      <c r="GKO34" s="160"/>
      <c r="GKP34" s="160"/>
      <c r="GKQ34" s="160"/>
      <c r="GKR34" s="160"/>
      <c r="GKS34" s="160"/>
      <c r="GKT34" s="160"/>
      <c r="GKU34" s="160"/>
      <c r="GKV34" s="160"/>
      <c r="GKW34" s="160"/>
      <c r="GKX34" s="160"/>
      <c r="GKY34" s="160"/>
      <c r="GKZ34" s="160"/>
      <c r="GLA34" s="160"/>
      <c r="GLB34" s="160"/>
      <c r="GLC34" s="160"/>
      <c r="GLD34" s="160"/>
      <c r="GLE34" s="160"/>
      <c r="GLF34" s="160"/>
      <c r="GLG34" s="160"/>
      <c r="GLH34" s="160"/>
      <c r="GLI34" s="160"/>
      <c r="GLJ34" s="160"/>
      <c r="GLK34" s="160"/>
      <c r="GLL34" s="160"/>
      <c r="GLM34" s="160"/>
      <c r="GLN34" s="160"/>
      <c r="GLO34" s="160"/>
      <c r="GLP34" s="160"/>
      <c r="GLQ34" s="160"/>
      <c r="GLR34" s="160"/>
      <c r="GLS34" s="160"/>
      <c r="GLT34" s="160"/>
      <c r="GLU34" s="160"/>
      <c r="GLV34" s="160"/>
      <c r="GLW34" s="160"/>
      <c r="GLX34" s="160"/>
      <c r="GLY34" s="160"/>
      <c r="GLZ34" s="160"/>
      <c r="GMA34" s="160"/>
      <c r="GMB34" s="160"/>
      <c r="GMC34" s="160"/>
      <c r="GMD34" s="160"/>
      <c r="GME34" s="160"/>
      <c r="GMF34" s="160"/>
      <c r="GMG34" s="160"/>
      <c r="GMH34" s="160"/>
      <c r="GMI34" s="160"/>
      <c r="GMJ34" s="160"/>
      <c r="GMK34" s="160"/>
      <c r="GML34" s="160"/>
      <c r="GMM34" s="160"/>
      <c r="GMN34" s="160"/>
      <c r="GMO34" s="160"/>
      <c r="GMP34" s="160"/>
      <c r="GMQ34" s="160"/>
      <c r="GMR34" s="160"/>
      <c r="GMS34" s="160"/>
      <c r="GMT34" s="160"/>
      <c r="GMU34" s="160"/>
      <c r="GMV34" s="160"/>
      <c r="GMW34" s="160"/>
      <c r="GMX34" s="160"/>
      <c r="GMY34" s="160"/>
      <c r="GMZ34" s="160"/>
      <c r="GNA34" s="160"/>
      <c r="GNB34" s="160"/>
      <c r="GNC34" s="160"/>
      <c r="GND34" s="160"/>
      <c r="GNE34" s="160"/>
      <c r="GNF34" s="160"/>
      <c r="GNG34" s="160"/>
      <c r="GNH34" s="160"/>
      <c r="GNI34" s="160"/>
      <c r="GNJ34" s="160"/>
      <c r="GNK34" s="160"/>
      <c r="GNL34" s="160"/>
      <c r="GNM34" s="160"/>
      <c r="GNN34" s="160"/>
      <c r="GNO34" s="160"/>
      <c r="GNP34" s="160"/>
      <c r="GNQ34" s="160"/>
      <c r="GNR34" s="160"/>
      <c r="GNS34" s="160"/>
      <c r="GNT34" s="160"/>
      <c r="GNU34" s="160"/>
      <c r="GNV34" s="160"/>
      <c r="GNW34" s="160"/>
      <c r="GNX34" s="160"/>
      <c r="GNY34" s="160"/>
      <c r="GNZ34" s="160"/>
      <c r="GOA34" s="160"/>
      <c r="GOG34" s="160"/>
      <c r="GOH34" s="160"/>
      <c r="GOI34" s="160"/>
      <c r="GOJ34" s="160"/>
      <c r="GOK34" s="160"/>
      <c r="GOL34" s="160"/>
      <c r="GOM34" s="160"/>
      <c r="GON34" s="160"/>
      <c r="GOO34" s="160"/>
      <c r="GOP34" s="160"/>
      <c r="GOQ34" s="160"/>
      <c r="GOR34" s="160"/>
      <c r="GOS34" s="160"/>
      <c r="GOT34" s="160"/>
      <c r="GOU34" s="160"/>
      <c r="GOV34" s="160"/>
      <c r="GOW34" s="160"/>
      <c r="GOX34" s="160"/>
      <c r="GOY34" s="160"/>
      <c r="GOZ34" s="160"/>
      <c r="GPA34" s="160"/>
      <c r="GPB34" s="160"/>
      <c r="GPC34" s="160"/>
      <c r="GPD34" s="160"/>
      <c r="GPE34" s="160"/>
      <c r="GPF34" s="160"/>
      <c r="GPG34" s="160"/>
      <c r="GPH34" s="160"/>
      <c r="GPI34" s="160"/>
      <c r="GPJ34" s="160"/>
      <c r="GPK34" s="160"/>
      <c r="GPL34" s="160"/>
      <c r="GPM34" s="160"/>
      <c r="GPN34" s="160"/>
      <c r="GPO34" s="160"/>
      <c r="GPP34" s="160"/>
      <c r="GPQ34" s="160"/>
      <c r="GPR34" s="160"/>
      <c r="GPS34" s="160"/>
      <c r="GPT34" s="160"/>
      <c r="GPU34" s="160"/>
      <c r="GPV34" s="160"/>
      <c r="GPW34" s="160"/>
      <c r="GPX34" s="160"/>
      <c r="GPY34" s="160"/>
      <c r="GPZ34" s="160"/>
      <c r="GQA34" s="160"/>
      <c r="GQB34" s="160"/>
      <c r="GQC34" s="160"/>
      <c r="GQD34" s="160"/>
      <c r="GQE34" s="160"/>
      <c r="GQF34" s="160"/>
      <c r="GQG34" s="160"/>
      <c r="GQH34" s="160"/>
      <c r="GQI34" s="160"/>
      <c r="GQJ34" s="160"/>
      <c r="GQK34" s="160"/>
      <c r="GQL34" s="160"/>
      <c r="GQM34" s="160"/>
      <c r="GQN34" s="160"/>
      <c r="GQO34" s="160"/>
      <c r="GQP34" s="160"/>
      <c r="GQQ34" s="160"/>
      <c r="GQR34" s="160"/>
      <c r="GQS34" s="160"/>
      <c r="GQT34" s="160"/>
      <c r="GQU34" s="160"/>
      <c r="GQV34" s="160"/>
      <c r="GQW34" s="160"/>
      <c r="GQX34" s="160"/>
      <c r="GQY34" s="160"/>
      <c r="GQZ34" s="160"/>
      <c r="GRA34" s="160"/>
      <c r="GRB34" s="160"/>
      <c r="GRC34" s="160"/>
      <c r="GRD34" s="160"/>
      <c r="GRE34" s="160"/>
      <c r="GRF34" s="160"/>
      <c r="GRG34" s="160"/>
      <c r="GRH34" s="160"/>
      <c r="GRI34" s="160"/>
      <c r="GRJ34" s="160"/>
      <c r="GRK34" s="160"/>
      <c r="GRL34" s="160"/>
      <c r="GRM34" s="160"/>
      <c r="GRN34" s="160"/>
      <c r="GRO34" s="160"/>
      <c r="GRP34" s="160"/>
      <c r="GRQ34" s="160"/>
      <c r="GRR34" s="160"/>
      <c r="GRS34" s="160"/>
      <c r="GRT34" s="160"/>
      <c r="GRU34" s="160"/>
      <c r="GRV34" s="160"/>
      <c r="GRW34" s="160"/>
      <c r="GRX34" s="160"/>
      <c r="GRY34" s="160"/>
      <c r="GRZ34" s="160"/>
      <c r="GSA34" s="160"/>
      <c r="GSB34" s="160"/>
      <c r="GSC34" s="160"/>
      <c r="GSD34" s="160"/>
      <c r="GSE34" s="160"/>
      <c r="GSF34" s="160"/>
      <c r="GSG34" s="160"/>
      <c r="GSH34" s="160"/>
      <c r="GSI34" s="160"/>
      <c r="GSJ34" s="160"/>
      <c r="GSK34" s="160"/>
      <c r="GSL34" s="160"/>
      <c r="GSM34" s="160"/>
      <c r="GSN34" s="160"/>
      <c r="GSO34" s="160"/>
      <c r="GSP34" s="160"/>
      <c r="GSQ34" s="160"/>
      <c r="GSR34" s="160"/>
      <c r="GSS34" s="160"/>
      <c r="GST34" s="160"/>
      <c r="GSU34" s="160"/>
      <c r="GSV34" s="160"/>
      <c r="GSW34" s="160"/>
      <c r="GSX34" s="160"/>
      <c r="GSY34" s="160"/>
      <c r="GSZ34" s="160"/>
      <c r="GTA34" s="160"/>
      <c r="GTB34" s="160"/>
      <c r="GTC34" s="160"/>
      <c r="GTD34" s="160"/>
      <c r="GTE34" s="160"/>
      <c r="GTF34" s="160"/>
      <c r="GTG34" s="160"/>
      <c r="GTH34" s="160"/>
      <c r="GTI34" s="160"/>
      <c r="GTJ34" s="160"/>
      <c r="GTK34" s="160"/>
      <c r="GTL34" s="160"/>
      <c r="GTM34" s="160"/>
      <c r="GTN34" s="160"/>
      <c r="GTO34" s="160"/>
      <c r="GTP34" s="160"/>
      <c r="GTQ34" s="160"/>
      <c r="GTR34" s="160"/>
      <c r="GTS34" s="160"/>
      <c r="GTT34" s="160"/>
      <c r="GTU34" s="160"/>
      <c r="GTV34" s="160"/>
      <c r="GTW34" s="160"/>
      <c r="GTX34" s="160"/>
      <c r="GTY34" s="160"/>
      <c r="GTZ34" s="160"/>
      <c r="GUA34" s="160"/>
      <c r="GUB34" s="160"/>
      <c r="GUC34" s="160"/>
      <c r="GUD34" s="160"/>
      <c r="GUE34" s="160"/>
      <c r="GUF34" s="160"/>
      <c r="GUG34" s="160"/>
      <c r="GUH34" s="160"/>
      <c r="GUI34" s="160"/>
      <c r="GUJ34" s="160"/>
      <c r="GUK34" s="160"/>
      <c r="GUL34" s="160"/>
      <c r="GUM34" s="160"/>
      <c r="GUN34" s="160"/>
      <c r="GUO34" s="160"/>
      <c r="GUP34" s="160"/>
      <c r="GUQ34" s="160"/>
      <c r="GUR34" s="160"/>
      <c r="GUS34" s="160"/>
      <c r="GUT34" s="160"/>
      <c r="GUU34" s="160"/>
      <c r="GUV34" s="160"/>
      <c r="GUW34" s="160"/>
      <c r="GUX34" s="160"/>
      <c r="GUY34" s="160"/>
      <c r="GUZ34" s="160"/>
      <c r="GVA34" s="160"/>
      <c r="GVB34" s="160"/>
      <c r="GVC34" s="160"/>
      <c r="GVD34" s="160"/>
      <c r="GVE34" s="160"/>
      <c r="GVF34" s="160"/>
      <c r="GVG34" s="160"/>
      <c r="GVH34" s="160"/>
      <c r="GVI34" s="160"/>
      <c r="GVJ34" s="160"/>
      <c r="GVK34" s="160"/>
      <c r="GVL34" s="160"/>
      <c r="GVM34" s="160"/>
      <c r="GVN34" s="160"/>
      <c r="GVO34" s="160"/>
      <c r="GVP34" s="160"/>
      <c r="GVQ34" s="160"/>
      <c r="GVR34" s="160"/>
      <c r="GVS34" s="160"/>
      <c r="GVT34" s="160"/>
      <c r="GVU34" s="160"/>
      <c r="GVV34" s="160"/>
      <c r="GVW34" s="160"/>
      <c r="GVX34" s="160"/>
      <c r="GVY34" s="160"/>
      <c r="GVZ34" s="160"/>
      <c r="GWA34" s="160"/>
      <c r="GWB34" s="160"/>
      <c r="GWC34" s="160"/>
      <c r="GWD34" s="160"/>
      <c r="GWE34" s="160"/>
      <c r="GWF34" s="160"/>
      <c r="GWG34" s="160"/>
      <c r="GWH34" s="160"/>
      <c r="GWI34" s="160"/>
      <c r="GWJ34" s="160"/>
      <c r="GWK34" s="160"/>
      <c r="GWL34" s="160"/>
      <c r="GWM34" s="160"/>
      <c r="GWN34" s="160"/>
      <c r="GWO34" s="160"/>
      <c r="GWP34" s="160"/>
      <c r="GWQ34" s="160"/>
      <c r="GWR34" s="160"/>
      <c r="GWS34" s="160"/>
      <c r="GWT34" s="160"/>
      <c r="GWU34" s="160"/>
      <c r="GWV34" s="160"/>
      <c r="GWW34" s="160"/>
      <c r="GWX34" s="160"/>
      <c r="GWY34" s="160"/>
      <c r="GWZ34" s="160"/>
      <c r="GXA34" s="160"/>
      <c r="GXB34" s="160"/>
      <c r="GXC34" s="160"/>
      <c r="GXD34" s="160"/>
      <c r="GXE34" s="160"/>
      <c r="GXF34" s="160"/>
      <c r="GXG34" s="160"/>
      <c r="GXH34" s="160"/>
      <c r="GXI34" s="160"/>
      <c r="GXJ34" s="160"/>
      <c r="GXK34" s="160"/>
      <c r="GXL34" s="160"/>
      <c r="GXM34" s="160"/>
      <c r="GXN34" s="160"/>
      <c r="GXO34" s="160"/>
      <c r="GXP34" s="160"/>
      <c r="GXQ34" s="160"/>
      <c r="GXR34" s="160"/>
      <c r="GXS34" s="160"/>
      <c r="GXT34" s="160"/>
      <c r="GXU34" s="160"/>
      <c r="GXV34" s="160"/>
      <c r="GXW34" s="160"/>
      <c r="GYC34" s="160"/>
      <c r="GYD34" s="160"/>
      <c r="GYE34" s="160"/>
      <c r="GYF34" s="160"/>
      <c r="GYG34" s="160"/>
      <c r="GYH34" s="160"/>
      <c r="GYI34" s="160"/>
      <c r="GYJ34" s="160"/>
      <c r="GYK34" s="160"/>
      <c r="GYL34" s="160"/>
      <c r="GYM34" s="160"/>
      <c r="GYN34" s="160"/>
      <c r="GYO34" s="160"/>
      <c r="GYP34" s="160"/>
      <c r="GYQ34" s="160"/>
      <c r="GYR34" s="160"/>
      <c r="GYS34" s="160"/>
      <c r="GYT34" s="160"/>
      <c r="GYU34" s="160"/>
      <c r="GYV34" s="160"/>
      <c r="GYW34" s="160"/>
      <c r="GYX34" s="160"/>
      <c r="GYY34" s="160"/>
      <c r="GYZ34" s="160"/>
      <c r="GZA34" s="160"/>
      <c r="GZB34" s="160"/>
      <c r="GZC34" s="160"/>
      <c r="GZD34" s="160"/>
      <c r="GZE34" s="160"/>
      <c r="GZF34" s="160"/>
      <c r="GZG34" s="160"/>
      <c r="GZH34" s="160"/>
      <c r="GZI34" s="160"/>
      <c r="GZJ34" s="160"/>
      <c r="GZK34" s="160"/>
      <c r="GZL34" s="160"/>
      <c r="GZM34" s="160"/>
      <c r="GZN34" s="160"/>
      <c r="GZO34" s="160"/>
      <c r="GZP34" s="160"/>
      <c r="GZQ34" s="160"/>
      <c r="GZR34" s="160"/>
      <c r="GZS34" s="160"/>
      <c r="GZT34" s="160"/>
      <c r="GZU34" s="160"/>
      <c r="GZV34" s="160"/>
      <c r="GZW34" s="160"/>
      <c r="GZX34" s="160"/>
      <c r="GZY34" s="160"/>
      <c r="GZZ34" s="160"/>
      <c r="HAA34" s="160"/>
      <c r="HAB34" s="160"/>
      <c r="HAC34" s="160"/>
      <c r="HAD34" s="160"/>
      <c r="HAE34" s="160"/>
      <c r="HAF34" s="160"/>
      <c r="HAG34" s="160"/>
      <c r="HAH34" s="160"/>
      <c r="HAI34" s="160"/>
      <c r="HAJ34" s="160"/>
      <c r="HAK34" s="160"/>
      <c r="HAL34" s="160"/>
      <c r="HAM34" s="160"/>
      <c r="HAN34" s="160"/>
      <c r="HAO34" s="160"/>
      <c r="HAP34" s="160"/>
      <c r="HAQ34" s="160"/>
      <c r="HAR34" s="160"/>
      <c r="HAS34" s="160"/>
      <c r="HAT34" s="160"/>
      <c r="HAU34" s="160"/>
      <c r="HAV34" s="160"/>
      <c r="HAW34" s="160"/>
      <c r="HAX34" s="160"/>
      <c r="HAY34" s="160"/>
      <c r="HAZ34" s="160"/>
      <c r="HBA34" s="160"/>
      <c r="HBB34" s="160"/>
      <c r="HBC34" s="160"/>
      <c r="HBD34" s="160"/>
      <c r="HBE34" s="160"/>
      <c r="HBF34" s="160"/>
      <c r="HBG34" s="160"/>
      <c r="HBH34" s="160"/>
      <c r="HBI34" s="160"/>
      <c r="HBJ34" s="160"/>
      <c r="HBK34" s="160"/>
      <c r="HBL34" s="160"/>
      <c r="HBM34" s="160"/>
      <c r="HBN34" s="160"/>
      <c r="HBO34" s="160"/>
      <c r="HBP34" s="160"/>
      <c r="HBQ34" s="160"/>
      <c r="HBR34" s="160"/>
      <c r="HBS34" s="160"/>
      <c r="HBT34" s="160"/>
      <c r="HBU34" s="160"/>
      <c r="HBV34" s="160"/>
      <c r="HBW34" s="160"/>
      <c r="HBX34" s="160"/>
      <c r="HBY34" s="160"/>
      <c r="HBZ34" s="160"/>
      <c r="HCA34" s="160"/>
      <c r="HCB34" s="160"/>
      <c r="HCC34" s="160"/>
      <c r="HCD34" s="160"/>
      <c r="HCE34" s="160"/>
      <c r="HCF34" s="160"/>
      <c r="HCG34" s="160"/>
      <c r="HCH34" s="160"/>
      <c r="HCI34" s="160"/>
      <c r="HCJ34" s="160"/>
      <c r="HCK34" s="160"/>
      <c r="HCL34" s="160"/>
      <c r="HCM34" s="160"/>
      <c r="HCN34" s="160"/>
      <c r="HCO34" s="160"/>
      <c r="HCP34" s="160"/>
      <c r="HCQ34" s="160"/>
      <c r="HCR34" s="160"/>
      <c r="HCS34" s="160"/>
      <c r="HCT34" s="160"/>
      <c r="HCU34" s="160"/>
      <c r="HCV34" s="160"/>
      <c r="HCW34" s="160"/>
      <c r="HCX34" s="160"/>
      <c r="HCY34" s="160"/>
      <c r="HCZ34" s="160"/>
      <c r="HDA34" s="160"/>
      <c r="HDB34" s="160"/>
      <c r="HDC34" s="160"/>
      <c r="HDD34" s="160"/>
      <c r="HDE34" s="160"/>
      <c r="HDF34" s="160"/>
      <c r="HDG34" s="160"/>
      <c r="HDH34" s="160"/>
      <c r="HDI34" s="160"/>
      <c r="HDJ34" s="160"/>
      <c r="HDK34" s="160"/>
      <c r="HDL34" s="160"/>
      <c r="HDM34" s="160"/>
      <c r="HDN34" s="160"/>
      <c r="HDO34" s="160"/>
      <c r="HDP34" s="160"/>
      <c r="HDQ34" s="160"/>
      <c r="HDR34" s="160"/>
      <c r="HDS34" s="160"/>
      <c r="HDT34" s="160"/>
      <c r="HDU34" s="160"/>
      <c r="HDV34" s="160"/>
      <c r="HDW34" s="160"/>
      <c r="HDX34" s="160"/>
      <c r="HDY34" s="160"/>
      <c r="HDZ34" s="160"/>
      <c r="HEA34" s="160"/>
      <c r="HEB34" s="160"/>
      <c r="HEC34" s="160"/>
      <c r="HED34" s="160"/>
      <c r="HEE34" s="160"/>
      <c r="HEF34" s="160"/>
      <c r="HEG34" s="160"/>
      <c r="HEH34" s="160"/>
      <c r="HEI34" s="160"/>
      <c r="HEJ34" s="160"/>
      <c r="HEK34" s="160"/>
      <c r="HEL34" s="160"/>
      <c r="HEM34" s="160"/>
      <c r="HEN34" s="160"/>
      <c r="HEO34" s="160"/>
      <c r="HEP34" s="160"/>
      <c r="HEQ34" s="160"/>
      <c r="HER34" s="160"/>
      <c r="HES34" s="160"/>
      <c r="HET34" s="160"/>
      <c r="HEU34" s="160"/>
      <c r="HEV34" s="160"/>
      <c r="HEW34" s="160"/>
      <c r="HEX34" s="160"/>
      <c r="HEY34" s="160"/>
      <c r="HEZ34" s="160"/>
      <c r="HFA34" s="160"/>
      <c r="HFB34" s="160"/>
      <c r="HFC34" s="160"/>
      <c r="HFD34" s="160"/>
      <c r="HFE34" s="160"/>
      <c r="HFF34" s="160"/>
      <c r="HFG34" s="160"/>
      <c r="HFH34" s="160"/>
      <c r="HFI34" s="160"/>
      <c r="HFJ34" s="160"/>
      <c r="HFK34" s="160"/>
      <c r="HFL34" s="160"/>
      <c r="HFM34" s="160"/>
      <c r="HFN34" s="160"/>
      <c r="HFO34" s="160"/>
      <c r="HFP34" s="160"/>
      <c r="HFQ34" s="160"/>
      <c r="HFR34" s="160"/>
      <c r="HFS34" s="160"/>
      <c r="HFT34" s="160"/>
      <c r="HFU34" s="160"/>
      <c r="HFV34" s="160"/>
      <c r="HFW34" s="160"/>
      <c r="HFX34" s="160"/>
      <c r="HFY34" s="160"/>
      <c r="HFZ34" s="160"/>
      <c r="HGA34" s="160"/>
      <c r="HGB34" s="160"/>
      <c r="HGC34" s="160"/>
      <c r="HGD34" s="160"/>
      <c r="HGE34" s="160"/>
      <c r="HGF34" s="160"/>
      <c r="HGG34" s="160"/>
      <c r="HGH34" s="160"/>
      <c r="HGI34" s="160"/>
      <c r="HGJ34" s="160"/>
      <c r="HGK34" s="160"/>
      <c r="HGL34" s="160"/>
      <c r="HGM34" s="160"/>
      <c r="HGN34" s="160"/>
      <c r="HGO34" s="160"/>
      <c r="HGP34" s="160"/>
      <c r="HGQ34" s="160"/>
      <c r="HGR34" s="160"/>
      <c r="HGS34" s="160"/>
      <c r="HGT34" s="160"/>
      <c r="HGU34" s="160"/>
      <c r="HGV34" s="160"/>
      <c r="HGW34" s="160"/>
      <c r="HGX34" s="160"/>
      <c r="HGY34" s="160"/>
      <c r="HGZ34" s="160"/>
      <c r="HHA34" s="160"/>
      <c r="HHB34" s="160"/>
      <c r="HHC34" s="160"/>
      <c r="HHD34" s="160"/>
      <c r="HHE34" s="160"/>
      <c r="HHF34" s="160"/>
      <c r="HHG34" s="160"/>
      <c r="HHH34" s="160"/>
      <c r="HHI34" s="160"/>
      <c r="HHJ34" s="160"/>
      <c r="HHK34" s="160"/>
      <c r="HHL34" s="160"/>
      <c r="HHM34" s="160"/>
      <c r="HHN34" s="160"/>
      <c r="HHO34" s="160"/>
      <c r="HHP34" s="160"/>
      <c r="HHQ34" s="160"/>
      <c r="HHR34" s="160"/>
      <c r="HHS34" s="160"/>
      <c r="HHY34" s="160"/>
      <c r="HHZ34" s="160"/>
      <c r="HIA34" s="160"/>
      <c r="HIB34" s="160"/>
      <c r="HIC34" s="160"/>
      <c r="HID34" s="160"/>
      <c r="HIE34" s="160"/>
      <c r="HIF34" s="160"/>
      <c r="HIG34" s="160"/>
      <c r="HIH34" s="160"/>
      <c r="HII34" s="160"/>
      <c r="HIJ34" s="160"/>
      <c r="HIK34" s="160"/>
      <c r="HIL34" s="160"/>
      <c r="HIM34" s="160"/>
      <c r="HIN34" s="160"/>
      <c r="HIO34" s="160"/>
      <c r="HIP34" s="160"/>
      <c r="HIQ34" s="160"/>
      <c r="HIR34" s="160"/>
      <c r="HIS34" s="160"/>
      <c r="HIT34" s="160"/>
      <c r="HIU34" s="160"/>
      <c r="HIV34" s="160"/>
      <c r="HIW34" s="160"/>
      <c r="HIX34" s="160"/>
      <c r="HIY34" s="160"/>
      <c r="HIZ34" s="160"/>
      <c r="HJA34" s="160"/>
      <c r="HJB34" s="160"/>
      <c r="HJC34" s="160"/>
      <c r="HJD34" s="160"/>
      <c r="HJE34" s="160"/>
      <c r="HJF34" s="160"/>
      <c r="HJG34" s="160"/>
      <c r="HJH34" s="160"/>
      <c r="HJI34" s="160"/>
      <c r="HJJ34" s="160"/>
      <c r="HJK34" s="160"/>
      <c r="HJL34" s="160"/>
      <c r="HJM34" s="160"/>
      <c r="HJN34" s="160"/>
      <c r="HJO34" s="160"/>
      <c r="HJP34" s="160"/>
      <c r="HJQ34" s="160"/>
      <c r="HJR34" s="160"/>
      <c r="HJS34" s="160"/>
      <c r="HJT34" s="160"/>
      <c r="HJU34" s="160"/>
      <c r="HJV34" s="160"/>
      <c r="HJW34" s="160"/>
      <c r="HJX34" s="160"/>
      <c r="HJY34" s="160"/>
      <c r="HJZ34" s="160"/>
      <c r="HKA34" s="160"/>
      <c r="HKB34" s="160"/>
      <c r="HKC34" s="160"/>
      <c r="HKD34" s="160"/>
      <c r="HKE34" s="160"/>
      <c r="HKF34" s="160"/>
      <c r="HKG34" s="160"/>
      <c r="HKH34" s="160"/>
      <c r="HKI34" s="160"/>
      <c r="HKJ34" s="160"/>
      <c r="HKK34" s="160"/>
      <c r="HKL34" s="160"/>
      <c r="HKM34" s="160"/>
      <c r="HKN34" s="160"/>
      <c r="HKO34" s="160"/>
      <c r="HKP34" s="160"/>
      <c r="HKQ34" s="160"/>
      <c r="HKR34" s="160"/>
      <c r="HKS34" s="160"/>
      <c r="HKT34" s="160"/>
      <c r="HKU34" s="160"/>
      <c r="HKV34" s="160"/>
      <c r="HKW34" s="160"/>
      <c r="HKX34" s="160"/>
      <c r="HKY34" s="160"/>
      <c r="HKZ34" s="160"/>
      <c r="HLA34" s="160"/>
      <c r="HLB34" s="160"/>
      <c r="HLC34" s="160"/>
      <c r="HLD34" s="160"/>
      <c r="HLE34" s="160"/>
      <c r="HLF34" s="160"/>
      <c r="HLG34" s="160"/>
      <c r="HLH34" s="160"/>
      <c r="HLI34" s="160"/>
      <c r="HLJ34" s="160"/>
      <c r="HLK34" s="160"/>
      <c r="HLL34" s="160"/>
      <c r="HLM34" s="160"/>
      <c r="HLN34" s="160"/>
      <c r="HLO34" s="160"/>
      <c r="HLP34" s="160"/>
      <c r="HLQ34" s="160"/>
      <c r="HLR34" s="160"/>
      <c r="HLS34" s="160"/>
      <c r="HLT34" s="160"/>
      <c r="HLU34" s="160"/>
      <c r="HLV34" s="160"/>
      <c r="HLW34" s="160"/>
      <c r="HLX34" s="160"/>
      <c r="HLY34" s="160"/>
      <c r="HLZ34" s="160"/>
      <c r="HMA34" s="160"/>
      <c r="HMB34" s="160"/>
      <c r="HMC34" s="160"/>
      <c r="HMD34" s="160"/>
      <c r="HME34" s="160"/>
      <c r="HMF34" s="160"/>
      <c r="HMG34" s="160"/>
      <c r="HMH34" s="160"/>
      <c r="HMI34" s="160"/>
      <c r="HMJ34" s="160"/>
      <c r="HMK34" s="160"/>
      <c r="HML34" s="160"/>
      <c r="HMM34" s="160"/>
      <c r="HMN34" s="160"/>
      <c r="HMO34" s="160"/>
      <c r="HMP34" s="160"/>
      <c r="HMQ34" s="160"/>
      <c r="HMR34" s="160"/>
      <c r="HMS34" s="160"/>
      <c r="HMT34" s="160"/>
      <c r="HMU34" s="160"/>
      <c r="HMV34" s="160"/>
      <c r="HMW34" s="160"/>
      <c r="HMX34" s="160"/>
      <c r="HMY34" s="160"/>
      <c r="HMZ34" s="160"/>
      <c r="HNA34" s="160"/>
      <c r="HNB34" s="160"/>
      <c r="HNC34" s="160"/>
      <c r="HND34" s="160"/>
      <c r="HNE34" s="160"/>
      <c r="HNF34" s="160"/>
      <c r="HNG34" s="160"/>
      <c r="HNH34" s="160"/>
      <c r="HNI34" s="160"/>
      <c r="HNJ34" s="160"/>
      <c r="HNK34" s="160"/>
      <c r="HNL34" s="160"/>
      <c r="HNM34" s="160"/>
      <c r="HNN34" s="160"/>
      <c r="HNO34" s="160"/>
      <c r="HNP34" s="160"/>
      <c r="HNQ34" s="160"/>
      <c r="HNR34" s="160"/>
      <c r="HNS34" s="160"/>
      <c r="HNT34" s="160"/>
      <c r="HNU34" s="160"/>
      <c r="HNV34" s="160"/>
      <c r="HNW34" s="160"/>
      <c r="HNX34" s="160"/>
      <c r="HNY34" s="160"/>
      <c r="HNZ34" s="160"/>
      <c r="HOA34" s="160"/>
      <c r="HOB34" s="160"/>
      <c r="HOC34" s="160"/>
      <c r="HOD34" s="160"/>
      <c r="HOE34" s="160"/>
      <c r="HOF34" s="160"/>
      <c r="HOG34" s="160"/>
      <c r="HOH34" s="160"/>
      <c r="HOI34" s="160"/>
      <c r="HOJ34" s="160"/>
      <c r="HOK34" s="160"/>
      <c r="HOL34" s="160"/>
      <c r="HOM34" s="160"/>
      <c r="HON34" s="160"/>
      <c r="HOO34" s="160"/>
      <c r="HOP34" s="160"/>
      <c r="HOQ34" s="160"/>
      <c r="HOR34" s="160"/>
      <c r="HOS34" s="160"/>
      <c r="HOT34" s="160"/>
      <c r="HOU34" s="160"/>
      <c r="HOV34" s="160"/>
      <c r="HOW34" s="160"/>
      <c r="HOX34" s="160"/>
      <c r="HOY34" s="160"/>
      <c r="HOZ34" s="160"/>
      <c r="HPA34" s="160"/>
      <c r="HPB34" s="160"/>
      <c r="HPC34" s="160"/>
      <c r="HPD34" s="160"/>
      <c r="HPE34" s="160"/>
      <c r="HPF34" s="160"/>
      <c r="HPG34" s="160"/>
      <c r="HPH34" s="160"/>
      <c r="HPI34" s="160"/>
      <c r="HPJ34" s="160"/>
      <c r="HPK34" s="160"/>
      <c r="HPL34" s="160"/>
      <c r="HPM34" s="160"/>
      <c r="HPN34" s="160"/>
      <c r="HPO34" s="160"/>
      <c r="HPP34" s="160"/>
      <c r="HPQ34" s="160"/>
      <c r="HPR34" s="160"/>
      <c r="HPS34" s="160"/>
      <c r="HPT34" s="160"/>
      <c r="HPU34" s="160"/>
      <c r="HPV34" s="160"/>
      <c r="HPW34" s="160"/>
      <c r="HPX34" s="160"/>
      <c r="HPY34" s="160"/>
      <c r="HPZ34" s="160"/>
      <c r="HQA34" s="160"/>
      <c r="HQB34" s="160"/>
      <c r="HQC34" s="160"/>
      <c r="HQD34" s="160"/>
      <c r="HQE34" s="160"/>
      <c r="HQF34" s="160"/>
      <c r="HQG34" s="160"/>
      <c r="HQH34" s="160"/>
      <c r="HQI34" s="160"/>
      <c r="HQJ34" s="160"/>
      <c r="HQK34" s="160"/>
      <c r="HQL34" s="160"/>
      <c r="HQM34" s="160"/>
      <c r="HQN34" s="160"/>
      <c r="HQO34" s="160"/>
      <c r="HQP34" s="160"/>
      <c r="HQQ34" s="160"/>
      <c r="HQR34" s="160"/>
      <c r="HQS34" s="160"/>
      <c r="HQT34" s="160"/>
      <c r="HQU34" s="160"/>
      <c r="HQV34" s="160"/>
      <c r="HQW34" s="160"/>
      <c r="HQX34" s="160"/>
      <c r="HQY34" s="160"/>
      <c r="HQZ34" s="160"/>
      <c r="HRA34" s="160"/>
      <c r="HRB34" s="160"/>
      <c r="HRC34" s="160"/>
      <c r="HRD34" s="160"/>
      <c r="HRE34" s="160"/>
      <c r="HRF34" s="160"/>
      <c r="HRG34" s="160"/>
      <c r="HRH34" s="160"/>
      <c r="HRI34" s="160"/>
      <c r="HRJ34" s="160"/>
      <c r="HRK34" s="160"/>
      <c r="HRL34" s="160"/>
      <c r="HRM34" s="160"/>
      <c r="HRN34" s="160"/>
      <c r="HRO34" s="160"/>
      <c r="HRU34" s="160"/>
      <c r="HRV34" s="160"/>
      <c r="HRW34" s="160"/>
      <c r="HRX34" s="160"/>
      <c r="HRY34" s="160"/>
      <c r="HRZ34" s="160"/>
      <c r="HSA34" s="160"/>
      <c r="HSB34" s="160"/>
      <c r="HSC34" s="160"/>
      <c r="HSD34" s="160"/>
      <c r="HSE34" s="160"/>
      <c r="HSF34" s="160"/>
      <c r="HSG34" s="160"/>
      <c r="HSH34" s="160"/>
      <c r="HSI34" s="160"/>
      <c r="HSJ34" s="160"/>
      <c r="HSK34" s="160"/>
      <c r="HSL34" s="160"/>
      <c r="HSM34" s="160"/>
      <c r="HSN34" s="160"/>
      <c r="HSO34" s="160"/>
      <c r="HSP34" s="160"/>
      <c r="HSQ34" s="160"/>
      <c r="HSR34" s="160"/>
      <c r="HSS34" s="160"/>
      <c r="HST34" s="160"/>
      <c r="HSU34" s="160"/>
      <c r="HSV34" s="160"/>
      <c r="HSW34" s="160"/>
      <c r="HSX34" s="160"/>
      <c r="HSY34" s="160"/>
      <c r="HSZ34" s="160"/>
      <c r="HTA34" s="160"/>
      <c r="HTB34" s="160"/>
      <c r="HTC34" s="160"/>
      <c r="HTD34" s="160"/>
      <c r="HTE34" s="160"/>
      <c r="HTF34" s="160"/>
      <c r="HTG34" s="160"/>
      <c r="HTH34" s="160"/>
      <c r="HTI34" s="160"/>
      <c r="HTJ34" s="160"/>
      <c r="HTK34" s="160"/>
      <c r="HTL34" s="160"/>
      <c r="HTM34" s="160"/>
      <c r="HTN34" s="160"/>
      <c r="HTO34" s="160"/>
      <c r="HTP34" s="160"/>
      <c r="HTQ34" s="160"/>
      <c r="HTR34" s="160"/>
      <c r="HTS34" s="160"/>
      <c r="HTT34" s="160"/>
      <c r="HTU34" s="160"/>
      <c r="HTV34" s="160"/>
      <c r="HTW34" s="160"/>
      <c r="HTX34" s="160"/>
      <c r="HTY34" s="160"/>
      <c r="HTZ34" s="160"/>
      <c r="HUA34" s="160"/>
      <c r="HUB34" s="160"/>
      <c r="HUC34" s="160"/>
      <c r="HUD34" s="160"/>
      <c r="HUE34" s="160"/>
      <c r="HUF34" s="160"/>
      <c r="HUG34" s="160"/>
      <c r="HUH34" s="160"/>
      <c r="HUI34" s="160"/>
      <c r="HUJ34" s="160"/>
      <c r="HUK34" s="160"/>
      <c r="HUL34" s="160"/>
      <c r="HUM34" s="160"/>
      <c r="HUN34" s="160"/>
      <c r="HUO34" s="160"/>
      <c r="HUP34" s="160"/>
      <c r="HUQ34" s="160"/>
      <c r="HUR34" s="160"/>
      <c r="HUS34" s="160"/>
      <c r="HUT34" s="160"/>
      <c r="HUU34" s="160"/>
      <c r="HUV34" s="160"/>
      <c r="HUW34" s="160"/>
      <c r="HUX34" s="160"/>
      <c r="HUY34" s="160"/>
      <c r="HUZ34" s="160"/>
      <c r="HVA34" s="160"/>
      <c r="HVB34" s="160"/>
      <c r="HVC34" s="160"/>
      <c r="HVD34" s="160"/>
      <c r="HVE34" s="160"/>
      <c r="HVF34" s="160"/>
      <c r="HVG34" s="160"/>
      <c r="HVH34" s="160"/>
      <c r="HVI34" s="160"/>
      <c r="HVJ34" s="160"/>
      <c r="HVK34" s="160"/>
      <c r="HVL34" s="160"/>
      <c r="HVM34" s="160"/>
      <c r="HVN34" s="160"/>
      <c r="HVO34" s="160"/>
      <c r="HVP34" s="160"/>
      <c r="HVQ34" s="160"/>
      <c r="HVR34" s="160"/>
      <c r="HVS34" s="160"/>
      <c r="HVT34" s="160"/>
      <c r="HVU34" s="160"/>
      <c r="HVV34" s="160"/>
      <c r="HVW34" s="160"/>
      <c r="HVX34" s="160"/>
      <c r="HVY34" s="160"/>
      <c r="HVZ34" s="160"/>
      <c r="HWA34" s="160"/>
      <c r="HWB34" s="160"/>
      <c r="HWC34" s="160"/>
      <c r="HWD34" s="160"/>
      <c r="HWE34" s="160"/>
      <c r="HWF34" s="160"/>
      <c r="HWG34" s="160"/>
      <c r="HWH34" s="160"/>
      <c r="HWI34" s="160"/>
      <c r="HWJ34" s="160"/>
      <c r="HWK34" s="160"/>
      <c r="HWL34" s="160"/>
      <c r="HWM34" s="160"/>
      <c r="HWN34" s="160"/>
      <c r="HWO34" s="160"/>
      <c r="HWP34" s="160"/>
      <c r="HWQ34" s="160"/>
      <c r="HWR34" s="160"/>
      <c r="HWS34" s="160"/>
      <c r="HWT34" s="160"/>
      <c r="HWU34" s="160"/>
      <c r="HWV34" s="160"/>
      <c r="HWW34" s="160"/>
      <c r="HWX34" s="160"/>
      <c r="HWY34" s="160"/>
      <c r="HWZ34" s="160"/>
      <c r="HXA34" s="160"/>
      <c r="HXB34" s="160"/>
      <c r="HXC34" s="160"/>
      <c r="HXD34" s="160"/>
      <c r="HXE34" s="160"/>
      <c r="HXF34" s="160"/>
      <c r="HXG34" s="160"/>
      <c r="HXH34" s="160"/>
      <c r="HXI34" s="160"/>
      <c r="HXJ34" s="160"/>
      <c r="HXK34" s="160"/>
      <c r="HXL34" s="160"/>
      <c r="HXM34" s="160"/>
      <c r="HXN34" s="160"/>
      <c r="HXO34" s="160"/>
      <c r="HXP34" s="160"/>
      <c r="HXQ34" s="160"/>
      <c r="HXR34" s="160"/>
      <c r="HXS34" s="160"/>
      <c r="HXT34" s="160"/>
      <c r="HXU34" s="160"/>
      <c r="HXV34" s="160"/>
      <c r="HXW34" s="160"/>
      <c r="HXX34" s="160"/>
      <c r="HXY34" s="160"/>
      <c r="HXZ34" s="160"/>
      <c r="HYA34" s="160"/>
      <c r="HYB34" s="160"/>
      <c r="HYC34" s="160"/>
      <c r="HYD34" s="160"/>
      <c r="HYE34" s="160"/>
      <c r="HYF34" s="160"/>
      <c r="HYG34" s="160"/>
      <c r="HYH34" s="160"/>
      <c r="HYI34" s="160"/>
      <c r="HYJ34" s="160"/>
      <c r="HYK34" s="160"/>
      <c r="HYL34" s="160"/>
      <c r="HYM34" s="160"/>
      <c r="HYN34" s="160"/>
      <c r="HYO34" s="160"/>
      <c r="HYP34" s="160"/>
      <c r="HYQ34" s="160"/>
      <c r="HYR34" s="160"/>
      <c r="HYS34" s="160"/>
      <c r="HYT34" s="160"/>
      <c r="HYU34" s="160"/>
      <c r="HYV34" s="160"/>
      <c r="HYW34" s="160"/>
      <c r="HYX34" s="160"/>
      <c r="HYY34" s="160"/>
      <c r="HYZ34" s="160"/>
      <c r="HZA34" s="160"/>
      <c r="HZB34" s="160"/>
      <c r="HZC34" s="160"/>
      <c r="HZD34" s="160"/>
      <c r="HZE34" s="160"/>
      <c r="HZF34" s="160"/>
      <c r="HZG34" s="160"/>
      <c r="HZH34" s="160"/>
      <c r="HZI34" s="160"/>
      <c r="HZJ34" s="160"/>
      <c r="HZK34" s="160"/>
      <c r="HZL34" s="160"/>
      <c r="HZM34" s="160"/>
      <c r="HZN34" s="160"/>
      <c r="HZO34" s="160"/>
      <c r="HZP34" s="160"/>
      <c r="HZQ34" s="160"/>
      <c r="HZR34" s="160"/>
      <c r="HZS34" s="160"/>
      <c r="HZT34" s="160"/>
      <c r="HZU34" s="160"/>
      <c r="HZV34" s="160"/>
      <c r="HZW34" s="160"/>
      <c r="HZX34" s="160"/>
      <c r="HZY34" s="160"/>
      <c r="HZZ34" s="160"/>
      <c r="IAA34" s="160"/>
      <c r="IAB34" s="160"/>
      <c r="IAC34" s="160"/>
      <c r="IAD34" s="160"/>
      <c r="IAE34" s="160"/>
      <c r="IAF34" s="160"/>
      <c r="IAG34" s="160"/>
      <c r="IAH34" s="160"/>
      <c r="IAI34" s="160"/>
      <c r="IAJ34" s="160"/>
      <c r="IAK34" s="160"/>
      <c r="IAL34" s="160"/>
      <c r="IAM34" s="160"/>
      <c r="IAN34" s="160"/>
      <c r="IAO34" s="160"/>
      <c r="IAP34" s="160"/>
      <c r="IAQ34" s="160"/>
      <c r="IAR34" s="160"/>
      <c r="IAS34" s="160"/>
      <c r="IAT34" s="160"/>
      <c r="IAU34" s="160"/>
      <c r="IAV34" s="160"/>
      <c r="IAW34" s="160"/>
      <c r="IAX34" s="160"/>
      <c r="IAY34" s="160"/>
      <c r="IAZ34" s="160"/>
      <c r="IBA34" s="160"/>
      <c r="IBB34" s="160"/>
      <c r="IBC34" s="160"/>
      <c r="IBD34" s="160"/>
      <c r="IBE34" s="160"/>
      <c r="IBF34" s="160"/>
      <c r="IBG34" s="160"/>
      <c r="IBH34" s="160"/>
      <c r="IBI34" s="160"/>
      <c r="IBJ34" s="160"/>
      <c r="IBK34" s="160"/>
      <c r="IBQ34" s="160"/>
      <c r="IBR34" s="160"/>
      <c r="IBS34" s="160"/>
      <c r="IBT34" s="160"/>
      <c r="IBU34" s="160"/>
      <c r="IBV34" s="160"/>
      <c r="IBW34" s="160"/>
      <c r="IBX34" s="160"/>
      <c r="IBY34" s="160"/>
      <c r="IBZ34" s="160"/>
      <c r="ICA34" s="160"/>
      <c r="ICB34" s="160"/>
      <c r="ICC34" s="160"/>
      <c r="ICD34" s="160"/>
      <c r="ICE34" s="160"/>
      <c r="ICF34" s="160"/>
      <c r="ICG34" s="160"/>
      <c r="ICH34" s="160"/>
      <c r="ICI34" s="160"/>
      <c r="ICJ34" s="160"/>
      <c r="ICK34" s="160"/>
      <c r="ICL34" s="160"/>
      <c r="ICM34" s="160"/>
      <c r="ICN34" s="160"/>
      <c r="ICO34" s="160"/>
      <c r="ICP34" s="160"/>
      <c r="ICQ34" s="160"/>
      <c r="ICR34" s="160"/>
      <c r="ICS34" s="160"/>
      <c r="ICT34" s="160"/>
      <c r="ICU34" s="160"/>
      <c r="ICV34" s="160"/>
      <c r="ICW34" s="160"/>
      <c r="ICX34" s="160"/>
      <c r="ICY34" s="160"/>
      <c r="ICZ34" s="160"/>
      <c r="IDA34" s="160"/>
      <c r="IDB34" s="160"/>
      <c r="IDC34" s="160"/>
      <c r="IDD34" s="160"/>
      <c r="IDE34" s="160"/>
      <c r="IDF34" s="160"/>
      <c r="IDG34" s="160"/>
      <c r="IDH34" s="160"/>
      <c r="IDI34" s="160"/>
      <c r="IDJ34" s="160"/>
      <c r="IDK34" s="160"/>
      <c r="IDL34" s="160"/>
      <c r="IDM34" s="160"/>
      <c r="IDN34" s="160"/>
      <c r="IDO34" s="160"/>
      <c r="IDP34" s="160"/>
      <c r="IDQ34" s="160"/>
      <c r="IDR34" s="160"/>
      <c r="IDS34" s="160"/>
      <c r="IDT34" s="160"/>
      <c r="IDU34" s="160"/>
      <c r="IDV34" s="160"/>
      <c r="IDW34" s="160"/>
      <c r="IDX34" s="160"/>
      <c r="IDY34" s="160"/>
      <c r="IDZ34" s="160"/>
      <c r="IEA34" s="160"/>
      <c r="IEB34" s="160"/>
      <c r="IEC34" s="160"/>
      <c r="IED34" s="160"/>
      <c r="IEE34" s="160"/>
      <c r="IEF34" s="160"/>
      <c r="IEG34" s="160"/>
      <c r="IEH34" s="160"/>
      <c r="IEI34" s="160"/>
      <c r="IEJ34" s="160"/>
      <c r="IEK34" s="160"/>
      <c r="IEL34" s="160"/>
      <c r="IEM34" s="160"/>
      <c r="IEN34" s="160"/>
      <c r="IEO34" s="160"/>
      <c r="IEP34" s="160"/>
      <c r="IEQ34" s="160"/>
      <c r="IER34" s="160"/>
      <c r="IES34" s="160"/>
      <c r="IET34" s="160"/>
      <c r="IEU34" s="160"/>
      <c r="IEV34" s="160"/>
      <c r="IEW34" s="160"/>
      <c r="IEX34" s="160"/>
      <c r="IEY34" s="160"/>
      <c r="IEZ34" s="160"/>
      <c r="IFA34" s="160"/>
      <c r="IFB34" s="160"/>
      <c r="IFC34" s="160"/>
      <c r="IFD34" s="160"/>
      <c r="IFE34" s="160"/>
      <c r="IFF34" s="160"/>
      <c r="IFG34" s="160"/>
      <c r="IFH34" s="160"/>
      <c r="IFI34" s="160"/>
      <c r="IFJ34" s="160"/>
      <c r="IFK34" s="160"/>
      <c r="IFL34" s="160"/>
      <c r="IFM34" s="160"/>
      <c r="IFN34" s="160"/>
      <c r="IFO34" s="160"/>
      <c r="IFP34" s="160"/>
      <c r="IFQ34" s="160"/>
      <c r="IFR34" s="160"/>
      <c r="IFS34" s="160"/>
      <c r="IFT34" s="160"/>
      <c r="IFU34" s="160"/>
      <c r="IFV34" s="160"/>
      <c r="IFW34" s="160"/>
      <c r="IFX34" s="160"/>
      <c r="IFY34" s="160"/>
      <c r="IFZ34" s="160"/>
      <c r="IGA34" s="160"/>
      <c r="IGB34" s="160"/>
      <c r="IGC34" s="160"/>
      <c r="IGD34" s="160"/>
      <c r="IGE34" s="160"/>
      <c r="IGF34" s="160"/>
      <c r="IGG34" s="160"/>
      <c r="IGH34" s="160"/>
      <c r="IGI34" s="160"/>
      <c r="IGJ34" s="160"/>
      <c r="IGK34" s="160"/>
      <c r="IGL34" s="160"/>
      <c r="IGM34" s="160"/>
      <c r="IGN34" s="160"/>
      <c r="IGO34" s="160"/>
      <c r="IGP34" s="160"/>
      <c r="IGQ34" s="160"/>
      <c r="IGR34" s="160"/>
      <c r="IGS34" s="160"/>
      <c r="IGT34" s="160"/>
      <c r="IGU34" s="160"/>
      <c r="IGV34" s="160"/>
      <c r="IGW34" s="160"/>
      <c r="IGX34" s="160"/>
      <c r="IGY34" s="160"/>
      <c r="IGZ34" s="160"/>
      <c r="IHA34" s="160"/>
      <c r="IHB34" s="160"/>
      <c r="IHC34" s="160"/>
      <c r="IHD34" s="160"/>
      <c r="IHE34" s="160"/>
      <c r="IHF34" s="160"/>
      <c r="IHG34" s="160"/>
      <c r="IHH34" s="160"/>
      <c r="IHI34" s="160"/>
      <c r="IHJ34" s="160"/>
      <c r="IHK34" s="160"/>
      <c r="IHL34" s="160"/>
      <c r="IHM34" s="160"/>
      <c r="IHN34" s="160"/>
      <c r="IHO34" s="160"/>
      <c r="IHP34" s="160"/>
      <c r="IHQ34" s="160"/>
      <c r="IHR34" s="160"/>
      <c r="IHS34" s="160"/>
      <c r="IHT34" s="160"/>
      <c r="IHU34" s="160"/>
      <c r="IHV34" s="160"/>
      <c r="IHW34" s="160"/>
      <c r="IHX34" s="160"/>
      <c r="IHY34" s="160"/>
      <c r="IHZ34" s="160"/>
      <c r="IIA34" s="160"/>
      <c r="IIB34" s="160"/>
      <c r="IIC34" s="160"/>
      <c r="IID34" s="160"/>
      <c r="IIE34" s="160"/>
      <c r="IIF34" s="160"/>
      <c r="IIG34" s="160"/>
      <c r="IIH34" s="160"/>
      <c r="III34" s="160"/>
      <c r="IIJ34" s="160"/>
      <c r="IIK34" s="160"/>
      <c r="IIL34" s="160"/>
      <c r="IIM34" s="160"/>
      <c r="IIN34" s="160"/>
      <c r="IIO34" s="160"/>
      <c r="IIP34" s="160"/>
      <c r="IIQ34" s="160"/>
      <c r="IIR34" s="160"/>
      <c r="IIS34" s="160"/>
      <c r="IIT34" s="160"/>
      <c r="IIU34" s="160"/>
      <c r="IIV34" s="160"/>
      <c r="IIW34" s="160"/>
      <c r="IIX34" s="160"/>
      <c r="IIY34" s="160"/>
      <c r="IIZ34" s="160"/>
      <c r="IJA34" s="160"/>
      <c r="IJB34" s="160"/>
      <c r="IJC34" s="160"/>
      <c r="IJD34" s="160"/>
      <c r="IJE34" s="160"/>
      <c r="IJF34" s="160"/>
      <c r="IJG34" s="160"/>
      <c r="IJH34" s="160"/>
      <c r="IJI34" s="160"/>
      <c r="IJJ34" s="160"/>
      <c r="IJK34" s="160"/>
      <c r="IJL34" s="160"/>
      <c r="IJM34" s="160"/>
      <c r="IJN34" s="160"/>
      <c r="IJO34" s="160"/>
      <c r="IJP34" s="160"/>
      <c r="IJQ34" s="160"/>
      <c r="IJR34" s="160"/>
      <c r="IJS34" s="160"/>
      <c r="IJT34" s="160"/>
      <c r="IJU34" s="160"/>
      <c r="IJV34" s="160"/>
      <c r="IJW34" s="160"/>
      <c r="IJX34" s="160"/>
      <c r="IJY34" s="160"/>
      <c r="IJZ34" s="160"/>
      <c r="IKA34" s="160"/>
      <c r="IKB34" s="160"/>
      <c r="IKC34" s="160"/>
      <c r="IKD34" s="160"/>
      <c r="IKE34" s="160"/>
      <c r="IKF34" s="160"/>
      <c r="IKG34" s="160"/>
      <c r="IKH34" s="160"/>
      <c r="IKI34" s="160"/>
      <c r="IKJ34" s="160"/>
      <c r="IKK34" s="160"/>
      <c r="IKL34" s="160"/>
      <c r="IKM34" s="160"/>
      <c r="IKN34" s="160"/>
      <c r="IKO34" s="160"/>
      <c r="IKP34" s="160"/>
      <c r="IKQ34" s="160"/>
      <c r="IKR34" s="160"/>
      <c r="IKS34" s="160"/>
      <c r="IKT34" s="160"/>
      <c r="IKU34" s="160"/>
      <c r="IKV34" s="160"/>
      <c r="IKW34" s="160"/>
      <c r="IKX34" s="160"/>
      <c r="IKY34" s="160"/>
      <c r="IKZ34" s="160"/>
      <c r="ILA34" s="160"/>
      <c r="ILB34" s="160"/>
      <c r="ILC34" s="160"/>
      <c r="ILD34" s="160"/>
      <c r="ILE34" s="160"/>
      <c r="ILF34" s="160"/>
      <c r="ILG34" s="160"/>
      <c r="ILM34" s="160"/>
      <c r="ILN34" s="160"/>
      <c r="ILO34" s="160"/>
      <c r="ILP34" s="160"/>
      <c r="ILQ34" s="160"/>
      <c r="ILR34" s="160"/>
      <c r="ILS34" s="160"/>
      <c r="ILT34" s="160"/>
      <c r="ILU34" s="160"/>
      <c r="ILV34" s="160"/>
      <c r="ILW34" s="160"/>
      <c r="ILX34" s="160"/>
      <c r="ILY34" s="160"/>
      <c r="ILZ34" s="160"/>
      <c r="IMA34" s="160"/>
      <c r="IMB34" s="160"/>
      <c r="IMC34" s="160"/>
      <c r="IMD34" s="160"/>
      <c r="IME34" s="160"/>
      <c r="IMF34" s="160"/>
      <c r="IMG34" s="160"/>
      <c r="IMH34" s="160"/>
      <c r="IMI34" s="160"/>
      <c r="IMJ34" s="160"/>
      <c r="IMK34" s="160"/>
      <c r="IML34" s="160"/>
      <c r="IMM34" s="160"/>
      <c r="IMN34" s="160"/>
      <c r="IMO34" s="160"/>
      <c r="IMP34" s="160"/>
      <c r="IMQ34" s="160"/>
      <c r="IMR34" s="160"/>
      <c r="IMS34" s="160"/>
      <c r="IMT34" s="160"/>
      <c r="IMU34" s="160"/>
      <c r="IMV34" s="160"/>
      <c r="IMW34" s="160"/>
      <c r="IMX34" s="160"/>
      <c r="IMY34" s="160"/>
      <c r="IMZ34" s="160"/>
      <c r="INA34" s="160"/>
      <c r="INB34" s="160"/>
      <c r="INC34" s="160"/>
      <c r="IND34" s="160"/>
      <c r="INE34" s="160"/>
      <c r="INF34" s="160"/>
      <c r="ING34" s="160"/>
      <c r="INH34" s="160"/>
      <c r="INI34" s="160"/>
      <c r="INJ34" s="160"/>
      <c r="INK34" s="160"/>
      <c r="INL34" s="160"/>
      <c r="INM34" s="160"/>
      <c r="INN34" s="160"/>
      <c r="INO34" s="160"/>
      <c r="INP34" s="160"/>
      <c r="INQ34" s="160"/>
      <c r="INR34" s="160"/>
      <c r="INS34" s="160"/>
      <c r="INT34" s="160"/>
      <c r="INU34" s="160"/>
      <c r="INV34" s="160"/>
      <c r="INW34" s="160"/>
      <c r="INX34" s="160"/>
      <c r="INY34" s="160"/>
      <c r="INZ34" s="160"/>
      <c r="IOA34" s="160"/>
      <c r="IOB34" s="160"/>
      <c r="IOC34" s="160"/>
      <c r="IOD34" s="160"/>
      <c r="IOE34" s="160"/>
      <c r="IOF34" s="160"/>
      <c r="IOG34" s="160"/>
      <c r="IOH34" s="160"/>
      <c r="IOI34" s="160"/>
      <c r="IOJ34" s="160"/>
      <c r="IOK34" s="160"/>
      <c r="IOL34" s="160"/>
      <c r="IOM34" s="160"/>
      <c r="ION34" s="160"/>
      <c r="IOO34" s="160"/>
      <c r="IOP34" s="160"/>
      <c r="IOQ34" s="160"/>
      <c r="IOR34" s="160"/>
      <c r="IOS34" s="160"/>
      <c r="IOT34" s="160"/>
      <c r="IOU34" s="160"/>
      <c r="IOV34" s="160"/>
      <c r="IOW34" s="160"/>
      <c r="IOX34" s="160"/>
      <c r="IOY34" s="160"/>
      <c r="IOZ34" s="160"/>
      <c r="IPA34" s="160"/>
      <c r="IPB34" s="160"/>
      <c r="IPC34" s="160"/>
      <c r="IPD34" s="160"/>
      <c r="IPE34" s="160"/>
      <c r="IPF34" s="160"/>
      <c r="IPG34" s="160"/>
      <c r="IPH34" s="160"/>
      <c r="IPI34" s="160"/>
      <c r="IPJ34" s="160"/>
      <c r="IPK34" s="160"/>
      <c r="IPL34" s="160"/>
      <c r="IPM34" s="160"/>
      <c r="IPN34" s="160"/>
      <c r="IPO34" s="160"/>
      <c r="IPP34" s="160"/>
      <c r="IPQ34" s="160"/>
      <c r="IPR34" s="160"/>
      <c r="IPS34" s="160"/>
      <c r="IPT34" s="160"/>
      <c r="IPU34" s="160"/>
      <c r="IPV34" s="160"/>
      <c r="IPW34" s="160"/>
      <c r="IPX34" s="160"/>
      <c r="IPY34" s="160"/>
      <c r="IPZ34" s="160"/>
      <c r="IQA34" s="160"/>
      <c r="IQB34" s="160"/>
      <c r="IQC34" s="160"/>
      <c r="IQD34" s="160"/>
      <c r="IQE34" s="160"/>
      <c r="IQF34" s="160"/>
      <c r="IQG34" s="160"/>
      <c r="IQH34" s="160"/>
      <c r="IQI34" s="160"/>
      <c r="IQJ34" s="160"/>
      <c r="IQK34" s="160"/>
      <c r="IQL34" s="160"/>
      <c r="IQM34" s="160"/>
      <c r="IQN34" s="160"/>
      <c r="IQO34" s="160"/>
      <c r="IQP34" s="160"/>
      <c r="IQQ34" s="160"/>
      <c r="IQR34" s="160"/>
      <c r="IQS34" s="160"/>
      <c r="IQT34" s="160"/>
      <c r="IQU34" s="160"/>
      <c r="IQV34" s="160"/>
      <c r="IQW34" s="160"/>
      <c r="IQX34" s="160"/>
      <c r="IQY34" s="160"/>
      <c r="IQZ34" s="160"/>
      <c r="IRA34" s="160"/>
      <c r="IRB34" s="160"/>
      <c r="IRC34" s="160"/>
      <c r="IRD34" s="160"/>
      <c r="IRE34" s="160"/>
      <c r="IRF34" s="160"/>
      <c r="IRG34" s="160"/>
      <c r="IRH34" s="160"/>
      <c r="IRI34" s="160"/>
      <c r="IRJ34" s="160"/>
      <c r="IRK34" s="160"/>
      <c r="IRL34" s="160"/>
      <c r="IRM34" s="160"/>
      <c r="IRN34" s="160"/>
      <c r="IRO34" s="160"/>
      <c r="IRP34" s="160"/>
      <c r="IRQ34" s="160"/>
      <c r="IRR34" s="160"/>
      <c r="IRS34" s="160"/>
      <c r="IRT34" s="160"/>
      <c r="IRU34" s="160"/>
      <c r="IRV34" s="160"/>
      <c r="IRW34" s="160"/>
      <c r="IRX34" s="160"/>
      <c r="IRY34" s="160"/>
      <c r="IRZ34" s="160"/>
      <c r="ISA34" s="160"/>
      <c r="ISB34" s="160"/>
      <c r="ISC34" s="160"/>
      <c r="ISD34" s="160"/>
      <c r="ISE34" s="160"/>
      <c r="ISF34" s="160"/>
      <c r="ISG34" s="160"/>
      <c r="ISH34" s="160"/>
      <c r="ISI34" s="160"/>
      <c r="ISJ34" s="160"/>
      <c r="ISK34" s="160"/>
      <c r="ISL34" s="160"/>
      <c r="ISM34" s="160"/>
      <c r="ISN34" s="160"/>
      <c r="ISO34" s="160"/>
      <c r="ISP34" s="160"/>
      <c r="ISQ34" s="160"/>
      <c r="ISR34" s="160"/>
      <c r="ISS34" s="160"/>
      <c r="IST34" s="160"/>
      <c r="ISU34" s="160"/>
      <c r="ISV34" s="160"/>
      <c r="ISW34" s="160"/>
      <c r="ISX34" s="160"/>
      <c r="ISY34" s="160"/>
      <c r="ISZ34" s="160"/>
      <c r="ITA34" s="160"/>
      <c r="ITB34" s="160"/>
      <c r="ITC34" s="160"/>
      <c r="ITD34" s="160"/>
      <c r="ITE34" s="160"/>
      <c r="ITF34" s="160"/>
      <c r="ITG34" s="160"/>
      <c r="ITH34" s="160"/>
      <c r="ITI34" s="160"/>
      <c r="ITJ34" s="160"/>
      <c r="ITK34" s="160"/>
      <c r="ITL34" s="160"/>
      <c r="ITM34" s="160"/>
      <c r="ITN34" s="160"/>
      <c r="ITO34" s="160"/>
      <c r="ITP34" s="160"/>
      <c r="ITQ34" s="160"/>
      <c r="ITR34" s="160"/>
      <c r="ITS34" s="160"/>
      <c r="ITT34" s="160"/>
      <c r="ITU34" s="160"/>
      <c r="ITV34" s="160"/>
      <c r="ITW34" s="160"/>
      <c r="ITX34" s="160"/>
      <c r="ITY34" s="160"/>
      <c r="ITZ34" s="160"/>
      <c r="IUA34" s="160"/>
      <c r="IUB34" s="160"/>
      <c r="IUC34" s="160"/>
      <c r="IUD34" s="160"/>
      <c r="IUE34" s="160"/>
      <c r="IUF34" s="160"/>
      <c r="IUG34" s="160"/>
      <c r="IUH34" s="160"/>
      <c r="IUI34" s="160"/>
      <c r="IUJ34" s="160"/>
      <c r="IUK34" s="160"/>
      <c r="IUL34" s="160"/>
      <c r="IUM34" s="160"/>
      <c r="IUN34" s="160"/>
      <c r="IUO34" s="160"/>
      <c r="IUP34" s="160"/>
      <c r="IUQ34" s="160"/>
      <c r="IUR34" s="160"/>
      <c r="IUS34" s="160"/>
      <c r="IUT34" s="160"/>
      <c r="IUU34" s="160"/>
      <c r="IUV34" s="160"/>
      <c r="IUW34" s="160"/>
      <c r="IUX34" s="160"/>
      <c r="IUY34" s="160"/>
      <c r="IUZ34" s="160"/>
      <c r="IVA34" s="160"/>
      <c r="IVB34" s="160"/>
      <c r="IVC34" s="160"/>
      <c r="IVI34" s="160"/>
      <c r="IVJ34" s="160"/>
      <c r="IVK34" s="160"/>
      <c r="IVL34" s="160"/>
      <c r="IVM34" s="160"/>
      <c r="IVN34" s="160"/>
      <c r="IVO34" s="160"/>
      <c r="IVP34" s="160"/>
      <c r="IVQ34" s="160"/>
      <c r="IVR34" s="160"/>
      <c r="IVS34" s="160"/>
      <c r="IVT34" s="160"/>
      <c r="IVU34" s="160"/>
      <c r="IVV34" s="160"/>
      <c r="IVW34" s="160"/>
      <c r="IVX34" s="160"/>
      <c r="IVY34" s="160"/>
      <c r="IVZ34" s="160"/>
      <c r="IWA34" s="160"/>
      <c r="IWB34" s="160"/>
      <c r="IWC34" s="160"/>
      <c r="IWD34" s="160"/>
      <c r="IWE34" s="160"/>
      <c r="IWF34" s="160"/>
      <c r="IWG34" s="160"/>
      <c r="IWH34" s="160"/>
      <c r="IWI34" s="160"/>
      <c r="IWJ34" s="160"/>
      <c r="IWK34" s="160"/>
      <c r="IWL34" s="160"/>
      <c r="IWM34" s="160"/>
      <c r="IWN34" s="160"/>
      <c r="IWO34" s="160"/>
      <c r="IWP34" s="160"/>
      <c r="IWQ34" s="160"/>
      <c r="IWR34" s="160"/>
      <c r="IWS34" s="160"/>
      <c r="IWT34" s="160"/>
      <c r="IWU34" s="160"/>
      <c r="IWV34" s="160"/>
      <c r="IWW34" s="160"/>
      <c r="IWX34" s="160"/>
      <c r="IWY34" s="160"/>
      <c r="IWZ34" s="160"/>
      <c r="IXA34" s="160"/>
      <c r="IXB34" s="160"/>
      <c r="IXC34" s="160"/>
      <c r="IXD34" s="160"/>
      <c r="IXE34" s="160"/>
      <c r="IXF34" s="160"/>
      <c r="IXG34" s="160"/>
      <c r="IXH34" s="160"/>
      <c r="IXI34" s="160"/>
      <c r="IXJ34" s="160"/>
      <c r="IXK34" s="160"/>
      <c r="IXL34" s="160"/>
      <c r="IXM34" s="160"/>
      <c r="IXN34" s="160"/>
      <c r="IXO34" s="160"/>
      <c r="IXP34" s="160"/>
      <c r="IXQ34" s="160"/>
      <c r="IXR34" s="160"/>
      <c r="IXS34" s="160"/>
      <c r="IXT34" s="160"/>
      <c r="IXU34" s="160"/>
      <c r="IXV34" s="160"/>
      <c r="IXW34" s="160"/>
      <c r="IXX34" s="160"/>
      <c r="IXY34" s="160"/>
      <c r="IXZ34" s="160"/>
      <c r="IYA34" s="160"/>
      <c r="IYB34" s="160"/>
      <c r="IYC34" s="160"/>
      <c r="IYD34" s="160"/>
      <c r="IYE34" s="160"/>
      <c r="IYF34" s="160"/>
      <c r="IYG34" s="160"/>
      <c r="IYH34" s="160"/>
      <c r="IYI34" s="160"/>
      <c r="IYJ34" s="160"/>
      <c r="IYK34" s="160"/>
      <c r="IYL34" s="160"/>
      <c r="IYM34" s="160"/>
      <c r="IYN34" s="160"/>
      <c r="IYO34" s="160"/>
      <c r="IYP34" s="160"/>
      <c r="IYQ34" s="160"/>
      <c r="IYR34" s="160"/>
      <c r="IYS34" s="160"/>
      <c r="IYT34" s="160"/>
      <c r="IYU34" s="160"/>
      <c r="IYV34" s="160"/>
      <c r="IYW34" s="160"/>
      <c r="IYX34" s="160"/>
      <c r="IYY34" s="160"/>
      <c r="IYZ34" s="160"/>
      <c r="IZA34" s="160"/>
      <c r="IZB34" s="160"/>
      <c r="IZC34" s="160"/>
      <c r="IZD34" s="160"/>
      <c r="IZE34" s="160"/>
      <c r="IZF34" s="160"/>
      <c r="IZG34" s="160"/>
      <c r="IZH34" s="160"/>
      <c r="IZI34" s="160"/>
      <c r="IZJ34" s="160"/>
      <c r="IZK34" s="160"/>
      <c r="IZL34" s="160"/>
      <c r="IZM34" s="160"/>
      <c r="IZN34" s="160"/>
      <c r="IZO34" s="160"/>
      <c r="IZP34" s="160"/>
      <c r="IZQ34" s="160"/>
      <c r="IZR34" s="160"/>
      <c r="IZS34" s="160"/>
      <c r="IZT34" s="160"/>
      <c r="IZU34" s="160"/>
      <c r="IZV34" s="160"/>
      <c r="IZW34" s="160"/>
      <c r="IZX34" s="160"/>
      <c r="IZY34" s="160"/>
      <c r="IZZ34" s="160"/>
      <c r="JAA34" s="160"/>
      <c r="JAB34" s="160"/>
      <c r="JAC34" s="160"/>
      <c r="JAD34" s="160"/>
      <c r="JAE34" s="160"/>
      <c r="JAF34" s="160"/>
      <c r="JAG34" s="160"/>
      <c r="JAH34" s="160"/>
      <c r="JAI34" s="160"/>
      <c r="JAJ34" s="160"/>
      <c r="JAK34" s="160"/>
      <c r="JAL34" s="160"/>
      <c r="JAM34" s="160"/>
      <c r="JAN34" s="160"/>
      <c r="JAO34" s="160"/>
      <c r="JAP34" s="160"/>
      <c r="JAQ34" s="160"/>
      <c r="JAR34" s="160"/>
      <c r="JAS34" s="160"/>
      <c r="JAT34" s="160"/>
      <c r="JAU34" s="160"/>
      <c r="JAV34" s="160"/>
      <c r="JAW34" s="160"/>
      <c r="JAX34" s="160"/>
      <c r="JAY34" s="160"/>
      <c r="JAZ34" s="160"/>
      <c r="JBA34" s="160"/>
      <c r="JBB34" s="160"/>
      <c r="JBC34" s="160"/>
      <c r="JBD34" s="160"/>
      <c r="JBE34" s="160"/>
      <c r="JBF34" s="160"/>
      <c r="JBG34" s="160"/>
      <c r="JBH34" s="160"/>
      <c r="JBI34" s="160"/>
      <c r="JBJ34" s="160"/>
      <c r="JBK34" s="160"/>
      <c r="JBL34" s="160"/>
      <c r="JBM34" s="160"/>
      <c r="JBN34" s="160"/>
      <c r="JBO34" s="160"/>
      <c r="JBP34" s="160"/>
      <c r="JBQ34" s="160"/>
      <c r="JBR34" s="160"/>
      <c r="JBS34" s="160"/>
      <c r="JBT34" s="160"/>
      <c r="JBU34" s="160"/>
      <c r="JBV34" s="160"/>
      <c r="JBW34" s="160"/>
      <c r="JBX34" s="160"/>
      <c r="JBY34" s="160"/>
      <c r="JBZ34" s="160"/>
      <c r="JCA34" s="160"/>
      <c r="JCB34" s="160"/>
      <c r="JCC34" s="160"/>
      <c r="JCD34" s="160"/>
      <c r="JCE34" s="160"/>
      <c r="JCF34" s="160"/>
      <c r="JCG34" s="160"/>
      <c r="JCH34" s="160"/>
      <c r="JCI34" s="160"/>
      <c r="JCJ34" s="160"/>
      <c r="JCK34" s="160"/>
      <c r="JCL34" s="160"/>
      <c r="JCM34" s="160"/>
      <c r="JCN34" s="160"/>
      <c r="JCO34" s="160"/>
      <c r="JCP34" s="160"/>
      <c r="JCQ34" s="160"/>
      <c r="JCR34" s="160"/>
      <c r="JCS34" s="160"/>
      <c r="JCT34" s="160"/>
      <c r="JCU34" s="160"/>
      <c r="JCV34" s="160"/>
      <c r="JCW34" s="160"/>
      <c r="JCX34" s="160"/>
      <c r="JCY34" s="160"/>
      <c r="JCZ34" s="160"/>
      <c r="JDA34" s="160"/>
      <c r="JDB34" s="160"/>
      <c r="JDC34" s="160"/>
      <c r="JDD34" s="160"/>
      <c r="JDE34" s="160"/>
      <c r="JDF34" s="160"/>
      <c r="JDG34" s="160"/>
      <c r="JDH34" s="160"/>
      <c r="JDI34" s="160"/>
      <c r="JDJ34" s="160"/>
      <c r="JDK34" s="160"/>
      <c r="JDL34" s="160"/>
      <c r="JDM34" s="160"/>
      <c r="JDN34" s="160"/>
      <c r="JDO34" s="160"/>
      <c r="JDP34" s="160"/>
      <c r="JDQ34" s="160"/>
      <c r="JDR34" s="160"/>
      <c r="JDS34" s="160"/>
      <c r="JDT34" s="160"/>
      <c r="JDU34" s="160"/>
      <c r="JDV34" s="160"/>
      <c r="JDW34" s="160"/>
      <c r="JDX34" s="160"/>
      <c r="JDY34" s="160"/>
      <c r="JDZ34" s="160"/>
      <c r="JEA34" s="160"/>
      <c r="JEB34" s="160"/>
      <c r="JEC34" s="160"/>
      <c r="JED34" s="160"/>
      <c r="JEE34" s="160"/>
      <c r="JEF34" s="160"/>
      <c r="JEG34" s="160"/>
      <c r="JEH34" s="160"/>
      <c r="JEI34" s="160"/>
      <c r="JEJ34" s="160"/>
      <c r="JEK34" s="160"/>
      <c r="JEL34" s="160"/>
      <c r="JEM34" s="160"/>
      <c r="JEN34" s="160"/>
      <c r="JEO34" s="160"/>
      <c r="JEP34" s="160"/>
      <c r="JEQ34" s="160"/>
      <c r="JER34" s="160"/>
      <c r="JES34" s="160"/>
      <c r="JET34" s="160"/>
      <c r="JEU34" s="160"/>
      <c r="JEV34" s="160"/>
      <c r="JEW34" s="160"/>
      <c r="JEX34" s="160"/>
      <c r="JEY34" s="160"/>
      <c r="JFE34" s="160"/>
      <c r="JFF34" s="160"/>
      <c r="JFG34" s="160"/>
      <c r="JFH34" s="160"/>
      <c r="JFI34" s="160"/>
      <c r="JFJ34" s="160"/>
      <c r="JFK34" s="160"/>
      <c r="JFL34" s="160"/>
      <c r="JFM34" s="160"/>
      <c r="JFN34" s="160"/>
      <c r="JFO34" s="160"/>
      <c r="JFP34" s="160"/>
      <c r="JFQ34" s="160"/>
      <c r="JFR34" s="160"/>
      <c r="JFS34" s="160"/>
      <c r="JFT34" s="160"/>
      <c r="JFU34" s="160"/>
      <c r="JFV34" s="160"/>
      <c r="JFW34" s="160"/>
      <c r="JFX34" s="160"/>
      <c r="JFY34" s="160"/>
      <c r="JFZ34" s="160"/>
      <c r="JGA34" s="160"/>
      <c r="JGB34" s="160"/>
      <c r="JGC34" s="160"/>
      <c r="JGD34" s="160"/>
      <c r="JGE34" s="160"/>
      <c r="JGF34" s="160"/>
      <c r="JGG34" s="160"/>
      <c r="JGH34" s="160"/>
      <c r="JGI34" s="160"/>
      <c r="JGJ34" s="160"/>
      <c r="JGK34" s="160"/>
      <c r="JGL34" s="160"/>
      <c r="JGM34" s="160"/>
      <c r="JGN34" s="160"/>
      <c r="JGO34" s="160"/>
      <c r="JGP34" s="160"/>
      <c r="JGQ34" s="160"/>
      <c r="JGR34" s="160"/>
      <c r="JGS34" s="160"/>
      <c r="JGT34" s="160"/>
      <c r="JGU34" s="160"/>
      <c r="JGV34" s="160"/>
      <c r="JGW34" s="160"/>
      <c r="JGX34" s="160"/>
      <c r="JGY34" s="160"/>
      <c r="JGZ34" s="160"/>
      <c r="JHA34" s="160"/>
      <c r="JHB34" s="160"/>
      <c r="JHC34" s="160"/>
      <c r="JHD34" s="160"/>
      <c r="JHE34" s="160"/>
      <c r="JHF34" s="160"/>
      <c r="JHG34" s="160"/>
      <c r="JHH34" s="160"/>
      <c r="JHI34" s="160"/>
      <c r="JHJ34" s="160"/>
      <c r="JHK34" s="160"/>
      <c r="JHL34" s="160"/>
      <c r="JHM34" s="160"/>
      <c r="JHN34" s="160"/>
      <c r="JHO34" s="160"/>
      <c r="JHP34" s="160"/>
      <c r="JHQ34" s="160"/>
      <c r="JHR34" s="160"/>
      <c r="JHS34" s="160"/>
      <c r="JHT34" s="160"/>
      <c r="JHU34" s="160"/>
      <c r="JHV34" s="160"/>
      <c r="JHW34" s="160"/>
      <c r="JHX34" s="160"/>
      <c r="JHY34" s="160"/>
      <c r="JHZ34" s="160"/>
      <c r="JIA34" s="160"/>
      <c r="JIB34" s="160"/>
      <c r="JIC34" s="160"/>
      <c r="JID34" s="160"/>
      <c r="JIE34" s="160"/>
      <c r="JIF34" s="160"/>
      <c r="JIG34" s="160"/>
      <c r="JIH34" s="160"/>
      <c r="JII34" s="160"/>
      <c r="JIJ34" s="160"/>
      <c r="JIK34" s="160"/>
      <c r="JIL34" s="160"/>
      <c r="JIM34" s="160"/>
      <c r="JIN34" s="160"/>
      <c r="JIO34" s="160"/>
      <c r="JIP34" s="160"/>
      <c r="JIQ34" s="160"/>
      <c r="JIR34" s="160"/>
      <c r="JIS34" s="160"/>
      <c r="JIT34" s="160"/>
      <c r="JIU34" s="160"/>
      <c r="JIV34" s="160"/>
      <c r="JIW34" s="160"/>
      <c r="JIX34" s="160"/>
      <c r="JIY34" s="160"/>
      <c r="JIZ34" s="160"/>
      <c r="JJA34" s="160"/>
      <c r="JJB34" s="160"/>
      <c r="JJC34" s="160"/>
      <c r="JJD34" s="160"/>
      <c r="JJE34" s="160"/>
      <c r="JJF34" s="160"/>
      <c r="JJG34" s="160"/>
      <c r="JJH34" s="160"/>
      <c r="JJI34" s="160"/>
      <c r="JJJ34" s="160"/>
      <c r="JJK34" s="160"/>
      <c r="JJL34" s="160"/>
      <c r="JJM34" s="160"/>
      <c r="JJN34" s="160"/>
      <c r="JJO34" s="160"/>
      <c r="JJP34" s="160"/>
      <c r="JJQ34" s="160"/>
      <c r="JJR34" s="160"/>
      <c r="JJS34" s="160"/>
      <c r="JJT34" s="160"/>
      <c r="JJU34" s="160"/>
      <c r="JJV34" s="160"/>
      <c r="JJW34" s="160"/>
      <c r="JJX34" s="160"/>
      <c r="JJY34" s="160"/>
      <c r="JJZ34" s="160"/>
      <c r="JKA34" s="160"/>
      <c r="JKB34" s="160"/>
      <c r="JKC34" s="160"/>
      <c r="JKD34" s="160"/>
      <c r="JKE34" s="160"/>
      <c r="JKF34" s="160"/>
      <c r="JKG34" s="160"/>
      <c r="JKH34" s="160"/>
      <c r="JKI34" s="160"/>
      <c r="JKJ34" s="160"/>
      <c r="JKK34" s="160"/>
      <c r="JKL34" s="160"/>
      <c r="JKM34" s="160"/>
      <c r="JKN34" s="160"/>
      <c r="JKO34" s="160"/>
      <c r="JKP34" s="160"/>
      <c r="JKQ34" s="160"/>
      <c r="JKR34" s="160"/>
      <c r="JKS34" s="160"/>
      <c r="JKT34" s="160"/>
      <c r="JKU34" s="160"/>
      <c r="JKV34" s="160"/>
      <c r="JKW34" s="160"/>
      <c r="JKX34" s="160"/>
      <c r="JKY34" s="160"/>
      <c r="JKZ34" s="160"/>
      <c r="JLA34" s="160"/>
      <c r="JLB34" s="160"/>
      <c r="JLC34" s="160"/>
      <c r="JLD34" s="160"/>
      <c r="JLE34" s="160"/>
      <c r="JLF34" s="160"/>
      <c r="JLG34" s="160"/>
      <c r="JLH34" s="160"/>
      <c r="JLI34" s="160"/>
      <c r="JLJ34" s="160"/>
      <c r="JLK34" s="160"/>
      <c r="JLL34" s="160"/>
      <c r="JLM34" s="160"/>
      <c r="JLN34" s="160"/>
      <c r="JLO34" s="160"/>
      <c r="JLP34" s="160"/>
      <c r="JLQ34" s="160"/>
      <c r="JLR34" s="160"/>
      <c r="JLS34" s="160"/>
      <c r="JLT34" s="160"/>
      <c r="JLU34" s="160"/>
      <c r="JLV34" s="160"/>
      <c r="JLW34" s="160"/>
      <c r="JLX34" s="160"/>
      <c r="JLY34" s="160"/>
      <c r="JLZ34" s="160"/>
      <c r="JMA34" s="160"/>
      <c r="JMB34" s="160"/>
      <c r="JMC34" s="160"/>
      <c r="JMD34" s="160"/>
      <c r="JME34" s="160"/>
      <c r="JMF34" s="160"/>
      <c r="JMG34" s="160"/>
      <c r="JMH34" s="160"/>
      <c r="JMI34" s="160"/>
      <c r="JMJ34" s="160"/>
      <c r="JMK34" s="160"/>
      <c r="JML34" s="160"/>
      <c r="JMM34" s="160"/>
      <c r="JMN34" s="160"/>
      <c r="JMO34" s="160"/>
      <c r="JMP34" s="160"/>
      <c r="JMQ34" s="160"/>
      <c r="JMR34" s="160"/>
      <c r="JMS34" s="160"/>
      <c r="JMT34" s="160"/>
      <c r="JMU34" s="160"/>
      <c r="JMV34" s="160"/>
      <c r="JMW34" s="160"/>
      <c r="JMX34" s="160"/>
      <c r="JMY34" s="160"/>
      <c r="JMZ34" s="160"/>
      <c r="JNA34" s="160"/>
      <c r="JNB34" s="160"/>
      <c r="JNC34" s="160"/>
      <c r="JND34" s="160"/>
      <c r="JNE34" s="160"/>
      <c r="JNF34" s="160"/>
      <c r="JNG34" s="160"/>
      <c r="JNH34" s="160"/>
      <c r="JNI34" s="160"/>
      <c r="JNJ34" s="160"/>
      <c r="JNK34" s="160"/>
      <c r="JNL34" s="160"/>
      <c r="JNM34" s="160"/>
      <c r="JNN34" s="160"/>
      <c r="JNO34" s="160"/>
      <c r="JNP34" s="160"/>
      <c r="JNQ34" s="160"/>
      <c r="JNR34" s="160"/>
      <c r="JNS34" s="160"/>
      <c r="JNT34" s="160"/>
      <c r="JNU34" s="160"/>
      <c r="JNV34" s="160"/>
      <c r="JNW34" s="160"/>
      <c r="JNX34" s="160"/>
      <c r="JNY34" s="160"/>
      <c r="JNZ34" s="160"/>
      <c r="JOA34" s="160"/>
      <c r="JOB34" s="160"/>
      <c r="JOC34" s="160"/>
      <c r="JOD34" s="160"/>
      <c r="JOE34" s="160"/>
      <c r="JOF34" s="160"/>
      <c r="JOG34" s="160"/>
      <c r="JOH34" s="160"/>
      <c r="JOI34" s="160"/>
      <c r="JOJ34" s="160"/>
      <c r="JOK34" s="160"/>
      <c r="JOL34" s="160"/>
      <c r="JOM34" s="160"/>
      <c r="JON34" s="160"/>
      <c r="JOO34" s="160"/>
      <c r="JOP34" s="160"/>
      <c r="JOQ34" s="160"/>
      <c r="JOR34" s="160"/>
      <c r="JOS34" s="160"/>
      <c r="JOT34" s="160"/>
      <c r="JOU34" s="160"/>
      <c r="JPA34" s="160"/>
      <c r="JPB34" s="160"/>
      <c r="JPC34" s="160"/>
      <c r="JPD34" s="160"/>
      <c r="JPE34" s="160"/>
      <c r="JPF34" s="160"/>
      <c r="JPG34" s="160"/>
      <c r="JPH34" s="160"/>
      <c r="JPI34" s="160"/>
      <c r="JPJ34" s="160"/>
      <c r="JPK34" s="160"/>
      <c r="JPL34" s="160"/>
      <c r="JPM34" s="160"/>
      <c r="JPN34" s="160"/>
      <c r="JPO34" s="160"/>
      <c r="JPP34" s="160"/>
      <c r="JPQ34" s="160"/>
      <c r="JPR34" s="160"/>
      <c r="JPS34" s="160"/>
      <c r="JPT34" s="160"/>
      <c r="JPU34" s="160"/>
      <c r="JPV34" s="160"/>
      <c r="JPW34" s="160"/>
      <c r="JPX34" s="160"/>
      <c r="JPY34" s="160"/>
      <c r="JPZ34" s="160"/>
      <c r="JQA34" s="160"/>
      <c r="JQB34" s="160"/>
      <c r="JQC34" s="160"/>
      <c r="JQD34" s="160"/>
      <c r="JQE34" s="160"/>
      <c r="JQF34" s="160"/>
      <c r="JQG34" s="160"/>
      <c r="JQH34" s="160"/>
      <c r="JQI34" s="160"/>
      <c r="JQJ34" s="160"/>
      <c r="JQK34" s="160"/>
      <c r="JQL34" s="160"/>
      <c r="JQM34" s="160"/>
      <c r="JQN34" s="160"/>
      <c r="JQO34" s="160"/>
      <c r="JQP34" s="160"/>
      <c r="JQQ34" s="160"/>
      <c r="JQR34" s="160"/>
      <c r="JQS34" s="160"/>
      <c r="JQT34" s="160"/>
      <c r="JQU34" s="160"/>
      <c r="JQV34" s="160"/>
      <c r="JQW34" s="160"/>
      <c r="JQX34" s="160"/>
      <c r="JQY34" s="160"/>
      <c r="JQZ34" s="160"/>
      <c r="JRA34" s="160"/>
      <c r="JRB34" s="160"/>
      <c r="JRC34" s="160"/>
      <c r="JRD34" s="160"/>
      <c r="JRE34" s="160"/>
      <c r="JRF34" s="160"/>
      <c r="JRG34" s="160"/>
      <c r="JRH34" s="160"/>
      <c r="JRI34" s="160"/>
      <c r="JRJ34" s="160"/>
      <c r="JRK34" s="160"/>
      <c r="JRL34" s="160"/>
      <c r="JRM34" s="160"/>
      <c r="JRN34" s="160"/>
      <c r="JRO34" s="160"/>
      <c r="JRP34" s="160"/>
      <c r="JRQ34" s="160"/>
      <c r="JRR34" s="160"/>
      <c r="JRS34" s="160"/>
      <c r="JRT34" s="160"/>
      <c r="JRU34" s="160"/>
      <c r="JRV34" s="160"/>
      <c r="JRW34" s="160"/>
      <c r="JRX34" s="160"/>
      <c r="JRY34" s="160"/>
      <c r="JRZ34" s="160"/>
      <c r="JSA34" s="160"/>
      <c r="JSB34" s="160"/>
      <c r="JSC34" s="160"/>
      <c r="JSD34" s="160"/>
      <c r="JSE34" s="160"/>
      <c r="JSF34" s="160"/>
      <c r="JSG34" s="160"/>
      <c r="JSH34" s="160"/>
      <c r="JSI34" s="160"/>
      <c r="JSJ34" s="160"/>
      <c r="JSK34" s="160"/>
      <c r="JSL34" s="160"/>
      <c r="JSM34" s="160"/>
      <c r="JSN34" s="160"/>
      <c r="JSO34" s="160"/>
      <c r="JSP34" s="160"/>
      <c r="JSQ34" s="160"/>
      <c r="JSR34" s="160"/>
      <c r="JSS34" s="160"/>
      <c r="JST34" s="160"/>
      <c r="JSU34" s="160"/>
      <c r="JSV34" s="160"/>
      <c r="JSW34" s="160"/>
      <c r="JSX34" s="160"/>
      <c r="JSY34" s="160"/>
      <c r="JSZ34" s="160"/>
      <c r="JTA34" s="160"/>
      <c r="JTB34" s="160"/>
      <c r="JTC34" s="160"/>
      <c r="JTD34" s="160"/>
      <c r="JTE34" s="160"/>
      <c r="JTF34" s="160"/>
      <c r="JTG34" s="160"/>
      <c r="JTH34" s="160"/>
      <c r="JTI34" s="160"/>
      <c r="JTJ34" s="160"/>
      <c r="JTK34" s="160"/>
      <c r="JTL34" s="160"/>
      <c r="JTM34" s="160"/>
      <c r="JTN34" s="160"/>
      <c r="JTO34" s="160"/>
      <c r="JTP34" s="160"/>
      <c r="JTQ34" s="160"/>
      <c r="JTR34" s="160"/>
      <c r="JTS34" s="160"/>
      <c r="JTT34" s="160"/>
      <c r="JTU34" s="160"/>
      <c r="JTV34" s="160"/>
      <c r="JTW34" s="160"/>
      <c r="JTX34" s="160"/>
      <c r="JTY34" s="160"/>
      <c r="JTZ34" s="160"/>
      <c r="JUA34" s="160"/>
      <c r="JUB34" s="160"/>
      <c r="JUC34" s="160"/>
      <c r="JUD34" s="160"/>
      <c r="JUE34" s="160"/>
      <c r="JUF34" s="160"/>
      <c r="JUG34" s="160"/>
      <c r="JUH34" s="160"/>
      <c r="JUI34" s="160"/>
      <c r="JUJ34" s="160"/>
      <c r="JUK34" s="160"/>
      <c r="JUL34" s="160"/>
      <c r="JUM34" s="160"/>
      <c r="JUN34" s="160"/>
      <c r="JUO34" s="160"/>
      <c r="JUP34" s="160"/>
      <c r="JUQ34" s="160"/>
      <c r="JUR34" s="160"/>
      <c r="JUS34" s="160"/>
      <c r="JUT34" s="160"/>
      <c r="JUU34" s="160"/>
      <c r="JUV34" s="160"/>
      <c r="JUW34" s="160"/>
      <c r="JUX34" s="160"/>
      <c r="JUY34" s="160"/>
      <c r="JUZ34" s="160"/>
      <c r="JVA34" s="160"/>
      <c r="JVB34" s="160"/>
      <c r="JVC34" s="160"/>
      <c r="JVD34" s="160"/>
      <c r="JVE34" s="160"/>
      <c r="JVF34" s="160"/>
      <c r="JVG34" s="160"/>
      <c r="JVH34" s="160"/>
      <c r="JVI34" s="160"/>
      <c r="JVJ34" s="160"/>
      <c r="JVK34" s="160"/>
      <c r="JVL34" s="160"/>
      <c r="JVM34" s="160"/>
      <c r="JVN34" s="160"/>
      <c r="JVO34" s="160"/>
      <c r="JVP34" s="160"/>
      <c r="JVQ34" s="160"/>
      <c r="JVR34" s="160"/>
      <c r="JVS34" s="160"/>
      <c r="JVT34" s="160"/>
      <c r="JVU34" s="160"/>
      <c r="JVV34" s="160"/>
      <c r="JVW34" s="160"/>
      <c r="JVX34" s="160"/>
      <c r="JVY34" s="160"/>
      <c r="JVZ34" s="160"/>
      <c r="JWA34" s="160"/>
      <c r="JWB34" s="160"/>
      <c r="JWC34" s="160"/>
      <c r="JWD34" s="160"/>
      <c r="JWE34" s="160"/>
      <c r="JWF34" s="160"/>
      <c r="JWG34" s="160"/>
      <c r="JWH34" s="160"/>
      <c r="JWI34" s="160"/>
      <c r="JWJ34" s="160"/>
      <c r="JWK34" s="160"/>
      <c r="JWL34" s="160"/>
      <c r="JWM34" s="160"/>
      <c r="JWN34" s="160"/>
      <c r="JWO34" s="160"/>
      <c r="JWP34" s="160"/>
      <c r="JWQ34" s="160"/>
      <c r="JWR34" s="160"/>
      <c r="JWS34" s="160"/>
      <c r="JWT34" s="160"/>
      <c r="JWU34" s="160"/>
      <c r="JWV34" s="160"/>
      <c r="JWW34" s="160"/>
      <c r="JWX34" s="160"/>
      <c r="JWY34" s="160"/>
      <c r="JWZ34" s="160"/>
      <c r="JXA34" s="160"/>
      <c r="JXB34" s="160"/>
      <c r="JXC34" s="160"/>
      <c r="JXD34" s="160"/>
      <c r="JXE34" s="160"/>
      <c r="JXF34" s="160"/>
      <c r="JXG34" s="160"/>
      <c r="JXH34" s="160"/>
      <c r="JXI34" s="160"/>
      <c r="JXJ34" s="160"/>
      <c r="JXK34" s="160"/>
      <c r="JXL34" s="160"/>
      <c r="JXM34" s="160"/>
      <c r="JXN34" s="160"/>
      <c r="JXO34" s="160"/>
      <c r="JXP34" s="160"/>
      <c r="JXQ34" s="160"/>
      <c r="JXR34" s="160"/>
      <c r="JXS34" s="160"/>
      <c r="JXT34" s="160"/>
      <c r="JXU34" s="160"/>
      <c r="JXV34" s="160"/>
      <c r="JXW34" s="160"/>
      <c r="JXX34" s="160"/>
      <c r="JXY34" s="160"/>
      <c r="JXZ34" s="160"/>
      <c r="JYA34" s="160"/>
      <c r="JYB34" s="160"/>
      <c r="JYC34" s="160"/>
      <c r="JYD34" s="160"/>
      <c r="JYE34" s="160"/>
      <c r="JYF34" s="160"/>
      <c r="JYG34" s="160"/>
      <c r="JYH34" s="160"/>
      <c r="JYI34" s="160"/>
      <c r="JYJ34" s="160"/>
      <c r="JYK34" s="160"/>
      <c r="JYL34" s="160"/>
      <c r="JYM34" s="160"/>
      <c r="JYN34" s="160"/>
      <c r="JYO34" s="160"/>
      <c r="JYP34" s="160"/>
      <c r="JYQ34" s="160"/>
      <c r="JYW34" s="160"/>
      <c r="JYX34" s="160"/>
      <c r="JYY34" s="160"/>
      <c r="JYZ34" s="160"/>
      <c r="JZA34" s="160"/>
      <c r="JZB34" s="160"/>
      <c r="JZC34" s="160"/>
      <c r="JZD34" s="160"/>
      <c r="JZE34" s="160"/>
      <c r="JZF34" s="160"/>
      <c r="JZG34" s="160"/>
      <c r="JZH34" s="160"/>
      <c r="JZI34" s="160"/>
      <c r="JZJ34" s="160"/>
      <c r="JZK34" s="160"/>
      <c r="JZL34" s="160"/>
      <c r="JZM34" s="160"/>
      <c r="JZN34" s="160"/>
      <c r="JZO34" s="160"/>
      <c r="JZP34" s="160"/>
      <c r="JZQ34" s="160"/>
      <c r="JZR34" s="160"/>
      <c r="JZS34" s="160"/>
      <c r="JZT34" s="160"/>
      <c r="JZU34" s="160"/>
      <c r="JZV34" s="160"/>
      <c r="JZW34" s="160"/>
      <c r="JZX34" s="160"/>
      <c r="JZY34" s="160"/>
      <c r="JZZ34" s="160"/>
      <c r="KAA34" s="160"/>
      <c r="KAB34" s="160"/>
      <c r="KAC34" s="160"/>
      <c r="KAD34" s="160"/>
      <c r="KAE34" s="160"/>
      <c r="KAF34" s="160"/>
      <c r="KAG34" s="160"/>
      <c r="KAH34" s="160"/>
      <c r="KAI34" s="160"/>
      <c r="KAJ34" s="160"/>
      <c r="KAK34" s="160"/>
      <c r="KAL34" s="160"/>
      <c r="KAM34" s="160"/>
      <c r="KAN34" s="160"/>
      <c r="KAO34" s="160"/>
      <c r="KAP34" s="160"/>
      <c r="KAQ34" s="160"/>
      <c r="KAR34" s="160"/>
      <c r="KAS34" s="160"/>
      <c r="KAT34" s="160"/>
      <c r="KAU34" s="160"/>
      <c r="KAV34" s="160"/>
      <c r="KAW34" s="160"/>
      <c r="KAX34" s="160"/>
      <c r="KAY34" s="160"/>
      <c r="KAZ34" s="160"/>
      <c r="KBA34" s="160"/>
      <c r="KBB34" s="160"/>
      <c r="KBC34" s="160"/>
      <c r="KBD34" s="160"/>
      <c r="KBE34" s="160"/>
      <c r="KBF34" s="160"/>
      <c r="KBG34" s="160"/>
      <c r="KBH34" s="160"/>
      <c r="KBI34" s="160"/>
      <c r="KBJ34" s="160"/>
      <c r="KBK34" s="160"/>
      <c r="KBL34" s="160"/>
      <c r="KBM34" s="160"/>
      <c r="KBN34" s="160"/>
      <c r="KBO34" s="160"/>
      <c r="KBP34" s="160"/>
      <c r="KBQ34" s="160"/>
      <c r="KBR34" s="160"/>
      <c r="KBS34" s="160"/>
      <c r="KBT34" s="160"/>
      <c r="KBU34" s="160"/>
      <c r="KBV34" s="160"/>
      <c r="KBW34" s="160"/>
      <c r="KBX34" s="160"/>
      <c r="KBY34" s="160"/>
      <c r="KBZ34" s="160"/>
      <c r="KCA34" s="160"/>
      <c r="KCB34" s="160"/>
      <c r="KCC34" s="160"/>
      <c r="KCD34" s="160"/>
      <c r="KCE34" s="160"/>
      <c r="KCF34" s="160"/>
      <c r="KCG34" s="160"/>
      <c r="KCH34" s="160"/>
      <c r="KCI34" s="160"/>
      <c r="KCJ34" s="160"/>
      <c r="KCK34" s="160"/>
      <c r="KCL34" s="160"/>
      <c r="KCM34" s="160"/>
      <c r="KCN34" s="160"/>
      <c r="KCO34" s="160"/>
      <c r="KCP34" s="160"/>
      <c r="KCQ34" s="160"/>
      <c r="KCR34" s="160"/>
      <c r="KCS34" s="160"/>
      <c r="KCT34" s="160"/>
      <c r="KCU34" s="160"/>
      <c r="KCV34" s="160"/>
      <c r="KCW34" s="160"/>
      <c r="KCX34" s="160"/>
      <c r="KCY34" s="160"/>
      <c r="KCZ34" s="160"/>
      <c r="KDA34" s="160"/>
      <c r="KDB34" s="160"/>
      <c r="KDC34" s="160"/>
      <c r="KDD34" s="160"/>
      <c r="KDE34" s="160"/>
      <c r="KDF34" s="160"/>
      <c r="KDG34" s="160"/>
      <c r="KDH34" s="160"/>
      <c r="KDI34" s="160"/>
      <c r="KDJ34" s="160"/>
      <c r="KDK34" s="160"/>
      <c r="KDL34" s="160"/>
      <c r="KDM34" s="160"/>
      <c r="KDN34" s="160"/>
      <c r="KDO34" s="160"/>
      <c r="KDP34" s="160"/>
      <c r="KDQ34" s="160"/>
      <c r="KDR34" s="160"/>
      <c r="KDS34" s="160"/>
      <c r="KDT34" s="160"/>
      <c r="KDU34" s="160"/>
      <c r="KDV34" s="160"/>
      <c r="KDW34" s="160"/>
      <c r="KDX34" s="160"/>
      <c r="KDY34" s="160"/>
      <c r="KDZ34" s="160"/>
      <c r="KEA34" s="160"/>
      <c r="KEB34" s="160"/>
      <c r="KEC34" s="160"/>
      <c r="KED34" s="160"/>
      <c r="KEE34" s="160"/>
      <c r="KEF34" s="160"/>
      <c r="KEG34" s="160"/>
      <c r="KEH34" s="160"/>
      <c r="KEI34" s="160"/>
      <c r="KEJ34" s="160"/>
      <c r="KEK34" s="160"/>
      <c r="KEL34" s="160"/>
      <c r="KEM34" s="160"/>
      <c r="KEN34" s="160"/>
      <c r="KEO34" s="160"/>
      <c r="KEP34" s="160"/>
      <c r="KEQ34" s="160"/>
      <c r="KER34" s="160"/>
      <c r="KES34" s="160"/>
      <c r="KET34" s="160"/>
      <c r="KEU34" s="160"/>
      <c r="KEV34" s="160"/>
      <c r="KEW34" s="160"/>
      <c r="KEX34" s="160"/>
      <c r="KEY34" s="160"/>
      <c r="KEZ34" s="160"/>
      <c r="KFA34" s="160"/>
      <c r="KFB34" s="160"/>
      <c r="KFC34" s="160"/>
      <c r="KFD34" s="160"/>
      <c r="KFE34" s="160"/>
      <c r="KFF34" s="160"/>
      <c r="KFG34" s="160"/>
      <c r="KFH34" s="160"/>
      <c r="KFI34" s="160"/>
      <c r="KFJ34" s="160"/>
      <c r="KFK34" s="160"/>
      <c r="KFL34" s="160"/>
      <c r="KFM34" s="160"/>
      <c r="KFN34" s="160"/>
      <c r="KFO34" s="160"/>
      <c r="KFP34" s="160"/>
      <c r="KFQ34" s="160"/>
      <c r="KFR34" s="160"/>
      <c r="KFS34" s="160"/>
      <c r="KFT34" s="160"/>
      <c r="KFU34" s="160"/>
      <c r="KFV34" s="160"/>
      <c r="KFW34" s="160"/>
      <c r="KFX34" s="160"/>
      <c r="KFY34" s="160"/>
      <c r="KFZ34" s="160"/>
      <c r="KGA34" s="160"/>
      <c r="KGB34" s="160"/>
      <c r="KGC34" s="160"/>
      <c r="KGD34" s="160"/>
      <c r="KGE34" s="160"/>
      <c r="KGF34" s="160"/>
      <c r="KGG34" s="160"/>
      <c r="KGH34" s="160"/>
      <c r="KGI34" s="160"/>
      <c r="KGJ34" s="160"/>
      <c r="KGK34" s="160"/>
      <c r="KGL34" s="160"/>
      <c r="KGM34" s="160"/>
      <c r="KGN34" s="160"/>
      <c r="KGO34" s="160"/>
      <c r="KGP34" s="160"/>
      <c r="KGQ34" s="160"/>
      <c r="KGR34" s="160"/>
      <c r="KGS34" s="160"/>
      <c r="KGT34" s="160"/>
      <c r="KGU34" s="160"/>
      <c r="KGV34" s="160"/>
      <c r="KGW34" s="160"/>
      <c r="KGX34" s="160"/>
      <c r="KGY34" s="160"/>
      <c r="KGZ34" s="160"/>
      <c r="KHA34" s="160"/>
      <c r="KHB34" s="160"/>
      <c r="KHC34" s="160"/>
      <c r="KHD34" s="160"/>
      <c r="KHE34" s="160"/>
      <c r="KHF34" s="160"/>
      <c r="KHG34" s="160"/>
      <c r="KHH34" s="160"/>
      <c r="KHI34" s="160"/>
      <c r="KHJ34" s="160"/>
      <c r="KHK34" s="160"/>
      <c r="KHL34" s="160"/>
      <c r="KHM34" s="160"/>
      <c r="KHN34" s="160"/>
      <c r="KHO34" s="160"/>
      <c r="KHP34" s="160"/>
      <c r="KHQ34" s="160"/>
      <c r="KHR34" s="160"/>
      <c r="KHS34" s="160"/>
      <c r="KHT34" s="160"/>
      <c r="KHU34" s="160"/>
      <c r="KHV34" s="160"/>
      <c r="KHW34" s="160"/>
      <c r="KHX34" s="160"/>
      <c r="KHY34" s="160"/>
      <c r="KHZ34" s="160"/>
      <c r="KIA34" s="160"/>
      <c r="KIB34" s="160"/>
      <c r="KIC34" s="160"/>
      <c r="KID34" s="160"/>
      <c r="KIE34" s="160"/>
      <c r="KIF34" s="160"/>
      <c r="KIG34" s="160"/>
      <c r="KIH34" s="160"/>
      <c r="KII34" s="160"/>
      <c r="KIJ34" s="160"/>
      <c r="KIK34" s="160"/>
      <c r="KIL34" s="160"/>
      <c r="KIM34" s="160"/>
      <c r="KIS34" s="160"/>
      <c r="KIT34" s="160"/>
      <c r="KIU34" s="160"/>
      <c r="KIV34" s="160"/>
      <c r="KIW34" s="160"/>
      <c r="KIX34" s="160"/>
      <c r="KIY34" s="160"/>
      <c r="KIZ34" s="160"/>
      <c r="KJA34" s="160"/>
      <c r="KJB34" s="160"/>
      <c r="KJC34" s="160"/>
      <c r="KJD34" s="160"/>
      <c r="KJE34" s="160"/>
      <c r="KJF34" s="160"/>
      <c r="KJG34" s="160"/>
      <c r="KJH34" s="160"/>
      <c r="KJI34" s="160"/>
      <c r="KJJ34" s="160"/>
      <c r="KJK34" s="160"/>
      <c r="KJL34" s="160"/>
      <c r="KJM34" s="160"/>
      <c r="KJN34" s="160"/>
      <c r="KJO34" s="160"/>
      <c r="KJP34" s="160"/>
      <c r="KJQ34" s="160"/>
      <c r="KJR34" s="160"/>
      <c r="KJS34" s="160"/>
      <c r="KJT34" s="160"/>
      <c r="KJU34" s="160"/>
      <c r="KJV34" s="160"/>
      <c r="KJW34" s="160"/>
      <c r="KJX34" s="160"/>
      <c r="KJY34" s="160"/>
      <c r="KJZ34" s="160"/>
      <c r="KKA34" s="160"/>
      <c r="KKB34" s="160"/>
      <c r="KKC34" s="160"/>
      <c r="KKD34" s="160"/>
      <c r="KKE34" s="160"/>
      <c r="KKF34" s="160"/>
      <c r="KKG34" s="160"/>
      <c r="KKH34" s="160"/>
      <c r="KKI34" s="160"/>
      <c r="KKJ34" s="160"/>
      <c r="KKK34" s="160"/>
      <c r="KKL34" s="160"/>
      <c r="KKM34" s="160"/>
      <c r="KKN34" s="160"/>
      <c r="KKO34" s="160"/>
      <c r="KKP34" s="160"/>
      <c r="KKQ34" s="160"/>
      <c r="KKR34" s="160"/>
      <c r="KKS34" s="160"/>
      <c r="KKT34" s="160"/>
      <c r="KKU34" s="160"/>
      <c r="KKV34" s="160"/>
      <c r="KKW34" s="160"/>
      <c r="KKX34" s="160"/>
      <c r="KKY34" s="160"/>
      <c r="KKZ34" s="160"/>
      <c r="KLA34" s="160"/>
      <c r="KLB34" s="160"/>
      <c r="KLC34" s="160"/>
      <c r="KLD34" s="160"/>
      <c r="KLE34" s="160"/>
      <c r="KLF34" s="160"/>
      <c r="KLG34" s="160"/>
      <c r="KLH34" s="160"/>
      <c r="KLI34" s="160"/>
      <c r="KLJ34" s="160"/>
      <c r="KLK34" s="160"/>
      <c r="KLL34" s="160"/>
      <c r="KLM34" s="160"/>
      <c r="KLN34" s="160"/>
      <c r="KLO34" s="160"/>
      <c r="KLP34" s="160"/>
      <c r="KLQ34" s="160"/>
      <c r="KLR34" s="160"/>
      <c r="KLS34" s="160"/>
      <c r="KLT34" s="160"/>
      <c r="KLU34" s="160"/>
      <c r="KLV34" s="160"/>
      <c r="KLW34" s="160"/>
      <c r="KLX34" s="160"/>
      <c r="KLY34" s="160"/>
      <c r="KLZ34" s="160"/>
      <c r="KMA34" s="160"/>
      <c r="KMB34" s="160"/>
      <c r="KMC34" s="160"/>
      <c r="KMD34" s="160"/>
      <c r="KME34" s="160"/>
      <c r="KMF34" s="160"/>
      <c r="KMG34" s="160"/>
      <c r="KMH34" s="160"/>
      <c r="KMI34" s="160"/>
      <c r="KMJ34" s="160"/>
      <c r="KMK34" s="160"/>
      <c r="KML34" s="160"/>
      <c r="KMM34" s="160"/>
      <c r="KMN34" s="160"/>
      <c r="KMO34" s="160"/>
      <c r="KMP34" s="160"/>
      <c r="KMQ34" s="160"/>
      <c r="KMR34" s="160"/>
      <c r="KMS34" s="160"/>
      <c r="KMT34" s="160"/>
      <c r="KMU34" s="160"/>
      <c r="KMV34" s="160"/>
      <c r="KMW34" s="160"/>
      <c r="KMX34" s="160"/>
      <c r="KMY34" s="160"/>
      <c r="KMZ34" s="160"/>
      <c r="KNA34" s="160"/>
      <c r="KNB34" s="160"/>
      <c r="KNC34" s="160"/>
      <c r="KND34" s="160"/>
      <c r="KNE34" s="160"/>
      <c r="KNF34" s="160"/>
      <c r="KNG34" s="160"/>
      <c r="KNH34" s="160"/>
      <c r="KNI34" s="160"/>
      <c r="KNJ34" s="160"/>
      <c r="KNK34" s="160"/>
      <c r="KNL34" s="160"/>
      <c r="KNM34" s="160"/>
      <c r="KNN34" s="160"/>
      <c r="KNO34" s="160"/>
      <c r="KNP34" s="160"/>
      <c r="KNQ34" s="160"/>
      <c r="KNR34" s="160"/>
      <c r="KNS34" s="160"/>
      <c r="KNT34" s="160"/>
      <c r="KNU34" s="160"/>
      <c r="KNV34" s="160"/>
      <c r="KNW34" s="160"/>
      <c r="KNX34" s="160"/>
      <c r="KNY34" s="160"/>
      <c r="KNZ34" s="160"/>
      <c r="KOA34" s="160"/>
      <c r="KOB34" s="160"/>
      <c r="KOC34" s="160"/>
      <c r="KOD34" s="160"/>
      <c r="KOE34" s="160"/>
      <c r="KOF34" s="160"/>
      <c r="KOG34" s="160"/>
      <c r="KOH34" s="160"/>
      <c r="KOI34" s="160"/>
      <c r="KOJ34" s="160"/>
      <c r="KOK34" s="160"/>
      <c r="KOL34" s="160"/>
      <c r="KOM34" s="160"/>
      <c r="KON34" s="160"/>
      <c r="KOO34" s="160"/>
      <c r="KOP34" s="160"/>
      <c r="KOQ34" s="160"/>
      <c r="KOR34" s="160"/>
      <c r="KOS34" s="160"/>
      <c r="KOT34" s="160"/>
      <c r="KOU34" s="160"/>
      <c r="KOV34" s="160"/>
      <c r="KOW34" s="160"/>
      <c r="KOX34" s="160"/>
      <c r="KOY34" s="160"/>
      <c r="KOZ34" s="160"/>
      <c r="KPA34" s="160"/>
      <c r="KPB34" s="160"/>
      <c r="KPC34" s="160"/>
      <c r="KPD34" s="160"/>
      <c r="KPE34" s="160"/>
      <c r="KPF34" s="160"/>
      <c r="KPG34" s="160"/>
      <c r="KPH34" s="160"/>
      <c r="KPI34" s="160"/>
      <c r="KPJ34" s="160"/>
      <c r="KPK34" s="160"/>
      <c r="KPL34" s="160"/>
      <c r="KPM34" s="160"/>
      <c r="KPN34" s="160"/>
      <c r="KPO34" s="160"/>
      <c r="KPP34" s="160"/>
      <c r="KPQ34" s="160"/>
      <c r="KPR34" s="160"/>
      <c r="KPS34" s="160"/>
      <c r="KPT34" s="160"/>
      <c r="KPU34" s="160"/>
      <c r="KPV34" s="160"/>
      <c r="KPW34" s="160"/>
      <c r="KPX34" s="160"/>
      <c r="KPY34" s="160"/>
      <c r="KPZ34" s="160"/>
      <c r="KQA34" s="160"/>
      <c r="KQB34" s="160"/>
      <c r="KQC34" s="160"/>
      <c r="KQD34" s="160"/>
      <c r="KQE34" s="160"/>
      <c r="KQF34" s="160"/>
      <c r="KQG34" s="160"/>
      <c r="KQH34" s="160"/>
      <c r="KQI34" s="160"/>
      <c r="KQJ34" s="160"/>
      <c r="KQK34" s="160"/>
      <c r="KQL34" s="160"/>
      <c r="KQM34" s="160"/>
      <c r="KQN34" s="160"/>
      <c r="KQO34" s="160"/>
      <c r="KQP34" s="160"/>
      <c r="KQQ34" s="160"/>
      <c r="KQR34" s="160"/>
      <c r="KQS34" s="160"/>
      <c r="KQT34" s="160"/>
      <c r="KQU34" s="160"/>
      <c r="KQV34" s="160"/>
      <c r="KQW34" s="160"/>
      <c r="KQX34" s="160"/>
      <c r="KQY34" s="160"/>
      <c r="KQZ34" s="160"/>
      <c r="KRA34" s="160"/>
      <c r="KRB34" s="160"/>
      <c r="KRC34" s="160"/>
      <c r="KRD34" s="160"/>
      <c r="KRE34" s="160"/>
      <c r="KRF34" s="160"/>
      <c r="KRG34" s="160"/>
      <c r="KRH34" s="160"/>
      <c r="KRI34" s="160"/>
      <c r="KRJ34" s="160"/>
      <c r="KRK34" s="160"/>
      <c r="KRL34" s="160"/>
      <c r="KRM34" s="160"/>
      <c r="KRN34" s="160"/>
      <c r="KRO34" s="160"/>
      <c r="KRP34" s="160"/>
      <c r="KRQ34" s="160"/>
      <c r="KRR34" s="160"/>
      <c r="KRS34" s="160"/>
      <c r="KRT34" s="160"/>
      <c r="KRU34" s="160"/>
      <c r="KRV34" s="160"/>
      <c r="KRW34" s="160"/>
      <c r="KRX34" s="160"/>
      <c r="KRY34" s="160"/>
      <c r="KRZ34" s="160"/>
      <c r="KSA34" s="160"/>
      <c r="KSB34" s="160"/>
      <c r="KSC34" s="160"/>
      <c r="KSD34" s="160"/>
      <c r="KSE34" s="160"/>
      <c r="KSF34" s="160"/>
      <c r="KSG34" s="160"/>
      <c r="KSH34" s="160"/>
      <c r="KSI34" s="160"/>
      <c r="KSO34" s="160"/>
      <c r="KSP34" s="160"/>
      <c r="KSQ34" s="160"/>
      <c r="KSR34" s="160"/>
      <c r="KSS34" s="160"/>
      <c r="KST34" s="160"/>
      <c r="KSU34" s="160"/>
      <c r="KSV34" s="160"/>
      <c r="KSW34" s="160"/>
      <c r="KSX34" s="160"/>
      <c r="KSY34" s="160"/>
      <c r="KSZ34" s="160"/>
      <c r="KTA34" s="160"/>
      <c r="KTB34" s="160"/>
      <c r="KTC34" s="160"/>
      <c r="KTD34" s="160"/>
      <c r="KTE34" s="160"/>
      <c r="KTF34" s="160"/>
      <c r="KTG34" s="160"/>
      <c r="KTH34" s="160"/>
      <c r="KTI34" s="160"/>
      <c r="KTJ34" s="160"/>
      <c r="KTK34" s="160"/>
      <c r="KTL34" s="160"/>
      <c r="KTM34" s="160"/>
      <c r="KTN34" s="160"/>
      <c r="KTO34" s="160"/>
      <c r="KTP34" s="160"/>
      <c r="KTQ34" s="160"/>
      <c r="KTR34" s="160"/>
      <c r="KTS34" s="160"/>
      <c r="KTT34" s="160"/>
      <c r="KTU34" s="160"/>
      <c r="KTV34" s="160"/>
      <c r="KTW34" s="160"/>
      <c r="KTX34" s="160"/>
      <c r="KTY34" s="160"/>
      <c r="KTZ34" s="160"/>
      <c r="KUA34" s="160"/>
      <c r="KUB34" s="160"/>
      <c r="KUC34" s="160"/>
      <c r="KUD34" s="160"/>
      <c r="KUE34" s="160"/>
      <c r="KUF34" s="160"/>
      <c r="KUG34" s="160"/>
      <c r="KUH34" s="160"/>
      <c r="KUI34" s="160"/>
      <c r="KUJ34" s="160"/>
      <c r="KUK34" s="160"/>
      <c r="KUL34" s="160"/>
      <c r="KUM34" s="160"/>
      <c r="KUN34" s="160"/>
      <c r="KUO34" s="160"/>
      <c r="KUP34" s="160"/>
      <c r="KUQ34" s="160"/>
      <c r="KUR34" s="160"/>
      <c r="KUS34" s="160"/>
      <c r="KUT34" s="160"/>
      <c r="KUU34" s="160"/>
      <c r="KUV34" s="160"/>
      <c r="KUW34" s="160"/>
      <c r="KUX34" s="160"/>
      <c r="KUY34" s="160"/>
      <c r="KUZ34" s="160"/>
      <c r="KVA34" s="160"/>
      <c r="KVB34" s="160"/>
      <c r="KVC34" s="160"/>
      <c r="KVD34" s="160"/>
      <c r="KVE34" s="160"/>
      <c r="KVF34" s="160"/>
      <c r="KVG34" s="160"/>
      <c r="KVH34" s="160"/>
      <c r="KVI34" s="160"/>
      <c r="KVJ34" s="160"/>
      <c r="KVK34" s="160"/>
      <c r="KVL34" s="160"/>
      <c r="KVM34" s="160"/>
      <c r="KVN34" s="160"/>
      <c r="KVO34" s="160"/>
      <c r="KVP34" s="160"/>
      <c r="KVQ34" s="160"/>
      <c r="KVR34" s="160"/>
      <c r="KVS34" s="160"/>
      <c r="KVT34" s="160"/>
      <c r="KVU34" s="160"/>
      <c r="KVV34" s="160"/>
      <c r="KVW34" s="160"/>
      <c r="KVX34" s="160"/>
      <c r="KVY34" s="160"/>
      <c r="KVZ34" s="160"/>
      <c r="KWA34" s="160"/>
      <c r="KWB34" s="160"/>
      <c r="KWC34" s="160"/>
      <c r="KWD34" s="160"/>
      <c r="KWE34" s="160"/>
      <c r="KWF34" s="160"/>
      <c r="KWG34" s="160"/>
      <c r="KWH34" s="160"/>
      <c r="KWI34" s="160"/>
      <c r="KWJ34" s="160"/>
      <c r="KWK34" s="160"/>
      <c r="KWL34" s="160"/>
      <c r="KWM34" s="160"/>
      <c r="KWN34" s="160"/>
      <c r="KWO34" s="160"/>
      <c r="KWP34" s="160"/>
      <c r="KWQ34" s="160"/>
      <c r="KWR34" s="160"/>
      <c r="KWS34" s="160"/>
      <c r="KWT34" s="160"/>
      <c r="KWU34" s="160"/>
      <c r="KWV34" s="160"/>
      <c r="KWW34" s="160"/>
      <c r="KWX34" s="160"/>
      <c r="KWY34" s="160"/>
      <c r="KWZ34" s="160"/>
      <c r="KXA34" s="160"/>
      <c r="KXB34" s="160"/>
      <c r="KXC34" s="160"/>
      <c r="KXD34" s="160"/>
      <c r="KXE34" s="160"/>
      <c r="KXF34" s="160"/>
      <c r="KXG34" s="160"/>
      <c r="KXH34" s="160"/>
      <c r="KXI34" s="160"/>
      <c r="KXJ34" s="160"/>
      <c r="KXK34" s="160"/>
      <c r="KXL34" s="160"/>
      <c r="KXM34" s="160"/>
      <c r="KXN34" s="160"/>
      <c r="KXO34" s="160"/>
      <c r="KXP34" s="160"/>
      <c r="KXQ34" s="160"/>
      <c r="KXR34" s="160"/>
      <c r="KXS34" s="160"/>
      <c r="KXT34" s="160"/>
      <c r="KXU34" s="160"/>
      <c r="KXV34" s="160"/>
      <c r="KXW34" s="160"/>
      <c r="KXX34" s="160"/>
      <c r="KXY34" s="160"/>
      <c r="KXZ34" s="160"/>
      <c r="KYA34" s="160"/>
      <c r="KYB34" s="160"/>
      <c r="KYC34" s="160"/>
      <c r="KYD34" s="160"/>
      <c r="KYE34" s="160"/>
      <c r="KYF34" s="160"/>
      <c r="KYG34" s="160"/>
      <c r="KYH34" s="160"/>
      <c r="KYI34" s="160"/>
      <c r="KYJ34" s="160"/>
      <c r="KYK34" s="160"/>
      <c r="KYL34" s="160"/>
      <c r="KYM34" s="160"/>
      <c r="KYN34" s="160"/>
      <c r="KYO34" s="160"/>
      <c r="KYP34" s="160"/>
      <c r="KYQ34" s="160"/>
      <c r="KYR34" s="160"/>
      <c r="KYS34" s="160"/>
      <c r="KYT34" s="160"/>
      <c r="KYU34" s="160"/>
      <c r="KYV34" s="160"/>
      <c r="KYW34" s="160"/>
      <c r="KYX34" s="160"/>
      <c r="KYY34" s="160"/>
      <c r="KYZ34" s="160"/>
      <c r="KZA34" s="160"/>
      <c r="KZB34" s="160"/>
      <c r="KZC34" s="160"/>
      <c r="KZD34" s="160"/>
      <c r="KZE34" s="160"/>
      <c r="KZF34" s="160"/>
      <c r="KZG34" s="160"/>
      <c r="KZH34" s="160"/>
      <c r="KZI34" s="160"/>
      <c r="KZJ34" s="160"/>
      <c r="KZK34" s="160"/>
      <c r="KZL34" s="160"/>
      <c r="KZM34" s="160"/>
      <c r="KZN34" s="160"/>
      <c r="KZO34" s="160"/>
      <c r="KZP34" s="160"/>
      <c r="KZQ34" s="160"/>
      <c r="KZR34" s="160"/>
      <c r="KZS34" s="160"/>
      <c r="KZT34" s="160"/>
      <c r="KZU34" s="160"/>
      <c r="KZV34" s="160"/>
      <c r="KZW34" s="160"/>
      <c r="KZX34" s="160"/>
      <c r="KZY34" s="160"/>
      <c r="KZZ34" s="160"/>
      <c r="LAA34" s="160"/>
      <c r="LAB34" s="160"/>
      <c r="LAC34" s="160"/>
      <c r="LAD34" s="160"/>
      <c r="LAE34" s="160"/>
      <c r="LAF34" s="160"/>
      <c r="LAG34" s="160"/>
      <c r="LAH34" s="160"/>
      <c r="LAI34" s="160"/>
      <c r="LAJ34" s="160"/>
      <c r="LAK34" s="160"/>
      <c r="LAL34" s="160"/>
      <c r="LAM34" s="160"/>
      <c r="LAN34" s="160"/>
      <c r="LAO34" s="160"/>
      <c r="LAP34" s="160"/>
      <c r="LAQ34" s="160"/>
      <c r="LAR34" s="160"/>
      <c r="LAS34" s="160"/>
      <c r="LAT34" s="160"/>
      <c r="LAU34" s="160"/>
      <c r="LAV34" s="160"/>
      <c r="LAW34" s="160"/>
      <c r="LAX34" s="160"/>
      <c r="LAY34" s="160"/>
      <c r="LAZ34" s="160"/>
      <c r="LBA34" s="160"/>
      <c r="LBB34" s="160"/>
      <c r="LBC34" s="160"/>
      <c r="LBD34" s="160"/>
      <c r="LBE34" s="160"/>
      <c r="LBF34" s="160"/>
      <c r="LBG34" s="160"/>
      <c r="LBH34" s="160"/>
      <c r="LBI34" s="160"/>
      <c r="LBJ34" s="160"/>
      <c r="LBK34" s="160"/>
      <c r="LBL34" s="160"/>
      <c r="LBM34" s="160"/>
      <c r="LBN34" s="160"/>
      <c r="LBO34" s="160"/>
      <c r="LBP34" s="160"/>
      <c r="LBQ34" s="160"/>
      <c r="LBR34" s="160"/>
      <c r="LBS34" s="160"/>
      <c r="LBT34" s="160"/>
      <c r="LBU34" s="160"/>
      <c r="LBV34" s="160"/>
      <c r="LBW34" s="160"/>
      <c r="LBX34" s="160"/>
      <c r="LBY34" s="160"/>
      <c r="LBZ34" s="160"/>
      <c r="LCA34" s="160"/>
      <c r="LCB34" s="160"/>
      <c r="LCC34" s="160"/>
      <c r="LCD34" s="160"/>
      <c r="LCE34" s="160"/>
      <c r="LCK34" s="160"/>
      <c r="LCL34" s="160"/>
      <c r="LCM34" s="160"/>
      <c r="LCN34" s="160"/>
      <c r="LCO34" s="160"/>
      <c r="LCP34" s="160"/>
      <c r="LCQ34" s="160"/>
      <c r="LCR34" s="160"/>
      <c r="LCS34" s="160"/>
      <c r="LCT34" s="160"/>
      <c r="LCU34" s="160"/>
      <c r="LCV34" s="160"/>
      <c r="LCW34" s="160"/>
      <c r="LCX34" s="160"/>
      <c r="LCY34" s="160"/>
      <c r="LCZ34" s="160"/>
      <c r="LDA34" s="160"/>
      <c r="LDB34" s="160"/>
      <c r="LDC34" s="160"/>
      <c r="LDD34" s="160"/>
      <c r="LDE34" s="160"/>
      <c r="LDF34" s="160"/>
      <c r="LDG34" s="160"/>
      <c r="LDH34" s="160"/>
      <c r="LDI34" s="160"/>
      <c r="LDJ34" s="160"/>
      <c r="LDK34" s="160"/>
      <c r="LDL34" s="160"/>
      <c r="LDM34" s="160"/>
      <c r="LDN34" s="160"/>
      <c r="LDO34" s="160"/>
      <c r="LDP34" s="160"/>
      <c r="LDQ34" s="160"/>
      <c r="LDR34" s="160"/>
      <c r="LDS34" s="160"/>
      <c r="LDT34" s="160"/>
      <c r="LDU34" s="160"/>
      <c r="LDV34" s="160"/>
      <c r="LDW34" s="160"/>
      <c r="LDX34" s="160"/>
      <c r="LDY34" s="160"/>
      <c r="LDZ34" s="160"/>
      <c r="LEA34" s="160"/>
      <c r="LEB34" s="160"/>
      <c r="LEC34" s="160"/>
      <c r="LED34" s="160"/>
      <c r="LEE34" s="160"/>
      <c r="LEF34" s="160"/>
      <c r="LEG34" s="160"/>
      <c r="LEH34" s="160"/>
      <c r="LEI34" s="160"/>
      <c r="LEJ34" s="160"/>
      <c r="LEK34" s="160"/>
      <c r="LEL34" s="160"/>
      <c r="LEM34" s="160"/>
      <c r="LEN34" s="160"/>
      <c r="LEO34" s="160"/>
      <c r="LEP34" s="160"/>
      <c r="LEQ34" s="160"/>
      <c r="LER34" s="160"/>
      <c r="LES34" s="160"/>
      <c r="LET34" s="160"/>
      <c r="LEU34" s="160"/>
      <c r="LEV34" s="160"/>
      <c r="LEW34" s="160"/>
      <c r="LEX34" s="160"/>
      <c r="LEY34" s="160"/>
      <c r="LEZ34" s="160"/>
      <c r="LFA34" s="160"/>
      <c r="LFB34" s="160"/>
      <c r="LFC34" s="160"/>
      <c r="LFD34" s="160"/>
      <c r="LFE34" s="160"/>
      <c r="LFF34" s="160"/>
      <c r="LFG34" s="160"/>
      <c r="LFH34" s="160"/>
      <c r="LFI34" s="160"/>
      <c r="LFJ34" s="160"/>
      <c r="LFK34" s="160"/>
      <c r="LFL34" s="160"/>
      <c r="LFM34" s="160"/>
      <c r="LFN34" s="160"/>
      <c r="LFO34" s="160"/>
      <c r="LFP34" s="160"/>
      <c r="LFQ34" s="160"/>
      <c r="LFR34" s="160"/>
      <c r="LFS34" s="160"/>
      <c r="LFT34" s="160"/>
      <c r="LFU34" s="160"/>
      <c r="LFV34" s="160"/>
      <c r="LFW34" s="160"/>
      <c r="LFX34" s="160"/>
      <c r="LFY34" s="160"/>
      <c r="LFZ34" s="160"/>
      <c r="LGA34" s="160"/>
      <c r="LGB34" s="160"/>
      <c r="LGC34" s="160"/>
      <c r="LGD34" s="160"/>
      <c r="LGE34" s="160"/>
      <c r="LGF34" s="160"/>
      <c r="LGG34" s="160"/>
      <c r="LGH34" s="160"/>
      <c r="LGI34" s="160"/>
      <c r="LGJ34" s="160"/>
      <c r="LGK34" s="160"/>
      <c r="LGL34" s="160"/>
      <c r="LGM34" s="160"/>
      <c r="LGN34" s="160"/>
      <c r="LGO34" s="160"/>
      <c r="LGP34" s="160"/>
      <c r="LGQ34" s="160"/>
      <c r="LGR34" s="160"/>
      <c r="LGS34" s="160"/>
      <c r="LGT34" s="160"/>
      <c r="LGU34" s="160"/>
      <c r="LGV34" s="160"/>
      <c r="LGW34" s="160"/>
      <c r="LGX34" s="160"/>
      <c r="LGY34" s="160"/>
      <c r="LGZ34" s="160"/>
      <c r="LHA34" s="160"/>
      <c r="LHB34" s="160"/>
      <c r="LHC34" s="160"/>
      <c r="LHD34" s="160"/>
      <c r="LHE34" s="160"/>
      <c r="LHF34" s="160"/>
      <c r="LHG34" s="160"/>
      <c r="LHH34" s="160"/>
      <c r="LHI34" s="160"/>
      <c r="LHJ34" s="160"/>
      <c r="LHK34" s="160"/>
      <c r="LHL34" s="160"/>
      <c r="LHM34" s="160"/>
      <c r="LHN34" s="160"/>
      <c r="LHO34" s="160"/>
      <c r="LHP34" s="160"/>
      <c r="LHQ34" s="160"/>
      <c r="LHR34" s="160"/>
      <c r="LHS34" s="160"/>
      <c r="LHT34" s="160"/>
      <c r="LHU34" s="160"/>
      <c r="LHV34" s="160"/>
      <c r="LHW34" s="160"/>
      <c r="LHX34" s="160"/>
      <c r="LHY34" s="160"/>
      <c r="LHZ34" s="160"/>
      <c r="LIA34" s="160"/>
      <c r="LIB34" s="160"/>
      <c r="LIC34" s="160"/>
      <c r="LID34" s="160"/>
      <c r="LIE34" s="160"/>
      <c r="LIF34" s="160"/>
      <c r="LIG34" s="160"/>
      <c r="LIH34" s="160"/>
      <c r="LII34" s="160"/>
      <c r="LIJ34" s="160"/>
      <c r="LIK34" s="160"/>
      <c r="LIL34" s="160"/>
      <c r="LIM34" s="160"/>
      <c r="LIN34" s="160"/>
      <c r="LIO34" s="160"/>
      <c r="LIP34" s="160"/>
      <c r="LIQ34" s="160"/>
      <c r="LIR34" s="160"/>
      <c r="LIS34" s="160"/>
      <c r="LIT34" s="160"/>
      <c r="LIU34" s="160"/>
      <c r="LIV34" s="160"/>
      <c r="LIW34" s="160"/>
      <c r="LIX34" s="160"/>
      <c r="LIY34" s="160"/>
      <c r="LIZ34" s="160"/>
      <c r="LJA34" s="160"/>
      <c r="LJB34" s="160"/>
      <c r="LJC34" s="160"/>
      <c r="LJD34" s="160"/>
      <c r="LJE34" s="160"/>
      <c r="LJF34" s="160"/>
      <c r="LJG34" s="160"/>
      <c r="LJH34" s="160"/>
      <c r="LJI34" s="160"/>
      <c r="LJJ34" s="160"/>
      <c r="LJK34" s="160"/>
      <c r="LJL34" s="160"/>
      <c r="LJM34" s="160"/>
      <c r="LJN34" s="160"/>
      <c r="LJO34" s="160"/>
      <c r="LJP34" s="160"/>
      <c r="LJQ34" s="160"/>
      <c r="LJR34" s="160"/>
      <c r="LJS34" s="160"/>
      <c r="LJT34" s="160"/>
      <c r="LJU34" s="160"/>
      <c r="LJV34" s="160"/>
      <c r="LJW34" s="160"/>
      <c r="LJX34" s="160"/>
      <c r="LJY34" s="160"/>
      <c r="LJZ34" s="160"/>
      <c r="LKA34" s="160"/>
      <c r="LKB34" s="160"/>
      <c r="LKC34" s="160"/>
      <c r="LKD34" s="160"/>
      <c r="LKE34" s="160"/>
      <c r="LKF34" s="160"/>
      <c r="LKG34" s="160"/>
      <c r="LKH34" s="160"/>
      <c r="LKI34" s="160"/>
      <c r="LKJ34" s="160"/>
      <c r="LKK34" s="160"/>
      <c r="LKL34" s="160"/>
      <c r="LKM34" s="160"/>
      <c r="LKN34" s="160"/>
      <c r="LKO34" s="160"/>
      <c r="LKP34" s="160"/>
      <c r="LKQ34" s="160"/>
      <c r="LKR34" s="160"/>
      <c r="LKS34" s="160"/>
      <c r="LKT34" s="160"/>
      <c r="LKU34" s="160"/>
      <c r="LKV34" s="160"/>
      <c r="LKW34" s="160"/>
      <c r="LKX34" s="160"/>
      <c r="LKY34" s="160"/>
      <c r="LKZ34" s="160"/>
      <c r="LLA34" s="160"/>
      <c r="LLB34" s="160"/>
      <c r="LLC34" s="160"/>
      <c r="LLD34" s="160"/>
      <c r="LLE34" s="160"/>
      <c r="LLF34" s="160"/>
      <c r="LLG34" s="160"/>
      <c r="LLH34" s="160"/>
      <c r="LLI34" s="160"/>
      <c r="LLJ34" s="160"/>
      <c r="LLK34" s="160"/>
      <c r="LLL34" s="160"/>
      <c r="LLM34" s="160"/>
      <c r="LLN34" s="160"/>
      <c r="LLO34" s="160"/>
      <c r="LLP34" s="160"/>
      <c r="LLQ34" s="160"/>
      <c r="LLR34" s="160"/>
      <c r="LLS34" s="160"/>
      <c r="LLT34" s="160"/>
      <c r="LLU34" s="160"/>
      <c r="LLV34" s="160"/>
      <c r="LLW34" s="160"/>
      <c r="LLX34" s="160"/>
      <c r="LLY34" s="160"/>
      <c r="LLZ34" s="160"/>
      <c r="LMA34" s="160"/>
      <c r="LMG34" s="160"/>
      <c r="LMH34" s="160"/>
      <c r="LMI34" s="160"/>
      <c r="LMJ34" s="160"/>
      <c r="LMK34" s="160"/>
      <c r="LML34" s="160"/>
      <c r="LMM34" s="160"/>
      <c r="LMN34" s="160"/>
      <c r="LMO34" s="160"/>
      <c r="LMP34" s="160"/>
      <c r="LMQ34" s="160"/>
      <c r="LMR34" s="160"/>
      <c r="LMS34" s="160"/>
      <c r="LMT34" s="160"/>
      <c r="LMU34" s="160"/>
      <c r="LMV34" s="160"/>
      <c r="LMW34" s="160"/>
      <c r="LMX34" s="160"/>
      <c r="LMY34" s="160"/>
      <c r="LMZ34" s="160"/>
      <c r="LNA34" s="160"/>
      <c r="LNB34" s="160"/>
      <c r="LNC34" s="160"/>
      <c r="LND34" s="160"/>
      <c r="LNE34" s="160"/>
      <c r="LNF34" s="160"/>
      <c r="LNG34" s="160"/>
      <c r="LNH34" s="160"/>
      <c r="LNI34" s="160"/>
      <c r="LNJ34" s="160"/>
      <c r="LNK34" s="160"/>
      <c r="LNL34" s="160"/>
      <c r="LNM34" s="160"/>
      <c r="LNN34" s="160"/>
      <c r="LNO34" s="160"/>
      <c r="LNP34" s="160"/>
      <c r="LNQ34" s="160"/>
      <c r="LNR34" s="160"/>
      <c r="LNS34" s="160"/>
      <c r="LNT34" s="160"/>
      <c r="LNU34" s="160"/>
      <c r="LNV34" s="160"/>
      <c r="LNW34" s="160"/>
      <c r="LNX34" s="160"/>
      <c r="LNY34" s="160"/>
      <c r="LNZ34" s="160"/>
      <c r="LOA34" s="160"/>
      <c r="LOB34" s="160"/>
      <c r="LOC34" s="160"/>
      <c r="LOD34" s="160"/>
      <c r="LOE34" s="160"/>
      <c r="LOF34" s="160"/>
      <c r="LOG34" s="160"/>
      <c r="LOH34" s="160"/>
      <c r="LOI34" s="160"/>
      <c r="LOJ34" s="160"/>
      <c r="LOK34" s="160"/>
      <c r="LOL34" s="160"/>
      <c r="LOM34" s="160"/>
      <c r="LON34" s="160"/>
      <c r="LOO34" s="160"/>
      <c r="LOP34" s="160"/>
      <c r="LOQ34" s="160"/>
      <c r="LOR34" s="160"/>
      <c r="LOS34" s="160"/>
      <c r="LOT34" s="160"/>
      <c r="LOU34" s="160"/>
      <c r="LOV34" s="160"/>
      <c r="LOW34" s="160"/>
      <c r="LOX34" s="160"/>
      <c r="LOY34" s="160"/>
      <c r="LOZ34" s="160"/>
      <c r="LPA34" s="160"/>
      <c r="LPB34" s="160"/>
      <c r="LPC34" s="160"/>
      <c r="LPD34" s="160"/>
      <c r="LPE34" s="160"/>
      <c r="LPF34" s="160"/>
      <c r="LPG34" s="160"/>
      <c r="LPH34" s="160"/>
      <c r="LPI34" s="160"/>
      <c r="LPJ34" s="160"/>
      <c r="LPK34" s="160"/>
      <c r="LPL34" s="160"/>
      <c r="LPM34" s="160"/>
      <c r="LPN34" s="160"/>
      <c r="LPO34" s="160"/>
      <c r="LPP34" s="160"/>
      <c r="LPQ34" s="160"/>
      <c r="LPR34" s="160"/>
      <c r="LPS34" s="160"/>
      <c r="LPT34" s="160"/>
      <c r="LPU34" s="160"/>
      <c r="LPV34" s="160"/>
      <c r="LPW34" s="160"/>
      <c r="LPX34" s="160"/>
      <c r="LPY34" s="160"/>
      <c r="LPZ34" s="160"/>
      <c r="LQA34" s="160"/>
      <c r="LQB34" s="160"/>
      <c r="LQC34" s="160"/>
      <c r="LQD34" s="160"/>
      <c r="LQE34" s="160"/>
      <c r="LQF34" s="160"/>
      <c r="LQG34" s="160"/>
      <c r="LQH34" s="160"/>
      <c r="LQI34" s="160"/>
      <c r="LQJ34" s="160"/>
      <c r="LQK34" s="160"/>
      <c r="LQL34" s="160"/>
      <c r="LQM34" s="160"/>
      <c r="LQN34" s="160"/>
      <c r="LQO34" s="160"/>
      <c r="LQP34" s="160"/>
      <c r="LQQ34" s="160"/>
      <c r="LQR34" s="160"/>
      <c r="LQS34" s="160"/>
      <c r="LQT34" s="160"/>
      <c r="LQU34" s="160"/>
      <c r="LQV34" s="160"/>
      <c r="LQW34" s="160"/>
      <c r="LQX34" s="160"/>
      <c r="LQY34" s="160"/>
      <c r="LQZ34" s="160"/>
      <c r="LRA34" s="160"/>
      <c r="LRB34" s="160"/>
      <c r="LRC34" s="160"/>
      <c r="LRD34" s="160"/>
      <c r="LRE34" s="160"/>
      <c r="LRF34" s="160"/>
      <c r="LRG34" s="160"/>
      <c r="LRH34" s="160"/>
      <c r="LRI34" s="160"/>
      <c r="LRJ34" s="160"/>
      <c r="LRK34" s="160"/>
      <c r="LRL34" s="160"/>
      <c r="LRM34" s="160"/>
      <c r="LRN34" s="160"/>
      <c r="LRO34" s="160"/>
      <c r="LRP34" s="160"/>
      <c r="LRQ34" s="160"/>
      <c r="LRR34" s="160"/>
      <c r="LRS34" s="160"/>
      <c r="LRT34" s="160"/>
      <c r="LRU34" s="160"/>
      <c r="LRV34" s="160"/>
      <c r="LRW34" s="160"/>
      <c r="LRX34" s="160"/>
      <c r="LRY34" s="160"/>
      <c r="LRZ34" s="160"/>
      <c r="LSA34" s="160"/>
      <c r="LSB34" s="160"/>
      <c r="LSC34" s="160"/>
      <c r="LSD34" s="160"/>
      <c r="LSE34" s="160"/>
      <c r="LSF34" s="160"/>
      <c r="LSG34" s="160"/>
      <c r="LSH34" s="160"/>
      <c r="LSI34" s="160"/>
      <c r="LSJ34" s="160"/>
      <c r="LSK34" s="160"/>
      <c r="LSL34" s="160"/>
      <c r="LSM34" s="160"/>
      <c r="LSN34" s="160"/>
      <c r="LSO34" s="160"/>
      <c r="LSP34" s="160"/>
      <c r="LSQ34" s="160"/>
      <c r="LSR34" s="160"/>
      <c r="LSS34" s="160"/>
      <c r="LST34" s="160"/>
      <c r="LSU34" s="160"/>
      <c r="LSV34" s="160"/>
      <c r="LSW34" s="160"/>
      <c r="LSX34" s="160"/>
      <c r="LSY34" s="160"/>
      <c r="LSZ34" s="160"/>
      <c r="LTA34" s="160"/>
      <c r="LTB34" s="160"/>
      <c r="LTC34" s="160"/>
      <c r="LTD34" s="160"/>
      <c r="LTE34" s="160"/>
      <c r="LTF34" s="160"/>
      <c r="LTG34" s="160"/>
      <c r="LTH34" s="160"/>
      <c r="LTI34" s="160"/>
      <c r="LTJ34" s="160"/>
      <c r="LTK34" s="160"/>
      <c r="LTL34" s="160"/>
      <c r="LTM34" s="160"/>
      <c r="LTN34" s="160"/>
      <c r="LTO34" s="160"/>
      <c r="LTP34" s="160"/>
      <c r="LTQ34" s="160"/>
      <c r="LTR34" s="160"/>
      <c r="LTS34" s="160"/>
      <c r="LTT34" s="160"/>
      <c r="LTU34" s="160"/>
      <c r="LTV34" s="160"/>
      <c r="LTW34" s="160"/>
      <c r="LTX34" s="160"/>
      <c r="LTY34" s="160"/>
      <c r="LTZ34" s="160"/>
      <c r="LUA34" s="160"/>
      <c r="LUB34" s="160"/>
      <c r="LUC34" s="160"/>
      <c r="LUD34" s="160"/>
      <c r="LUE34" s="160"/>
      <c r="LUF34" s="160"/>
      <c r="LUG34" s="160"/>
      <c r="LUH34" s="160"/>
      <c r="LUI34" s="160"/>
      <c r="LUJ34" s="160"/>
      <c r="LUK34" s="160"/>
      <c r="LUL34" s="160"/>
      <c r="LUM34" s="160"/>
      <c r="LUN34" s="160"/>
      <c r="LUO34" s="160"/>
      <c r="LUP34" s="160"/>
      <c r="LUQ34" s="160"/>
      <c r="LUR34" s="160"/>
      <c r="LUS34" s="160"/>
      <c r="LUT34" s="160"/>
      <c r="LUU34" s="160"/>
      <c r="LUV34" s="160"/>
      <c r="LUW34" s="160"/>
      <c r="LUX34" s="160"/>
      <c r="LUY34" s="160"/>
      <c r="LUZ34" s="160"/>
      <c r="LVA34" s="160"/>
      <c r="LVB34" s="160"/>
      <c r="LVC34" s="160"/>
      <c r="LVD34" s="160"/>
      <c r="LVE34" s="160"/>
      <c r="LVF34" s="160"/>
      <c r="LVG34" s="160"/>
      <c r="LVH34" s="160"/>
      <c r="LVI34" s="160"/>
      <c r="LVJ34" s="160"/>
      <c r="LVK34" s="160"/>
      <c r="LVL34" s="160"/>
      <c r="LVM34" s="160"/>
      <c r="LVN34" s="160"/>
      <c r="LVO34" s="160"/>
      <c r="LVP34" s="160"/>
      <c r="LVQ34" s="160"/>
      <c r="LVR34" s="160"/>
      <c r="LVS34" s="160"/>
      <c r="LVT34" s="160"/>
      <c r="LVU34" s="160"/>
      <c r="LVV34" s="160"/>
      <c r="LVW34" s="160"/>
      <c r="LWC34" s="160"/>
      <c r="LWD34" s="160"/>
      <c r="LWE34" s="160"/>
      <c r="LWF34" s="160"/>
      <c r="LWG34" s="160"/>
      <c r="LWH34" s="160"/>
      <c r="LWI34" s="160"/>
      <c r="LWJ34" s="160"/>
      <c r="LWK34" s="160"/>
      <c r="LWL34" s="160"/>
      <c r="LWM34" s="160"/>
      <c r="LWN34" s="160"/>
      <c r="LWO34" s="160"/>
      <c r="LWP34" s="160"/>
      <c r="LWQ34" s="160"/>
      <c r="LWR34" s="160"/>
      <c r="LWS34" s="160"/>
      <c r="LWT34" s="160"/>
      <c r="LWU34" s="160"/>
      <c r="LWV34" s="160"/>
      <c r="LWW34" s="160"/>
      <c r="LWX34" s="160"/>
      <c r="LWY34" s="160"/>
      <c r="LWZ34" s="160"/>
      <c r="LXA34" s="160"/>
      <c r="LXB34" s="160"/>
      <c r="LXC34" s="160"/>
      <c r="LXD34" s="160"/>
      <c r="LXE34" s="160"/>
      <c r="LXF34" s="160"/>
      <c r="LXG34" s="160"/>
      <c r="LXH34" s="160"/>
      <c r="LXI34" s="160"/>
      <c r="LXJ34" s="160"/>
      <c r="LXK34" s="160"/>
      <c r="LXL34" s="160"/>
      <c r="LXM34" s="160"/>
      <c r="LXN34" s="160"/>
      <c r="LXO34" s="160"/>
      <c r="LXP34" s="160"/>
      <c r="LXQ34" s="160"/>
      <c r="LXR34" s="160"/>
      <c r="LXS34" s="160"/>
      <c r="LXT34" s="160"/>
      <c r="LXU34" s="160"/>
      <c r="LXV34" s="160"/>
      <c r="LXW34" s="160"/>
      <c r="LXX34" s="160"/>
      <c r="LXY34" s="160"/>
      <c r="LXZ34" s="160"/>
      <c r="LYA34" s="160"/>
      <c r="LYB34" s="160"/>
      <c r="LYC34" s="160"/>
      <c r="LYD34" s="160"/>
      <c r="LYE34" s="160"/>
      <c r="LYF34" s="160"/>
      <c r="LYG34" s="160"/>
      <c r="LYH34" s="160"/>
      <c r="LYI34" s="160"/>
      <c r="LYJ34" s="160"/>
      <c r="LYK34" s="160"/>
      <c r="LYL34" s="160"/>
      <c r="LYM34" s="160"/>
      <c r="LYN34" s="160"/>
      <c r="LYO34" s="160"/>
      <c r="LYP34" s="160"/>
      <c r="LYQ34" s="160"/>
      <c r="LYR34" s="160"/>
      <c r="LYS34" s="160"/>
      <c r="LYT34" s="160"/>
      <c r="LYU34" s="160"/>
      <c r="LYV34" s="160"/>
      <c r="LYW34" s="160"/>
      <c r="LYX34" s="160"/>
      <c r="LYY34" s="160"/>
      <c r="LYZ34" s="160"/>
      <c r="LZA34" s="160"/>
      <c r="LZB34" s="160"/>
      <c r="LZC34" s="160"/>
      <c r="LZD34" s="160"/>
      <c r="LZE34" s="160"/>
      <c r="LZF34" s="160"/>
      <c r="LZG34" s="160"/>
      <c r="LZH34" s="160"/>
      <c r="LZI34" s="160"/>
      <c r="LZJ34" s="160"/>
      <c r="LZK34" s="160"/>
      <c r="LZL34" s="160"/>
      <c r="LZM34" s="160"/>
      <c r="LZN34" s="160"/>
      <c r="LZO34" s="160"/>
      <c r="LZP34" s="160"/>
      <c r="LZQ34" s="160"/>
      <c r="LZR34" s="160"/>
      <c r="LZS34" s="160"/>
      <c r="LZT34" s="160"/>
      <c r="LZU34" s="160"/>
      <c r="LZV34" s="160"/>
      <c r="LZW34" s="160"/>
      <c r="LZX34" s="160"/>
      <c r="LZY34" s="160"/>
      <c r="LZZ34" s="160"/>
      <c r="MAA34" s="160"/>
      <c r="MAB34" s="160"/>
      <c r="MAC34" s="160"/>
      <c r="MAD34" s="160"/>
      <c r="MAE34" s="160"/>
      <c r="MAF34" s="160"/>
      <c r="MAG34" s="160"/>
      <c r="MAH34" s="160"/>
      <c r="MAI34" s="160"/>
      <c r="MAJ34" s="160"/>
      <c r="MAK34" s="160"/>
      <c r="MAL34" s="160"/>
      <c r="MAM34" s="160"/>
      <c r="MAN34" s="160"/>
      <c r="MAO34" s="160"/>
      <c r="MAP34" s="160"/>
      <c r="MAQ34" s="160"/>
      <c r="MAR34" s="160"/>
      <c r="MAS34" s="160"/>
      <c r="MAT34" s="160"/>
      <c r="MAU34" s="160"/>
      <c r="MAV34" s="160"/>
      <c r="MAW34" s="160"/>
      <c r="MAX34" s="160"/>
      <c r="MAY34" s="160"/>
      <c r="MAZ34" s="160"/>
      <c r="MBA34" s="160"/>
      <c r="MBB34" s="160"/>
      <c r="MBC34" s="160"/>
      <c r="MBD34" s="160"/>
      <c r="MBE34" s="160"/>
      <c r="MBF34" s="160"/>
      <c r="MBG34" s="160"/>
      <c r="MBH34" s="160"/>
      <c r="MBI34" s="160"/>
      <c r="MBJ34" s="160"/>
      <c r="MBK34" s="160"/>
      <c r="MBL34" s="160"/>
      <c r="MBM34" s="160"/>
      <c r="MBN34" s="160"/>
      <c r="MBO34" s="160"/>
      <c r="MBP34" s="160"/>
      <c r="MBQ34" s="160"/>
      <c r="MBR34" s="160"/>
      <c r="MBS34" s="160"/>
      <c r="MBT34" s="160"/>
      <c r="MBU34" s="160"/>
      <c r="MBV34" s="160"/>
      <c r="MBW34" s="160"/>
      <c r="MBX34" s="160"/>
      <c r="MBY34" s="160"/>
      <c r="MBZ34" s="160"/>
      <c r="MCA34" s="160"/>
      <c r="MCB34" s="160"/>
      <c r="MCC34" s="160"/>
      <c r="MCD34" s="160"/>
      <c r="MCE34" s="160"/>
      <c r="MCF34" s="160"/>
      <c r="MCG34" s="160"/>
      <c r="MCH34" s="160"/>
      <c r="MCI34" s="160"/>
      <c r="MCJ34" s="160"/>
      <c r="MCK34" s="160"/>
      <c r="MCL34" s="160"/>
      <c r="MCM34" s="160"/>
      <c r="MCN34" s="160"/>
      <c r="MCO34" s="160"/>
      <c r="MCP34" s="160"/>
      <c r="MCQ34" s="160"/>
      <c r="MCR34" s="160"/>
      <c r="MCS34" s="160"/>
      <c r="MCT34" s="160"/>
      <c r="MCU34" s="160"/>
      <c r="MCV34" s="160"/>
      <c r="MCW34" s="160"/>
      <c r="MCX34" s="160"/>
      <c r="MCY34" s="160"/>
      <c r="MCZ34" s="160"/>
      <c r="MDA34" s="160"/>
      <c r="MDB34" s="160"/>
      <c r="MDC34" s="160"/>
      <c r="MDD34" s="160"/>
      <c r="MDE34" s="160"/>
      <c r="MDF34" s="160"/>
      <c r="MDG34" s="160"/>
      <c r="MDH34" s="160"/>
      <c r="MDI34" s="160"/>
      <c r="MDJ34" s="160"/>
      <c r="MDK34" s="160"/>
      <c r="MDL34" s="160"/>
      <c r="MDM34" s="160"/>
      <c r="MDN34" s="160"/>
      <c r="MDO34" s="160"/>
      <c r="MDP34" s="160"/>
      <c r="MDQ34" s="160"/>
      <c r="MDR34" s="160"/>
      <c r="MDS34" s="160"/>
      <c r="MDT34" s="160"/>
      <c r="MDU34" s="160"/>
      <c r="MDV34" s="160"/>
      <c r="MDW34" s="160"/>
      <c r="MDX34" s="160"/>
      <c r="MDY34" s="160"/>
      <c r="MDZ34" s="160"/>
      <c r="MEA34" s="160"/>
      <c r="MEB34" s="160"/>
      <c r="MEC34" s="160"/>
      <c r="MED34" s="160"/>
      <c r="MEE34" s="160"/>
      <c r="MEF34" s="160"/>
      <c r="MEG34" s="160"/>
      <c r="MEH34" s="160"/>
      <c r="MEI34" s="160"/>
      <c r="MEJ34" s="160"/>
      <c r="MEK34" s="160"/>
      <c r="MEL34" s="160"/>
      <c r="MEM34" s="160"/>
      <c r="MEN34" s="160"/>
      <c r="MEO34" s="160"/>
      <c r="MEP34" s="160"/>
      <c r="MEQ34" s="160"/>
      <c r="MER34" s="160"/>
      <c r="MES34" s="160"/>
      <c r="MET34" s="160"/>
      <c r="MEU34" s="160"/>
      <c r="MEV34" s="160"/>
      <c r="MEW34" s="160"/>
      <c r="MEX34" s="160"/>
      <c r="MEY34" s="160"/>
      <c r="MEZ34" s="160"/>
      <c r="MFA34" s="160"/>
      <c r="MFB34" s="160"/>
      <c r="MFC34" s="160"/>
      <c r="MFD34" s="160"/>
      <c r="MFE34" s="160"/>
      <c r="MFF34" s="160"/>
      <c r="MFG34" s="160"/>
      <c r="MFH34" s="160"/>
      <c r="MFI34" s="160"/>
      <c r="MFJ34" s="160"/>
      <c r="MFK34" s="160"/>
      <c r="MFL34" s="160"/>
      <c r="MFM34" s="160"/>
      <c r="MFN34" s="160"/>
      <c r="MFO34" s="160"/>
      <c r="MFP34" s="160"/>
      <c r="MFQ34" s="160"/>
      <c r="MFR34" s="160"/>
      <c r="MFS34" s="160"/>
      <c r="MFY34" s="160"/>
      <c r="MFZ34" s="160"/>
      <c r="MGA34" s="160"/>
      <c r="MGB34" s="160"/>
      <c r="MGC34" s="160"/>
      <c r="MGD34" s="160"/>
      <c r="MGE34" s="160"/>
      <c r="MGF34" s="160"/>
      <c r="MGG34" s="160"/>
      <c r="MGH34" s="160"/>
      <c r="MGI34" s="160"/>
      <c r="MGJ34" s="160"/>
      <c r="MGK34" s="160"/>
      <c r="MGL34" s="160"/>
      <c r="MGM34" s="160"/>
      <c r="MGN34" s="160"/>
      <c r="MGO34" s="160"/>
      <c r="MGP34" s="160"/>
      <c r="MGQ34" s="160"/>
      <c r="MGR34" s="160"/>
      <c r="MGS34" s="160"/>
      <c r="MGT34" s="160"/>
      <c r="MGU34" s="160"/>
      <c r="MGV34" s="160"/>
      <c r="MGW34" s="160"/>
      <c r="MGX34" s="160"/>
      <c r="MGY34" s="160"/>
      <c r="MGZ34" s="160"/>
      <c r="MHA34" s="160"/>
      <c r="MHB34" s="160"/>
      <c r="MHC34" s="160"/>
      <c r="MHD34" s="160"/>
      <c r="MHE34" s="160"/>
      <c r="MHF34" s="160"/>
      <c r="MHG34" s="160"/>
      <c r="MHH34" s="160"/>
      <c r="MHI34" s="160"/>
      <c r="MHJ34" s="160"/>
      <c r="MHK34" s="160"/>
      <c r="MHL34" s="160"/>
      <c r="MHM34" s="160"/>
      <c r="MHN34" s="160"/>
      <c r="MHO34" s="160"/>
      <c r="MHP34" s="160"/>
      <c r="MHQ34" s="160"/>
      <c r="MHR34" s="160"/>
      <c r="MHS34" s="160"/>
      <c r="MHT34" s="160"/>
      <c r="MHU34" s="160"/>
      <c r="MHV34" s="160"/>
      <c r="MHW34" s="160"/>
      <c r="MHX34" s="160"/>
      <c r="MHY34" s="160"/>
      <c r="MHZ34" s="160"/>
      <c r="MIA34" s="160"/>
      <c r="MIB34" s="160"/>
      <c r="MIC34" s="160"/>
      <c r="MID34" s="160"/>
      <c r="MIE34" s="160"/>
      <c r="MIF34" s="160"/>
      <c r="MIG34" s="160"/>
      <c r="MIH34" s="160"/>
      <c r="MII34" s="160"/>
      <c r="MIJ34" s="160"/>
      <c r="MIK34" s="160"/>
      <c r="MIL34" s="160"/>
      <c r="MIM34" s="160"/>
      <c r="MIN34" s="160"/>
      <c r="MIO34" s="160"/>
      <c r="MIP34" s="160"/>
      <c r="MIQ34" s="160"/>
      <c r="MIR34" s="160"/>
      <c r="MIS34" s="160"/>
      <c r="MIT34" s="160"/>
      <c r="MIU34" s="160"/>
      <c r="MIV34" s="160"/>
      <c r="MIW34" s="160"/>
      <c r="MIX34" s="160"/>
      <c r="MIY34" s="160"/>
      <c r="MIZ34" s="160"/>
      <c r="MJA34" s="160"/>
      <c r="MJB34" s="160"/>
      <c r="MJC34" s="160"/>
      <c r="MJD34" s="160"/>
      <c r="MJE34" s="160"/>
      <c r="MJF34" s="160"/>
      <c r="MJG34" s="160"/>
      <c r="MJH34" s="160"/>
      <c r="MJI34" s="160"/>
      <c r="MJJ34" s="160"/>
      <c r="MJK34" s="160"/>
      <c r="MJL34" s="160"/>
      <c r="MJM34" s="160"/>
      <c r="MJN34" s="160"/>
      <c r="MJO34" s="160"/>
      <c r="MJP34" s="160"/>
      <c r="MJQ34" s="160"/>
      <c r="MJR34" s="160"/>
      <c r="MJS34" s="160"/>
      <c r="MJT34" s="160"/>
      <c r="MJU34" s="160"/>
      <c r="MJV34" s="160"/>
      <c r="MJW34" s="160"/>
      <c r="MJX34" s="160"/>
      <c r="MJY34" s="160"/>
      <c r="MJZ34" s="160"/>
      <c r="MKA34" s="160"/>
      <c r="MKB34" s="160"/>
      <c r="MKC34" s="160"/>
      <c r="MKD34" s="160"/>
      <c r="MKE34" s="160"/>
      <c r="MKF34" s="160"/>
      <c r="MKG34" s="160"/>
      <c r="MKH34" s="160"/>
      <c r="MKI34" s="160"/>
      <c r="MKJ34" s="160"/>
      <c r="MKK34" s="160"/>
      <c r="MKL34" s="160"/>
      <c r="MKM34" s="160"/>
      <c r="MKN34" s="160"/>
      <c r="MKO34" s="160"/>
      <c r="MKP34" s="160"/>
      <c r="MKQ34" s="160"/>
      <c r="MKR34" s="160"/>
      <c r="MKS34" s="160"/>
      <c r="MKT34" s="160"/>
      <c r="MKU34" s="160"/>
      <c r="MKV34" s="160"/>
      <c r="MKW34" s="160"/>
      <c r="MKX34" s="160"/>
      <c r="MKY34" s="160"/>
      <c r="MKZ34" s="160"/>
      <c r="MLA34" s="160"/>
      <c r="MLB34" s="160"/>
      <c r="MLC34" s="160"/>
      <c r="MLD34" s="160"/>
      <c r="MLE34" s="160"/>
      <c r="MLF34" s="160"/>
      <c r="MLG34" s="160"/>
      <c r="MLH34" s="160"/>
      <c r="MLI34" s="160"/>
      <c r="MLJ34" s="160"/>
      <c r="MLK34" s="160"/>
      <c r="MLL34" s="160"/>
      <c r="MLM34" s="160"/>
      <c r="MLN34" s="160"/>
      <c r="MLO34" s="160"/>
      <c r="MLP34" s="160"/>
      <c r="MLQ34" s="160"/>
      <c r="MLR34" s="160"/>
      <c r="MLS34" s="160"/>
      <c r="MLT34" s="160"/>
      <c r="MLU34" s="160"/>
      <c r="MLV34" s="160"/>
      <c r="MLW34" s="160"/>
      <c r="MLX34" s="160"/>
      <c r="MLY34" s="160"/>
      <c r="MLZ34" s="160"/>
      <c r="MMA34" s="160"/>
      <c r="MMB34" s="160"/>
      <c r="MMC34" s="160"/>
      <c r="MMD34" s="160"/>
      <c r="MME34" s="160"/>
      <c r="MMF34" s="160"/>
      <c r="MMG34" s="160"/>
      <c r="MMH34" s="160"/>
      <c r="MMI34" s="160"/>
      <c r="MMJ34" s="160"/>
      <c r="MMK34" s="160"/>
      <c r="MML34" s="160"/>
      <c r="MMM34" s="160"/>
      <c r="MMN34" s="160"/>
      <c r="MMO34" s="160"/>
      <c r="MMP34" s="160"/>
      <c r="MMQ34" s="160"/>
      <c r="MMR34" s="160"/>
      <c r="MMS34" s="160"/>
      <c r="MMT34" s="160"/>
      <c r="MMU34" s="160"/>
      <c r="MMV34" s="160"/>
      <c r="MMW34" s="160"/>
      <c r="MMX34" s="160"/>
      <c r="MMY34" s="160"/>
      <c r="MMZ34" s="160"/>
      <c r="MNA34" s="160"/>
      <c r="MNB34" s="160"/>
      <c r="MNC34" s="160"/>
      <c r="MND34" s="160"/>
      <c r="MNE34" s="160"/>
      <c r="MNF34" s="160"/>
      <c r="MNG34" s="160"/>
      <c r="MNH34" s="160"/>
      <c r="MNI34" s="160"/>
      <c r="MNJ34" s="160"/>
      <c r="MNK34" s="160"/>
      <c r="MNL34" s="160"/>
      <c r="MNM34" s="160"/>
      <c r="MNN34" s="160"/>
      <c r="MNO34" s="160"/>
      <c r="MNP34" s="160"/>
      <c r="MNQ34" s="160"/>
      <c r="MNR34" s="160"/>
      <c r="MNS34" s="160"/>
      <c r="MNT34" s="160"/>
      <c r="MNU34" s="160"/>
      <c r="MNV34" s="160"/>
      <c r="MNW34" s="160"/>
      <c r="MNX34" s="160"/>
      <c r="MNY34" s="160"/>
      <c r="MNZ34" s="160"/>
      <c r="MOA34" s="160"/>
      <c r="MOB34" s="160"/>
      <c r="MOC34" s="160"/>
      <c r="MOD34" s="160"/>
      <c r="MOE34" s="160"/>
      <c r="MOF34" s="160"/>
      <c r="MOG34" s="160"/>
      <c r="MOH34" s="160"/>
      <c r="MOI34" s="160"/>
      <c r="MOJ34" s="160"/>
      <c r="MOK34" s="160"/>
      <c r="MOL34" s="160"/>
      <c r="MOM34" s="160"/>
      <c r="MON34" s="160"/>
      <c r="MOO34" s="160"/>
      <c r="MOP34" s="160"/>
      <c r="MOQ34" s="160"/>
      <c r="MOR34" s="160"/>
      <c r="MOS34" s="160"/>
      <c r="MOT34" s="160"/>
      <c r="MOU34" s="160"/>
      <c r="MOV34" s="160"/>
      <c r="MOW34" s="160"/>
      <c r="MOX34" s="160"/>
      <c r="MOY34" s="160"/>
      <c r="MOZ34" s="160"/>
      <c r="MPA34" s="160"/>
      <c r="MPB34" s="160"/>
      <c r="MPC34" s="160"/>
      <c r="MPD34" s="160"/>
      <c r="MPE34" s="160"/>
      <c r="MPF34" s="160"/>
      <c r="MPG34" s="160"/>
      <c r="MPH34" s="160"/>
      <c r="MPI34" s="160"/>
      <c r="MPJ34" s="160"/>
      <c r="MPK34" s="160"/>
      <c r="MPL34" s="160"/>
      <c r="MPM34" s="160"/>
      <c r="MPN34" s="160"/>
      <c r="MPO34" s="160"/>
      <c r="MPU34" s="160"/>
      <c r="MPV34" s="160"/>
      <c r="MPW34" s="160"/>
      <c r="MPX34" s="160"/>
      <c r="MPY34" s="160"/>
      <c r="MPZ34" s="160"/>
      <c r="MQA34" s="160"/>
      <c r="MQB34" s="160"/>
      <c r="MQC34" s="160"/>
      <c r="MQD34" s="160"/>
      <c r="MQE34" s="160"/>
      <c r="MQF34" s="160"/>
      <c r="MQG34" s="160"/>
      <c r="MQH34" s="160"/>
      <c r="MQI34" s="160"/>
      <c r="MQJ34" s="160"/>
      <c r="MQK34" s="160"/>
      <c r="MQL34" s="160"/>
      <c r="MQM34" s="160"/>
      <c r="MQN34" s="160"/>
      <c r="MQO34" s="160"/>
      <c r="MQP34" s="160"/>
      <c r="MQQ34" s="160"/>
      <c r="MQR34" s="160"/>
      <c r="MQS34" s="160"/>
      <c r="MQT34" s="160"/>
      <c r="MQU34" s="160"/>
      <c r="MQV34" s="160"/>
      <c r="MQW34" s="160"/>
      <c r="MQX34" s="160"/>
      <c r="MQY34" s="160"/>
      <c r="MQZ34" s="160"/>
      <c r="MRA34" s="160"/>
      <c r="MRB34" s="160"/>
      <c r="MRC34" s="160"/>
      <c r="MRD34" s="160"/>
      <c r="MRE34" s="160"/>
      <c r="MRF34" s="160"/>
      <c r="MRG34" s="160"/>
      <c r="MRH34" s="160"/>
      <c r="MRI34" s="160"/>
      <c r="MRJ34" s="160"/>
      <c r="MRK34" s="160"/>
      <c r="MRL34" s="160"/>
      <c r="MRM34" s="160"/>
      <c r="MRN34" s="160"/>
      <c r="MRO34" s="160"/>
      <c r="MRP34" s="160"/>
      <c r="MRQ34" s="160"/>
      <c r="MRR34" s="160"/>
      <c r="MRS34" s="160"/>
      <c r="MRT34" s="160"/>
      <c r="MRU34" s="160"/>
      <c r="MRV34" s="160"/>
      <c r="MRW34" s="160"/>
      <c r="MRX34" s="160"/>
      <c r="MRY34" s="160"/>
      <c r="MRZ34" s="160"/>
      <c r="MSA34" s="160"/>
      <c r="MSB34" s="160"/>
      <c r="MSC34" s="160"/>
      <c r="MSD34" s="160"/>
      <c r="MSE34" s="160"/>
      <c r="MSF34" s="160"/>
      <c r="MSG34" s="160"/>
      <c r="MSH34" s="160"/>
      <c r="MSI34" s="160"/>
      <c r="MSJ34" s="160"/>
      <c r="MSK34" s="160"/>
      <c r="MSL34" s="160"/>
      <c r="MSM34" s="160"/>
      <c r="MSN34" s="160"/>
      <c r="MSO34" s="160"/>
      <c r="MSP34" s="160"/>
      <c r="MSQ34" s="160"/>
      <c r="MSR34" s="160"/>
      <c r="MSS34" s="160"/>
      <c r="MST34" s="160"/>
      <c r="MSU34" s="160"/>
      <c r="MSV34" s="160"/>
      <c r="MSW34" s="160"/>
      <c r="MSX34" s="160"/>
      <c r="MSY34" s="160"/>
      <c r="MSZ34" s="160"/>
      <c r="MTA34" s="160"/>
      <c r="MTB34" s="160"/>
      <c r="MTC34" s="160"/>
      <c r="MTD34" s="160"/>
      <c r="MTE34" s="160"/>
      <c r="MTF34" s="160"/>
      <c r="MTG34" s="160"/>
      <c r="MTH34" s="160"/>
      <c r="MTI34" s="160"/>
      <c r="MTJ34" s="160"/>
      <c r="MTK34" s="160"/>
      <c r="MTL34" s="160"/>
      <c r="MTM34" s="160"/>
      <c r="MTN34" s="160"/>
      <c r="MTO34" s="160"/>
      <c r="MTP34" s="160"/>
      <c r="MTQ34" s="160"/>
      <c r="MTR34" s="160"/>
      <c r="MTS34" s="160"/>
      <c r="MTT34" s="160"/>
      <c r="MTU34" s="160"/>
      <c r="MTV34" s="160"/>
      <c r="MTW34" s="160"/>
      <c r="MTX34" s="160"/>
      <c r="MTY34" s="160"/>
      <c r="MTZ34" s="160"/>
      <c r="MUA34" s="160"/>
      <c r="MUB34" s="160"/>
      <c r="MUC34" s="160"/>
      <c r="MUD34" s="160"/>
      <c r="MUE34" s="160"/>
      <c r="MUF34" s="160"/>
      <c r="MUG34" s="160"/>
      <c r="MUH34" s="160"/>
      <c r="MUI34" s="160"/>
      <c r="MUJ34" s="160"/>
      <c r="MUK34" s="160"/>
      <c r="MUL34" s="160"/>
      <c r="MUM34" s="160"/>
      <c r="MUN34" s="160"/>
      <c r="MUO34" s="160"/>
      <c r="MUP34" s="160"/>
      <c r="MUQ34" s="160"/>
      <c r="MUR34" s="160"/>
      <c r="MUS34" s="160"/>
      <c r="MUT34" s="160"/>
      <c r="MUU34" s="160"/>
      <c r="MUV34" s="160"/>
      <c r="MUW34" s="160"/>
      <c r="MUX34" s="160"/>
      <c r="MUY34" s="160"/>
      <c r="MUZ34" s="160"/>
      <c r="MVA34" s="160"/>
      <c r="MVB34" s="160"/>
      <c r="MVC34" s="160"/>
      <c r="MVD34" s="160"/>
      <c r="MVE34" s="160"/>
      <c r="MVF34" s="160"/>
      <c r="MVG34" s="160"/>
      <c r="MVH34" s="160"/>
      <c r="MVI34" s="160"/>
      <c r="MVJ34" s="160"/>
      <c r="MVK34" s="160"/>
      <c r="MVL34" s="160"/>
      <c r="MVM34" s="160"/>
      <c r="MVN34" s="160"/>
      <c r="MVO34" s="160"/>
      <c r="MVP34" s="160"/>
      <c r="MVQ34" s="160"/>
      <c r="MVR34" s="160"/>
      <c r="MVS34" s="160"/>
      <c r="MVT34" s="160"/>
      <c r="MVU34" s="160"/>
      <c r="MVV34" s="160"/>
      <c r="MVW34" s="160"/>
      <c r="MVX34" s="160"/>
      <c r="MVY34" s="160"/>
      <c r="MVZ34" s="160"/>
      <c r="MWA34" s="160"/>
      <c r="MWB34" s="160"/>
      <c r="MWC34" s="160"/>
      <c r="MWD34" s="160"/>
      <c r="MWE34" s="160"/>
      <c r="MWF34" s="160"/>
      <c r="MWG34" s="160"/>
      <c r="MWH34" s="160"/>
      <c r="MWI34" s="160"/>
      <c r="MWJ34" s="160"/>
      <c r="MWK34" s="160"/>
      <c r="MWL34" s="160"/>
      <c r="MWM34" s="160"/>
      <c r="MWN34" s="160"/>
      <c r="MWO34" s="160"/>
      <c r="MWP34" s="160"/>
      <c r="MWQ34" s="160"/>
      <c r="MWR34" s="160"/>
      <c r="MWS34" s="160"/>
      <c r="MWT34" s="160"/>
      <c r="MWU34" s="160"/>
      <c r="MWV34" s="160"/>
      <c r="MWW34" s="160"/>
      <c r="MWX34" s="160"/>
      <c r="MWY34" s="160"/>
      <c r="MWZ34" s="160"/>
      <c r="MXA34" s="160"/>
      <c r="MXB34" s="160"/>
      <c r="MXC34" s="160"/>
      <c r="MXD34" s="160"/>
      <c r="MXE34" s="160"/>
      <c r="MXF34" s="160"/>
      <c r="MXG34" s="160"/>
      <c r="MXH34" s="160"/>
      <c r="MXI34" s="160"/>
      <c r="MXJ34" s="160"/>
      <c r="MXK34" s="160"/>
      <c r="MXL34" s="160"/>
      <c r="MXM34" s="160"/>
      <c r="MXN34" s="160"/>
      <c r="MXO34" s="160"/>
      <c r="MXP34" s="160"/>
      <c r="MXQ34" s="160"/>
      <c r="MXR34" s="160"/>
      <c r="MXS34" s="160"/>
      <c r="MXT34" s="160"/>
      <c r="MXU34" s="160"/>
      <c r="MXV34" s="160"/>
      <c r="MXW34" s="160"/>
      <c r="MXX34" s="160"/>
      <c r="MXY34" s="160"/>
      <c r="MXZ34" s="160"/>
      <c r="MYA34" s="160"/>
      <c r="MYB34" s="160"/>
      <c r="MYC34" s="160"/>
      <c r="MYD34" s="160"/>
      <c r="MYE34" s="160"/>
      <c r="MYF34" s="160"/>
      <c r="MYG34" s="160"/>
      <c r="MYH34" s="160"/>
      <c r="MYI34" s="160"/>
      <c r="MYJ34" s="160"/>
      <c r="MYK34" s="160"/>
      <c r="MYL34" s="160"/>
      <c r="MYM34" s="160"/>
      <c r="MYN34" s="160"/>
      <c r="MYO34" s="160"/>
      <c r="MYP34" s="160"/>
      <c r="MYQ34" s="160"/>
      <c r="MYR34" s="160"/>
      <c r="MYS34" s="160"/>
      <c r="MYT34" s="160"/>
      <c r="MYU34" s="160"/>
      <c r="MYV34" s="160"/>
      <c r="MYW34" s="160"/>
      <c r="MYX34" s="160"/>
      <c r="MYY34" s="160"/>
      <c r="MYZ34" s="160"/>
      <c r="MZA34" s="160"/>
      <c r="MZB34" s="160"/>
      <c r="MZC34" s="160"/>
      <c r="MZD34" s="160"/>
      <c r="MZE34" s="160"/>
      <c r="MZF34" s="160"/>
      <c r="MZG34" s="160"/>
      <c r="MZH34" s="160"/>
      <c r="MZI34" s="160"/>
      <c r="MZJ34" s="160"/>
      <c r="MZK34" s="160"/>
      <c r="MZQ34" s="160"/>
      <c r="MZR34" s="160"/>
      <c r="MZS34" s="160"/>
      <c r="MZT34" s="160"/>
      <c r="MZU34" s="160"/>
      <c r="MZV34" s="160"/>
      <c r="MZW34" s="160"/>
      <c r="MZX34" s="160"/>
      <c r="MZY34" s="160"/>
      <c r="MZZ34" s="160"/>
      <c r="NAA34" s="160"/>
      <c r="NAB34" s="160"/>
      <c r="NAC34" s="160"/>
      <c r="NAD34" s="160"/>
      <c r="NAE34" s="160"/>
      <c r="NAF34" s="160"/>
      <c r="NAG34" s="160"/>
      <c r="NAH34" s="160"/>
      <c r="NAI34" s="160"/>
      <c r="NAJ34" s="160"/>
      <c r="NAK34" s="160"/>
      <c r="NAL34" s="160"/>
      <c r="NAM34" s="160"/>
      <c r="NAN34" s="160"/>
      <c r="NAO34" s="160"/>
      <c r="NAP34" s="160"/>
      <c r="NAQ34" s="160"/>
      <c r="NAR34" s="160"/>
      <c r="NAS34" s="160"/>
      <c r="NAT34" s="160"/>
      <c r="NAU34" s="160"/>
      <c r="NAV34" s="160"/>
      <c r="NAW34" s="160"/>
      <c r="NAX34" s="160"/>
      <c r="NAY34" s="160"/>
      <c r="NAZ34" s="160"/>
      <c r="NBA34" s="160"/>
      <c r="NBB34" s="160"/>
      <c r="NBC34" s="160"/>
      <c r="NBD34" s="160"/>
      <c r="NBE34" s="160"/>
      <c r="NBF34" s="160"/>
      <c r="NBG34" s="160"/>
      <c r="NBH34" s="160"/>
      <c r="NBI34" s="160"/>
      <c r="NBJ34" s="160"/>
      <c r="NBK34" s="160"/>
      <c r="NBL34" s="160"/>
      <c r="NBM34" s="160"/>
      <c r="NBN34" s="160"/>
      <c r="NBO34" s="160"/>
      <c r="NBP34" s="160"/>
      <c r="NBQ34" s="160"/>
      <c r="NBR34" s="160"/>
      <c r="NBS34" s="160"/>
      <c r="NBT34" s="160"/>
      <c r="NBU34" s="160"/>
      <c r="NBV34" s="160"/>
      <c r="NBW34" s="160"/>
      <c r="NBX34" s="160"/>
      <c r="NBY34" s="160"/>
      <c r="NBZ34" s="160"/>
      <c r="NCA34" s="160"/>
      <c r="NCB34" s="160"/>
      <c r="NCC34" s="160"/>
      <c r="NCD34" s="160"/>
      <c r="NCE34" s="160"/>
      <c r="NCF34" s="160"/>
      <c r="NCG34" s="160"/>
      <c r="NCH34" s="160"/>
      <c r="NCI34" s="160"/>
      <c r="NCJ34" s="160"/>
      <c r="NCK34" s="160"/>
      <c r="NCL34" s="160"/>
      <c r="NCM34" s="160"/>
      <c r="NCN34" s="160"/>
      <c r="NCO34" s="160"/>
      <c r="NCP34" s="160"/>
      <c r="NCQ34" s="160"/>
      <c r="NCR34" s="160"/>
      <c r="NCS34" s="160"/>
      <c r="NCT34" s="160"/>
      <c r="NCU34" s="160"/>
      <c r="NCV34" s="160"/>
      <c r="NCW34" s="160"/>
      <c r="NCX34" s="160"/>
      <c r="NCY34" s="160"/>
      <c r="NCZ34" s="160"/>
      <c r="NDA34" s="160"/>
      <c r="NDB34" s="160"/>
      <c r="NDC34" s="160"/>
      <c r="NDD34" s="160"/>
      <c r="NDE34" s="160"/>
      <c r="NDF34" s="160"/>
      <c r="NDG34" s="160"/>
      <c r="NDH34" s="160"/>
      <c r="NDI34" s="160"/>
      <c r="NDJ34" s="160"/>
      <c r="NDK34" s="160"/>
      <c r="NDL34" s="160"/>
      <c r="NDM34" s="160"/>
      <c r="NDN34" s="160"/>
      <c r="NDO34" s="160"/>
      <c r="NDP34" s="160"/>
      <c r="NDQ34" s="160"/>
      <c r="NDR34" s="160"/>
      <c r="NDS34" s="160"/>
      <c r="NDT34" s="160"/>
      <c r="NDU34" s="160"/>
      <c r="NDV34" s="160"/>
      <c r="NDW34" s="160"/>
      <c r="NDX34" s="160"/>
      <c r="NDY34" s="160"/>
      <c r="NDZ34" s="160"/>
      <c r="NEA34" s="160"/>
      <c r="NEB34" s="160"/>
      <c r="NEC34" s="160"/>
      <c r="NED34" s="160"/>
      <c r="NEE34" s="160"/>
      <c r="NEF34" s="160"/>
      <c r="NEG34" s="160"/>
      <c r="NEH34" s="160"/>
      <c r="NEI34" s="160"/>
      <c r="NEJ34" s="160"/>
      <c r="NEK34" s="160"/>
      <c r="NEL34" s="160"/>
      <c r="NEM34" s="160"/>
      <c r="NEN34" s="160"/>
      <c r="NEO34" s="160"/>
      <c r="NEP34" s="160"/>
      <c r="NEQ34" s="160"/>
      <c r="NER34" s="160"/>
      <c r="NES34" s="160"/>
      <c r="NET34" s="160"/>
      <c r="NEU34" s="160"/>
      <c r="NEV34" s="160"/>
      <c r="NEW34" s="160"/>
      <c r="NEX34" s="160"/>
      <c r="NEY34" s="160"/>
      <c r="NEZ34" s="160"/>
      <c r="NFA34" s="160"/>
      <c r="NFB34" s="160"/>
      <c r="NFC34" s="160"/>
      <c r="NFD34" s="160"/>
      <c r="NFE34" s="160"/>
      <c r="NFF34" s="160"/>
      <c r="NFG34" s="160"/>
      <c r="NFH34" s="160"/>
      <c r="NFI34" s="160"/>
      <c r="NFJ34" s="160"/>
      <c r="NFK34" s="160"/>
      <c r="NFL34" s="160"/>
      <c r="NFM34" s="160"/>
      <c r="NFN34" s="160"/>
      <c r="NFO34" s="160"/>
      <c r="NFP34" s="160"/>
      <c r="NFQ34" s="160"/>
      <c r="NFR34" s="160"/>
      <c r="NFS34" s="160"/>
      <c r="NFT34" s="160"/>
      <c r="NFU34" s="160"/>
      <c r="NFV34" s="160"/>
      <c r="NFW34" s="160"/>
      <c r="NFX34" s="160"/>
      <c r="NFY34" s="160"/>
      <c r="NFZ34" s="160"/>
      <c r="NGA34" s="160"/>
      <c r="NGB34" s="160"/>
      <c r="NGC34" s="160"/>
      <c r="NGD34" s="160"/>
      <c r="NGE34" s="160"/>
      <c r="NGF34" s="160"/>
      <c r="NGG34" s="160"/>
      <c r="NGH34" s="160"/>
      <c r="NGI34" s="160"/>
      <c r="NGJ34" s="160"/>
      <c r="NGK34" s="160"/>
      <c r="NGL34" s="160"/>
      <c r="NGM34" s="160"/>
      <c r="NGN34" s="160"/>
      <c r="NGO34" s="160"/>
      <c r="NGP34" s="160"/>
      <c r="NGQ34" s="160"/>
      <c r="NGR34" s="160"/>
      <c r="NGS34" s="160"/>
      <c r="NGT34" s="160"/>
      <c r="NGU34" s="160"/>
      <c r="NGV34" s="160"/>
      <c r="NGW34" s="160"/>
      <c r="NGX34" s="160"/>
      <c r="NGY34" s="160"/>
      <c r="NGZ34" s="160"/>
      <c r="NHA34" s="160"/>
      <c r="NHB34" s="160"/>
      <c r="NHC34" s="160"/>
      <c r="NHD34" s="160"/>
      <c r="NHE34" s="160"/>
      <c r="NHF34" s="160"/>
      <c r="NHG34" s="160"/>
      <c r="NHH34" s="160"/>
      <c r="NHI34" s="160"/>
      <c r="NHJ34" s="160"/>
      <c r="NHK34" s="160"/>
      <c r="NHL34" s="160"/>
      <c r="NHM34" s="160"/>
      <c r="NHN34" s="160"/>
      <c r="NHO34" s="160"/>
      <c r="NHP34" s="160"/>
      <c r="NHQ34" s="160"/>
      <c r="NHR34" s="160"/>
      <c r="NHS34" s="160"/>
      <c r="NHT34" s="160"/>
      <c r="NHU34" s="160"/>
      <c r="NHV34" s="160"/>
      <c r="NHW34" s="160"/>
      <c r="NHX34" s="160"/>
      <c r="NHY34" s="160"/>
      <c r="NHZ34" s="160"/>
      <c r="NIA34" s="160"/>
      <c r="NIB34" s="160"/>
      <c r="NIC34" s="160"/>
      <c r="NID34" s="160"/>
      <c r="NIE34" s="160"/>
      <c r="NIF34" s="160"/>
      <c r="NIG34" s="160"/>
      <c r="NIH34" s="160"/>
      <c r="NII34" s="160"/>
      <c r="NIJ34" s="160"/>
      <c r="NIK34" s="160"/>
      <c r="NIL34" s="160"/>
      <c r="NIM34" s="160"/>
      <c r="NIN34" s="160"/>
      <c r="NIO34" s="160"/>
      <c r="NIP34" s="160"/>
      <c r="NIQ34" s="160"/>
      <c r="NIR34" s="160"/>
      <c r="NIS34" s="160"/>
      <c r="NIT34" s="160"/>
      <c r="NIU34" s="160"/>
      <c r="NIV34" s="160"/>
      <c r="NIW34" s="160"/>
      <c r="NIX34" s="160"/>
      <c r="NIY34" s="160"/>
      <c r="NIZ34" s="160"/>
      <c r="NJA34" s="160"/>
      <c r="NJB34" s="160"/>
      <c r="NJC34" s="160"/>
      <c r="NJD34" s="160"/>
      <c r="NJE34" s="160"/>
      <c r="NJF34" s="160"/>
      <c r="NJG34" s="160"/>
      <c r="NJM34" s="160"/>
      <c r="NJN34" s="160"/>
      <c r="NJO34" s="160"/>
      <c r="NJP34" s="160"/>
      <c r="NJQ34" s="160"/>
      <c r="NJR34" s="160"/>
      <c r="NJS34" s="160"/>
      <c r="NJT34" s="160"/>
      <c r="NJU34" s="160"/>
      <c r="NJV34" s="160"/>
      <c r="NJW34" s="160"/>
      <c r="NJX34" s="160"/>
      <c r="NJY34" s="160"/>
      <c r="NJZ34" s="160"/>
      <c r="NKA34" s="160"/>
      <c r="NKB34" s="160"/>
      <c r="NKC34" s="160"/>
      <c r="NKD34" s="160"/>
      <c r="NKE34" s="160"/>
      <c r="NKF34" s="160"/>
      <c r="NKG34" s="160"/>
      <c r="NKH34" s="160"/>
      <c r="NKI34" s="160"/>
      <c r="NKJ34" s="160"/>
      <c r="NKK34" s="160"/>
      <c r="NKL34" s="160"/>
      <c r="NKM34" s="160"/>
      <c r="NKN34" s="160"/>
      <c r="NKO34" s="160"/>
      <c r="NKP34" s="160"/>
      <c r="NKQ34" s="160"/>
      <c r="NKR34" s="160"/>
      <c r="NKS34" s="160"/>
      <c r="NKT34" s="160"/>
      <c r="NKU34" s="160"/>
      <c r="NKV34" s="160"/>
      <c r="NKW34" s="160"/>
      <c r="NKX34" s="160"/>
      <c r="NKY34" s="160"/>
      <c r="NKZ34" s="160"/>
      <c r="NLA34" s="160"/>
      <c r="NLB34" s="160"/>
      <c r="NLC34" s="160"/>
      <c r="NLD34" s="160"/>
      <c r="NLE34" s="160"/>
      <c r="NLF34" s="160"/>
      <c r="NLG34" s="160"/>
      <c r="NLH34" s="160"/>
      <c r="NLI34" s="160"/>
      <c r="NLJ34" s="160"/>
      <c r="NLK34" s="160"/>
      <c r="NLL34" s="160"/>
      <c r="NLM34" s="160"/>
      <c r="NLN34" s="160"/>
      <c r="NLO34" s="160"/>
      <c r="NLP34" s="160"/>
      <c r="NLQ34" s="160"/>
      <c r="NLR34" s="160"/>
      <c r="NLS34" s="160"/>
      <c r="NLT34" s="160"/>
      <c r="NLU34" s="160"/>
      <c r="NLV34" s="160"/>
      <c r="NLW34" s="160"/>
      <c r="NLX34" s="160"/>
      <c r="NLY34" s="160"/>
      <c r="NLZ34" s="160"/>
      <c r="NMA34" s="160"/>
      <c r="NMB34" s="160"/>
      <c r="NMC34" s="160"/>
      <c r="NMD34" s="160"/>
      <c r="NME34" s="160"/>
      <c r="NMF34" s="160"/>
      <c r="NMG34" s="160"/>
      <c r="NMH34" s="160"/>
      <c r="NMI34" s="160"/>
      <c r="NMJ34" s="160"/>
      <c r="NMK34" s="160"/>
      <c r="NML34" s="160"/>
      <c r="NMM34" s="160"/>
      <c r="NMN34" s="160"/>
      <c r="NMO34" s="160"/>
      <c r="NMP34" s="160"/>
      <c r="NMQ34" s="160"/>
      <c r="NMR34" s="160"/>
      <c r="NMS34" s="160"/>
      <c r="NMT34" s="160"/>
      <c r="NMU34" s="160"/>
      <c r="NMV34" s="160"/>
      <c r="NMW34" s="160"/>
      <c r="NMX34" s="160"/>
      <c r="NMY34" s="160"/>
      <c r="NMZ34" s="160"/>
      <c r="NNA34" s="160"/>
      <c r="NNB34" s="160"/>
      <c r="NNC34" s="160"/>
      <c r="NND34" s="160"/>
      <c r="NNE34" s="160"/>
      <c r="NNF34" s="160"/>
      <c r="NNG34" s="160"/>
      <c r="NNH34" s="160"/>
      <c r="NNI34" s="160"/>
      <c r="NNJ34" s="160"/>
      <c r="NNK34" s="160"/>
      <c r="NNL34" s="160"/>
      <c r="NNM34" s="160"/>
      <c r="NNN34" s="160"/>
      <c r="NNO34" s="160"/>
      <c r="NNP34" s="160"/>
      <c r="NNQ34" s="160"/>
      <c r="NNR34" s="160"/>
      <c r="NNS34" s="160"/>
      <c r="NNT34" s="160"/>
      <c r="NNU34" s="160"/>
      <c r="NNV34" s="160"/>
      <c r="NNW34" s="160"/>
      <c r="NNX34" s="160"/>
      <c r="NNY34" s="160"/>
      <c r="NNZ34" s="160"/>
      <c r="NOA34" s="160"/>
      <c r="NOB34" s="160"/>
      <c r="NOC34" s="160"/>
      <c r="NOD34" s="160"/>
      <c r="NOE34" s="160"/>
      <c r="NOF34" s="160"/>
      <c r="NOG34" s="160"/>
      <c r="NOH34" s="160"/>
      <c r="NOI34" s="160"/>
      <c r="NOJ34" s="160"/>
      <c r="NOK34" s="160"/>
      <c r="NOL34" s="160"/>
      <c r="NOM34" s="160"/>
      <c r="NON34" s="160"/>
      <c r="NOO34" s="160"/>
      <c r="NOP34" s="160"/>
      <c r="NOQ34" s="160"/>
      <c r="NOR34" s="160"/>
      <c r="NOS34" s="160"/>
      <c r="NOT34" s="160"/>
      <c r="NOU34" s="160"/>
      <c r="NOV34" s="160"/>
      <c r="NOW34" s="160"/>
      <c r="NOX34" s="160"/>
      <c r="NOY34" s="160"/>
      <c r="NOZ34" s="160"/>
      <c r="NPA34" s="160"/>
      <c r="NPB34" s="160"/>
      <c r="NPC34" s="160"/>
      <c r="NPD34" s="160"/>
      <c r="NPE34" s="160"/>
      <c r="NPF34" s="160"/>
      <c r="NPG34" s="160"/>
      <c r="NPH34" s="160"/>
      <c r="NPI34" s="160"/>
      <c r="NPJ34" s="160"/>
      <c r="NPK34" s="160"/>
      <c r="NPL34" s="160"/>
      <c r="NPM34" s="160"/>
      <c r="NPN34" s="160"/>
      <c r="NPO34" s="160"/>
      <c r="NPP34" s="160"/>
      <c r="NPQ34" s="160"/>
      <c r="NPR34" s="160"/>
      <c r="NPS34" s="160"/>
      <c r="NPT34" s="160"/>
      <c r="NPU34" s="160"/>
      <c r="NPV34" s="160"/>
      <c r="NPW34" s="160"/>
      <c r="NPX34" s="160"/>
      <c r="NPY34" s="160"/>
      <c r="NPZ34" s="160"/>
      <c r="NQA34" s="160"/>
      <c r="NQB34" s="160"/>
      <c r="NQC34" s="160"/>
      <c r="NQD34" s="160"/>
      <c r="NQE34" s="160"/>
      <c r="NQF34" s="160"/>
      <c r="NQG34" s="160"/>
      <c r="NQH34" s="160"/>
      <c r="NQI34" s="160"/>
      <c r="NQJ34" s="160"/>
      <c r="NQK34" s="160"/>
      <c r="NQL34" s="160"/>
      <c r="NQM34" s="160"/>
      <c r="NQN34" s="160"/>
      <c r="NQO34" s="160"/>
      <c r="NQP34" s="160"/>
      <c r="NQQ34" s="160"/>
      <c r="NQR34" s="160"/>
      <c r="NQS34" s="160"/>
      <c r="NQT34" s="160"/>
      <c r="NQU34" s="160"/>
      <c r="NQV34" s="160"/>
      <c r="NQW34" s="160"/>
      <c r="NQX34" s="160"/>
      <c r="NQY34" s="160"/>
      <c r="NQZ34" s="160"/>
      <c r="NRA34" s="160"/>
      <c r="NRB34" s="160"/>
      <c r="NRC34" s="160"/>
      <c r="NRD34" s="160"/>
      <c r="NRE34" s="160"/>
      <c r="NRF34" s="160"/>
      <c r="NRG34" s="160"/>
      <c r="NRH34" s="160"/>
      <c r="NRI34" s="160"/>
      <c r="NRJ34" s="160"/>
      <c r="NRK34" s="160"/>
      <c r="NRL34" s="160"/>
      <c r="NRM34" s="160"/>
      <c r="NRN34" s="160"/>
      <c r="NRO34" s="160"/>
      <c r="NRP34" s="160"/>
      <c r="NRQ34" s="160"/>
      <c r="NRR34" s="160"/>
      <c r="NRS34" s="160"/>
      <c r="NRT34" s="160"/>
      <c r="NRU34" s="160"/>
      <c r="NRV34" s="160"/>
      <c r="NRW34" s="160"/>
      <c r="NRX34" s="160"/>
      <c r="NRY34" s="160"/>
      <c r="NRZ34" s="160"/>
      <c r="NSA34" s="160"/>
      <c r="NSB34" s="160"/>
      <c r="NSC34" s="160"/>
      <c r="NSD34" s="160"/>
      <c r="NSE34" s="160"/>
      <c r="NSF34" s="160"/>
      <c r="NSG34" s="160"/>
      <c r="NSH34" s="160"/>
      <c r="NSI34" s="160"/>
      <c r="NSJ34" s="160"/>
      <c r="NSK34" s="160"/>
      <c r="NSL34" s="160"/>
      <c r="NSM34" s="160"/>
      <c r="NSN34" s="160"/>
      <c r="NSO34" s="160"/>
      <c r="NSP34" s="160"/>
      <c r="NSQ34" s="160"/>
      <c r="NSR34" s="160"/>
      <c r="NSS34" s="160"/>
      <c r="NST34" s="160"/>
      <c r="NSU34" s="160"/>
      <c r="NSV34" s="160"/>
      <c r="NSW34" s="160"/>
      <c r="NSX34" s="160"/>
      <c r="NSY34" s="160"/>
      <c r="NSZ34" s="160"/>
      <c r="NTA34" s="160"/>
      <c r="NTB34" s="160"/>
      <c r="NTC34" s="160"/>
      <c r="NTI34" s="160"/>
      <c r="NTJ34" s="160"/>
      <c r="NTK34" s="160"/>
      <c r="NTL34" s="160"/>
      <c r="NTM34" s="160"/>
      <c r="NTN34" s="160"/>
      <c r="NTO34" s="160"/>
      <c r="NTP34" s="160"/>
      <c r="NTQ34" s="160"/>
      <c r="NTR34" s="160"/>
      <c r="NTS34" s="160"/>
      <c r="NTT34" s="160"/>
      <c r="NTU34" s="160"/>
      <c r="NTV34" s="160"/>
      <c r="NTW34" s="160"/>
      <c r="NTX34" s="160"/>
      <c r="NTY34" s="160"/>
      <c r="NTZ34" s="160"/>
      <c r="NUA34" s="160"/>
      <c r="NUB34" s="160"/>
      <c r="NUC34" s="160"/>
      <c r="NUD34" s="160"/>
      <c r="NUE34" s="160"/>
      <c r="NUF34" s="160"/>
      <c r="NUG34" s="160"/>
      <c r="NUH34" s="160"/>
      <c r="NUI34" s="160"/>
      <c r="NUJ34" s="160"/>
      <c r="NUK34" s="160"/>
      <c r="NUL34" s="160"/>
      <c r="NUM34" s="160"/>
      <c r="NUN34" s="160"/>
      <c r="NUO34" s="160"/>
      <c r="NUP34" s="160"/>
      <c r="NUQ34" s="160"/>
      <c r="NUR34" s="160"/>
      <c r="NUS34" s="160"/>
      <c r="NUT34" s="160"/>
      <c r="NUU34" s="160"/>
      <c r="NUV34" s="160"/>
      <c r="NUW34" s="160"/>
      <c r="NUX34" s="160"/>
      <c r="NUY34" s="160"/>
      <c r="NUZ34" s="160"/>
      <c r="NVA34" s="160"/>
      <c r="NVB34" s="160"/>
      <c r="NVC34" s="160"/>
      <c r="NVD34" s="160"/>
      <c r="NVE34" s="160"/>
      <c r="NVF34" s="160"/>
      <c r="NVG34" s="160"/>
      <c r="NVH34" s="160"/>
      <c r="NVI34" s="160"/>
      <c r="NVJ34" s="160"/>
      <c r="NVK34" s="160"/>
      <c r="NVL34" s="160"/>
      <c r="NVM34" s="160"/>
      <c r="NVN34" s="160"/>
      <c r="NVO34" s="160"/>
      <c r="NVP34" s="160"/>
      <c r="NVQ34" s="160"/>
      <c r="NVR34" s="160"/>
      <c r="NVS34" s="160"/>
      <c r="NVT34" s="160"/>
      <c r="NVU34" s="160"/>
      <c r="NVV34" s="160"/>
      <c r="NVW34" s="160"/>
      <c r="NVX34" s="160"/>
      <c r="NVY34" s="160"/>
      <c r="NVZ34" s="160"/>
      <c r="NWA34" s="160"/>
      <c r="NWB34" s="160"/>
      <c r="NWC34" s="160"/>
      <c r="NWD34" s="160"/>
      <c r="NWE34" s="160"/>
      <c r="NWF34" s="160"/>
      <c r="NWG34" s="160"/>
      <c r="NWH34" s="160"/>
      <c r="NWI34" s="160"/>
      <c r="NWJ34" s="160"/>
      <c r="NWK34" s="160"/>
      <c r="NWL34" s="160"/>
      <c r="NWM34" s="160"/>
      <c r="NWN34" s="160"/>
      <c r="NWO34" s="160"/>
      <c r="NWP34" s="160"/>
      <c r="NWQ34" s="160"/>
      <c r="NWR34" s="160"/>
      <c r="NWS34" s="160"/>
      <c r="NWT34" s="160"/>
      <c r="NWU34" s="160"/>
      <c r="NWV34" s="160"/>
      <c r="NWW34" s="160"/>
      <c r="NWX34" s="160"/>
      <c r="NWY34" s="160"/>
      <c r="NWZ34" s="160"/>
      <c r="NXA34" s="160"/>
      <c r="NXB34" s="160"/>
      <c r="NXC34" s="160"/>
      <c r="NXD34" s="160"/>
      <c r="NXE34" s="160"/>
      <c r="NXF34" s="160"/>
      <c r="NXG34" s="160"/>
      <c r="NXH34" s="160"/>
      <c r="NXI34" s="160"/>
      <c r="NXJ34" s="160"/>
      <c r="NXK34" s="160"/>
      <c r="NXL34" s="160"/>
      <c r="NXM34" s="160"/>
      <c r="NXN34" s="160"/>
      <c r="NXO34" s="160"/>
      <c r="NXP34" s="160"/>
      <c r="NXQ34" s="160"/>
      <c r="NXR34" s="160"/>
      <c r="NXS34" s="160"/>
      <c r="NXT34" s="160"/>
      <c r="NXU34" s="160"/>
      <c r="NXV34" s="160"/>
      <c r="NXW34" s="160"/>
      <c r="NXX34" s="160"/>
      <c r="NXY34" s="160"/>
      <c r="NXZ34" s="160"/>
      <c r="NYA34" s="160"/>
      <c r="NYB34" s="160"/>
      <c r="NYC34" s="160"/>
      <c r="NYD34" s="160"/>
      <c r="NYE34" s="160"/>
      <c r="NYF34" s="160"/>
      <c r="NYG34" s="160"/>
      <c r="NYH34" s="160"/>
      <c r="NYI34" s="160"/>
      <c r="NYJ34" s="160"/>
      <c r="NYK34" s="160"/>
      <c r="NYL34" s="160"/>
      <c r="NYM34" s="160"/>
      <c r="NYN34" s="160"/>
      <c r="NYO34" s="160"/>
      <c r="NYP34" s="160"/>
      <c r="NYQ34" s="160"/>
      <c r="NYR34" s="160"/>
      <c r="NYS34" s="160"/>
      <c r="NYT34" s="160"/>
      <c r="NYU34" s="160"/>
      <c r="NYV34" s="160"/>
      <c r="NYW34" s="160"/>
      <c r="NYX34" s="160"/>
      <c r="NYY34" s="160"/>
      <c r="NYZ34" s="160"/>
      <c r="NZA34" s="160"/>
      <c r="NZB34" s="160"/>
      <c r="NZC34" s="160"/>
      <c r="NZD34" s="160"/>
      <c r="NZE34" s="160"/>
      <c r="NZF34" s="160"/>
      <c r="NZG34" s="160"/>
      <c r="NZH34" s="160"/>
      <c r="NZI34" s="160"/>
      <c r="NZJ34" s="160"/>
      <c r="NZK34" s="160"/>
      <c r="NZL34" s="160"/>
      <c r="NZM34" s="160"/>
      <c r="NZN34" s="160"/>
      <c r="NZO34" s="160"/>
      <c r="NZP34" s="160"/>
      <c r="NZQ34" s="160"/>
      <c r="NZR34" s="160"/>
      <c r="NZS34" s="160"/>
      <c r="NZT34" s="160"/>
      <c r="NZU34" s="160"/>
      <c r="NZV34" s="160"/>
      <c r="NZW34" s="160"/>
      <c r="NZX34" s="160"/>
      <c r="NZY34" s="160"/>
      <c r="NZZ34" s="160"/>
      <c r="OAA34" s="160"/>
      <c r="OAB34" s="160"/>
      <c r="OAC34" s="160"/>
      <c r="OAD34" s="160"/>
      <c r="OAE34" s="160"/>
      <c r="OAF34" s="160"/>
      <c r="OAG34" s="160"/>
      <c r="OAH34" s="160"/>
      <c r="OAI34" s="160"/>
      <c r="OAJ34" s="160"/>
      <c r="OAK34" s="160"/>
      <c r="OAL34" s="160"/>
      <c r="OAM34" s="160"/>
      <c r="OAN34" s="160"/>
      <c r="OAO34" s="160"/>
      <c r="OAP34" s="160"/>
      <c r="OAQ34" s="160"/>
      <c r="OAR34" s="160"/>
      <c r="OAS34" s="160"/>
      <c r="OAT34" s="160"/>
      <c r="OAU34" s="160"/>
      <c r="OAV34" s="160"/>
      <c r="OAW34" s="160"/>
      <c r="OAX34" s="160"/>
      <c r="OAY34" s="160"/>
      <c r="OAZ34" s="160"/>
      <c r="OBA34" s="160"/>
      <c r="OBB34" s="160"/>
      <c r="OBC34" s="160"/>
      <c r="OBD34" s="160"/>
      <c r="OBE34" s="160"/>
      <c r="OBF34" s="160"/>
      <c r="OBG34" s="160"/>
      <c r="OBH34" s="160"/>
      <c r="OBI34" s="160"/>
      <c r="OBJ34" s="160"/>
      <c r="OBK34" s="160"/>
      <c r="OBL34" s="160"/>
      <c r="OBM34" s="160"/>
      <c r="OBN34" s="160"/>
      <c r="OBO34" s="160"/>
      <c r="OBP34" s="160"/>
      <c r="OBQ34" s="160"/>
      <c r="OBR34" s="160"/>
      <c r="OBS34" s="160"/>
      <c r="OBT34" s="160"/>
      <c r="OBU34" s="160"/>
      <c r="OBV34" s="160"/>
      <c r="OBW34" s="160"/>
      <c r="OBX34" s="160"/>
      <c r="OBY34" s="160"/>
      <c r="OBZ34" s="160"/>
      <c r="OCA34" s="160"/>
      <c r="OCB34" s="160"/>
      <c r="OCC34" s="160"/>
      <c r="OCD34" s="160"/>
      <c r="OCE34" s="160"/>
      <c r="OCF34" s="160"/>
      <c r="OCG34" s="160"/>
      <c r="OCH34" s="160"/>
      <c r="OCI34" s="160"/>
      <c r="OCJ34" s="160"/>
      <c r="OCK34" s="160"/>
      <c r="OCL34" s="160"/>
      <c r="OCM34" s="160"/>
      <c r="OCN34" s="160"/>
      <c r="OCO34" s="160"/>
      <c r="OCP34" s="160"/>
      <c r="OCQ34" s="160"/>
      <c r="OCR34" s="160"/>
      <c r="OCS34" s="160"/>
      <c r="OCT34" s="160"/>
      <c r="OCU34" s="160"/>
      <c r="OCV34" s="160"/>
      <c r="OCW34" s="160"/>
      <c r="OCX34" s="160"/>
      <c r="OCY34" s="160"/>
      <c r="ODE34" s="160"/>
      <c r="ODF34" s="160"/>
      <c r="ODG34" s="160"/>
      <c r="ODH34" s="160"/>
      <c r="ODI34" s="160"/>
      <c r="ODJ34" s="160"/>
      <c r="ODK34" s="160"/>
      <c r="ODL34" s="160"/>
      <c r="ODM34" s="160"/>
      <c r="ODN34" s="160"/>
      <c r="ODO34" s="160"/>
      <c r="ODP34" s="160"/>
      <c r="ODQ34" s="160"/>
      <c r="ODR34" s="160"/>
      <c r="ODS34" s="160"/>
      <c r="ODT34" s="160"/>
      <c r="ODU34" s="160"/>
      <c r="ODV34" s="160"/>
      <c r="ODW34" s="160"/>
      <c r="ODX34" s="160"/>
      <c r="ODY34" s="160"/>
      <c r="ODZ34" s="160"/>
      <c r="OEA34" s="160"/>
      <c r="OEB34" s="160"/>
      <c r="OEC34" s="160"/>
      <c r="OED34" s="160"/>
      <c r="OEE34" s="160"/>
      <c r="OEF34" s="160"/>
      <c r="OEG34" s="160"/>
      <c r="OEH34" s="160"/>
      <c r="OEI34" s="160"/>
      <c r="OEJ34" s="160"/>
      <c r="OEK34" s="160"/>
      <c r="OEL34" s="160"/>
      <c r="OEM34" s="160"/>
      <c r="OEN34" s="160"/>
      <c r="OEO34" s="160"/>
      <c r="OEP34" s="160"/>
      <c r="OEQ34" s="160"/>
      <c r="OER34" s="160"/>
      <c r="OES34" s="160"/>
      <c r="OET34" s="160"/>
      <c r="OEU34" s="160"/>
      <c r="OEV34" s="160"/>
      <c r="OEW34" s="160"/>
      <c r="OEX34" s="160"/>
      <c r="OEY34" s="160"/>
      <c r="OEZ34" s="160"/>
      <c r="OFA34" s="160"/>
      <c r="OFB34" s="160"/>
      <c r="OFC34" s="160"/>
      <c r="OFD34" s="160"/>
      <c r="OFE34" s="160"/>
      <c r="OFF34" s="160"/>
      <c r="OFG34" s="160"/>
      <c r="OFH34" s="160"/>
      <c r="OFI34" s="160"/>
      <c r="OFJ34" s="160"/>
      <c r="OFK34" s="160"/>
      <c r="OFL34" s="160"/>
      <c r="OFM34" s="160"/>
      <c r="OFN34" s="160"/>
      <c r="OFO34" s="160"/>
      <c r="OFP34" s="160"/>
      <c r="OFQ34" s="160"/>
      <c r="OFR34" s="160"/>
      <c r="OFS34" s="160"/>
      <c r="OFT34" s="160"/>
      <c r="OFU34" s="160"/>
      <c r="OFV34" s="160"/>
      <c r="OFW34" s="160"/>
      <c r="OFX34" s="160"/>
      <c r="OFY34" s="160"/>
      <c r="OFZ34" s="160"/>
      <c r="OGA34" s="160"/>
      <c r="OGB34" s="160"/>
      <c r="OGC34" s="160"/>
      <c r="OGD34" s="160"/>
      <c r="OGE34" s="160"/>
      <c r="OGF34" s="160"/>
      <c r="OGG34" s="160"/>
      <c r="OGH34" s="160"/>
      <c r="OGI34" s="160"/>
      <c r="OGJ34" s="160"/>
      <c r="OGK34" s="160"/>
      <c r="OGL34" s="160"/>
      <c r="OGM34" s="160"/>
      <c r="OGN34" s="160"/>
      <c r="OGO34" s="160"/>
      <c r="OGP34" s="160"/>
      <c r="OGQ34" s="160"/>
      <c r="OGR34" s="160"/>
      <c r="OGS34" s="160"/>
      <c r="OGT34" s="160"/>
      <c r="OGU34" s="160"/>
      <c r="OGV34" s="160"/>
      <c r="OGW34" s="160"/>
      <c r="OGX34" s="160"/>
      <c r="OGY34" s="160"/>
      <c r="OGZ34" s="160"/>
      <c r="OHA34" s="160"/>
      <c r="OHB34" s="160"/>
      <c r="OHC34" s="160"/>
      <c r="OHD34" s="160"/>
      <c r="OHE34" s="160"/>
      <c r="OHF34" s="160"/>
      <c r="OHG34" s="160"/>
      <c r="OHH34" s="160"/>
      <c r="OHI34" s="160"/>
      <c r="OHJ34" s="160"/>
      <c r="OHK34" s="160"/>
      <c r="OHL34" s="160"/>
      <c r="OHM34" s="160"/>
      <c r="OHN34" s="160"/>
      <c r="OHO34" s="160"/>
      <c r="OHP34" s="160"/>
      <c r="OHQ34" s="160"/>
      <c r="OHR34" s="160"/>
      <c r="OHS34" s="160"/>
      <c r="OHT34" s="160"/>
      <c r="OHU34" s="160"/>
      <c r="OHV34" s="160"/>
      <c r="OHW34" s="160"/>
      <c r="OHX34" s="160"/>
      <c r="OHY34" s="160"/>
      <c r="OHZ34" s="160"/>
      <c r="OIA34" s="160"/>
      <c r="OIB34" s="160"/>
      <c r="OIC34" s="160"/>
      <c r="OID34" s="160"/>
      <c r="OIE34" s="160"/>
      <c r="OIF34" s="160"/>
      <c r="OIG34" s="160"/>
      <c r="OIH34" s="160"/>
      <c r="OII34" s="160"/>
      <c r="OIJ34" s="160"/>
      <c r="OIK34" s="160"/>
      <c r="OIL34" s="160"/>
      <c r="OIM34" s="160"/>
      <c r="OIN34" s="160"/>
      <c r="OIO34" s="160"/>
      <c r="OIP34" s="160"/>
      <c r="OIQ34" s="160"/>
      <c r="OIR34" s="160"/>
      <c r="OIS34" s="160"/>
      <c r="OIT34" s="160"/>
      <c r="OIU34" s="160"/>
      <c r="OIV34" s="160"/>
      <c r="OIW34" s="160"/>
      <c r="OIX34" s="160"/>
      <c r="OIY34" s="160"/>
      <c r="OIZ34" s="160"/>
      <c r="OJA34" s="160"/>
      <c r="OJB34" s="160"/>
      <c r="OJC34" s="160"/>
      <c r="OJD34" s="160"/>
      <c r="OJE34" s="160"/>
      <c r="OJF34" s="160"/>
      <c r="OJG34" s="160"/>
      <c r="OJH34" s="160"/>
      <c r="OJI34" s="160"/>
      <c r="OJJ34" s="160"/>
      <c r="OJK34" s="160"/>
      <c r="OJL34" s="160"/>
      <c r="OJM34" s="160"/>
      <c r="OJN34" s="160"/>
      <c r="OJO34" s="160"/>
      <c r="OJP34" s="160"/>
      <c r="OJQ34" s="160"/>
      <c r="OJR34" s="160"/>
      <c r="OJS34" s="160"/>
      <c r="OJT34" s="160"/>
      <c r="OJU34" s="160"/>
      <c r="OJV34" s="160"/>
      <c r="OJW34" s="160"/>
      <c r="OJX34" s="160"/>
      <c r="OJY34" s="160"/>
      <c r="OJZ34" s="160"/>
      <c r="OKA34" s="160"/>
      <c r="OKB34" s="160"/>
      <c r="OKC34" s="160"/>
      <c r="OKD34" s="160"/>
      <c r="OKE34" s="160"/>
      <c r="OKF34" s="160"/>
      <c r="OKG34" s="160"/>
      <c r="OKH34" s="160"/>
      <c r="OKI34" s="160"/>
      <c r="OKJ34" s="160"/>
      <c r="OKK34" s="160"/>
      <c r="OKL34" s="160"/>
      <c r="OKM34" s="160"/>
      <c r="OKN34" s="160"/>
      <c r="OKO34" s="160"/>
      <c r="OKP34" s="160"/>
      <c r="OKQ34" s="160"/>
      <c r="OKR34" s="160"/>
      <c r="OKS34" s="160"/>
      <c r="OKT34" s="160"/>
      <c r="OKU34" s="160"/>
      <c r="OKV34" s="160"/>
      <c r="OKW34" s="160"/>
      <c r="OKX34" s="160"/>
      <c r="OKY34" s="160"/>
      <c r="OKZ34" s="160"/>
      <c r="OLA34" s="160"/>
      <c r="OLB34" s="160"/>
      <c r="OLC34" s="160"/>
      <c r="OLD34" s="160"/>
      <c r="OLE34" s="160"/>
      <c r="OLF34" s="160"/>
      <c r="OLG34" s="160"/>
      <c r="OLH34" s="160"/>
      <c r="OLI34" s="160"/>
      <c r="OLJ34" s="160"/>
      <c r="OLK34" s="160"/>
      <c r="OLL34" s="160"/>
      <c r="OLM34" s="160"/>
      <c r="OLN34" s="160"/>
      <c r="OLO34" s="160"/>
      <c r="OLP34" s="160"/>
      <c r="OLQ34" s="160"/>
      <c r="OLR34" s="160"/>
      <c r="OLS34" s="160"/>
      <c r="OLT34" s="160"/>
      <c r="OLU34" s="160"/>
      <c r="OLV34" s="160"/>
      <c r="OLW34" s="160"/>
      <c r="OLX34" s="160"/>
      <c r="OLY34" s="160"/>
      <c r="OLZ34" s="160"/>
      <c r="OMA34" s="160"/>
      <c r="OMB34" s="160"/>
      <c r="OMC34" s="160"/>
      <c r="OMD34" s="160"/>
      <c r="OME34" s="160"/>
      <c r="OMF34" s="160"/>
      <c r="OMG34" s="160"/>
      <c r="OMH34" s="160"/>
      <c r="OMI34" s="160"/>
      <c r="OMJ34" s="160"/>
      <c r="OMK34" s="160"/>
      <c r="OML34" s="160"/>
      <c r="OMM34" s="160"/>
      <c r="OMN34" s="160"/>
      <c r="OMO34" s="160"/>
      <c r="OMP34" s="160"/>
      <c r="OMQ34" s="160"/>
      <c r="OMR34" s="160"/>
      <c r="OMS34" s="160"/>
      <c r="OMT34" s="160"/>
      <c r="OMU34" s="160"/>
      <c r="ONA34" s="160"/>
      <c r="ONB34" s="160"/>
      <c r="ONC34" s="160"/>
      <c r="OND34" s="160"/>
      <c r="ONE34" s="160"/>
      <c r="ONF34" s="160"/>
      <c r="ONG34" s="160"/>
      <c r="ONH34" s="160"/>
      <c r="ONI34" s="160"/>
      <c r="ONJ34" s="160"/>
      <c r="ONK34" s="160"/>
      <c r="ONL34" s="160"/>
      <c r="ONM34" s="160"/>
      <c r="ONN34" s="160"/>
      <c r="ONO34" s="160"/>
      <c r="ONP34" s="160"/>
      <c r="ONQ34" s="160"/>
      <c r="ONR34" s="160"/>
      <c r="ONS34" s="160"/>
      <c r="ONT34" s="160"/>
      <c r="ONU34" s="160"/>
      <c r="ONV34" s="160"/>
      <c r="ONW34" s="160"/>
      <c r="ONX34" s="160"/>
      <c r="ONY34" s="160"/>
      <c r="ONZ34" s="160"/>
      <c r="OOA34" s="160"/>
      <c r="OOB34" s="160"/>
      <c r="OOC34" s="160"/>
      <c r="OOD34" s="160"/>
      <c r="OOE34" s="160"/>
      <c r="OOF34" s="160"/>
      <c r="OOG34" s="160"/>
      <c r="OOH34" s="160"/>
      <c r="OOI34" s="160"/>
      <c r="OOJ34" s="160"/>
      <c r="OOK34" s="160"/>
      <c r="OOL34" s="160"/>
      <c r="OOM34" s="160"/>
      <c r="OON34" s="160"/>
      <c r="OOO34" s="160"/>
      <c r="OOP34" s="160"/>
      <c r="OOQ34" s="160"/>
      <c r="OOR34" s="160"/>
      <c r="OOS34" s="160"/>
      <c r="OOT34" s="160"/>
      <c r="OOU34" s="160"/>
      <c r="OOV34" s="160"/>
      <c r="OOW34" s="160"/>
      <c r="OOX34" s="160"/>
      <c r="OOY34" s="160"/>
      <c r="OOZ34" s="160"/>
      <c r="OPA34" s="160"/>
      <c r="OPB34" s="160"/>
      <c r="OPC34" s="160"/>
      <c r="OPD34" s="160"/>
      <c r="OPE34" s="160"/>
      <c r="OPF34" s="160"/>
      <c r="OPG34" s="160"/>
      <c r="OPH34" s="160"/>
      <c r="OPI34" s="160"/>
      <c r="OPJ34" s="160"/>
      <c r="OPK34" s="160"/>
      <c r="OPL34" s="160"/>
      <c r="OPM34" s="160"/>
      <c r="OPN34" s="160"/>
      <c r="OPO34" s="160"/>
      <c r="OPP34" s="160"/>
      <c r="OPQ34" s="160"/>
      <c r="OPR34" s="160"/>
      <c r="OPS34" s="160"/>
      <c r="OPT34" s="160"/>
      <c r="OPU34" s="160"/>
      <c r="OPV34" s="160"/>
      <c r="OPW34" s="160"/>
      <c r="OPX34" s="160"/>
      <c r="OPY34" s="160"/>
      <c r="OPZ34" s="160"/>
      <c r="OQA34" s="160"/>
      <c r="OQB34" s="160"/>
      <c r="OQC34" s="160"/>
      <c r="OQD34" s="160"/>
      <c r="OQE34" s="160"/>
      <c r="OQF34" s="160"/>
      <c r="OQG34" s="160"/>
      <c r="OQH34" s="160"/>
      <c r="OQI34" s="160"/>
      <c r="OQJ34" s="160"/>
      <c r="OQK34" s="160"/>
      <c r="OQL34" s="160"/>
      <c r="OQM34" s="160"/>
      <c r="OQN34" s="160"/>
      <c r="OQO34" s="160"/>
      <c r="OQP34" s="160"/>
      <c r="OQQ34" s="160"/>
      <c r="OQR34" s="160"/>
      <c r="OQS34" s="160"/>
      <c r="OQT34" s="160"/>
      <c r="OQU34" s="160"/>
      <c r="OQV34" s="160"/>
      <c r="OQW34" s="160"/>
      <c r="OQX34" s="160"/>
      <c r="OQY34" s="160"/>
      <c r="OQZ34" s="160"/>
      <c r="ORA34" s="160"/>
      <c r="ORB34" s="160"/>
      <c r="ORC34" s="160"/>
      <c r="ORD34" s="160"/>
      <c r="ORE34" s="160"/>
      <c r="ORF34" s="160"/>
      <c r="ORG34" s="160"/>
      <c r="ORH34" s="160"/>
      <c r="ORI34" s="160"/>
      <c r="ORJ34" s="160"/>
      <c r="ORK34" s="160"/>
      <c r="ORL34" s="160"/>
      <c r="ORM34" s="160"/>
      <c r="ORN34" s="160"/>
      <c r="ORO34" s="160"/>
      <c r="ORP34" s="160"/>
      <c r="ORQ34" s="160"/>
      <c r="ORR34" s="160"/>
      <c r="ORS34" s="160"/>
      <c r="ORT34" s="160"/>
      <c r="ORU34" s="160"/>
      <c r="ORV34" s="160"/>
      <c r="ORW34" s="160"/>
      <c r="ORX34" s="160"/>
      <c r="ORY34" s="160"/>
      <c r="ORZ34" s="160"/>
      <c r="OSA34" s="160"/>
      <c r="OSB34" s="160"/>
      <c r="OSC34" s="160"/>
      <c r="OSD34" s="160"/>
      <c r="OSE34" s="160"/>
      <c r="OSF34" s="160"/>
      <c r="OSG34" s="160"/>
      <c r="OSH34" s="160"/>
      <c r="OSI34" s="160"/>
      <c r="OSJ34" s="160"/>
      <c r="OSK34" s="160"/>
      <c r="OSL34" s="160"/>
      <c r="OSM34" s="160"/>
      <c r="OSN34" s="160"/>
      <c r="OSO34" s="160"/>
      <c r="OSP34" s="160"/>
      <c r="OSQ34" s="160"/>
      <c r="OSR34" s="160"/>
      <c r="OSS34" s="160"/>
      <c r="OST34" s="160"/>
      <c r="OSU34" s="160"/>
      <c r="OSV34" s="160"/>
      <c r="OSW34" s="160"/>
      <c r="OSX34" s="160"/>
      <c r="OSY34" s="160"/>
      <c r="OSZ34" s="160"/>
      <c r="OTA34" s="160"/>
      <c r="OTB34" s="160"/>
      <c r="OTC34" s="160"/>
      <c r="OTD34" s="160"/>
      <c r="OTE34" s="160"/>
      <c r="OTF34" s="160"/>
      <c r="OTG34" s="160"/>
      <c r="OTH34" s="160"/>
      <c r="OTI34" s="160"/>
      <c r="OTJ34" s="160"/>
      <c r="OTK34" s="160"/>
      <c r="OTL34" s="160"/>
      <c r="OTM34" s="160"/>
      <c r="OTN34" s="160"/>
      <c r="OTO34" s="160"/>
      <c r="OTP34" s="160"/>
      <c r="OTQ34" s="160"/>
      <c r="OTR34" s="160"/>
      <c r="OTS34" s="160"/>
      <c r="OTT34" s="160"/>
      <c r="OTU34" s="160"/>
      <c r="OTV34" s="160"/>
      <c r="OTW34" s="160"/>
      <c r="OTX34" s="160"/>
      <c r="OTY34" s="160"/>
      <c r="OTZ34" s="160"/>
      <c r="OUA34" s="160"/>
      <c r="OUB34" s="160"/>
      <c r="OUC34" s="160"/>
      <c r="OUD34" s="160"/>
      <c r="OUE34" s="160"/>
      <c r="OUF34" s="160"/>
      <c r="OUG34" s="160"/>
      <c r="OUH34" s="160"/>
      <c r="OUI34" s="160"/>
      <c r="OUJ34" s="160"/>
      <c r="OUK34" s="160"/>
      <c r="OUL34" s="160"/>
      <c r="OUM34" s="160"/>
      <c r="OUN34" s="160"/>
      <c r="OUO34" s="160"/>
      <c r="OUP34" s="160"/>
      <c r="OUQ34" s="160"/>
      <c r="OUR34" s="160"/>
      <c r="OUS34" s="160"/>
      <c r="OUT34" s="160"/>
      <c r="OUU34" s="160"/>
      <c r="OUV34" s="160"/>
      <c r="OUW34" s="160"/>
      <c r="OUX34" s="160"/>
      <c r="OUY34" s="160"/>
      <c r="OUZ34" s="160"/>
      <c r="OVA34" s="160"/>
      <c r="OVB34" s="160"/>
      <c r="OVC34" s="160"/>
      <c r="OVD34" s="160"/>
      <c r="OVE34" s="160"/>
      <c r="OVF34" s="160"/>
      <c r="OVG34" s="160"/>
      <c r="OVH34" s="160"/>
      <c r="OVI34" s="160"/>
      <c r="OVJ34" s="160"/>
      <c r="OVK34" s="160"/>
      <c r="OVL34" s="160"/>
      <c r="OVM34" s="160"/>
      <c r="OVN34" s="160"/>
      <c r="OVO34" s="160"/>
      <c r="OVP34" s="160"/>
      <c r="OVQ34" s="160"/>
      <c r="OVR34" s="160"/>
      <c r="OVS34" s="160"/>
      <c r="OVT34" s="160"/>
      <c r="OVU34" s="160"/>
      <c r="OVV34" s="160"/>
      <c r="OVW34" s="160"/>
      <c r="OVX34" s="160"/>
      <c r="OVY34" s="160"/>
      <c r="OVZ34" s="160"/>
      <c r="OWA34" s="160"/>
      <c r="OWB34" s="160"/>
      <c r="OWC34" s="160"/>
      <c r="OWD34" s="160"/>
      <c r="OWE34" s="160"/>
      <c r="OWF34" s="160"/>
      <c r="OWG34" s="160"/>
      <c r="OWH34" s="160"/>
      <c r="OWI34" s="160"/>
      <c r="OWJ34" s="160"/>
      <c r="OWK34" s="160"/>
      <c r="OWL34" s="160"/>
      <c r="OWM34" s="160"/>
      <c r="OWN34" s="160"/>
      <c r="OWO34" s="160"/>
      <c r="OWP34" s="160"/>
      <c r="OWQ34" s="160"/>
      <c r="OWW34" s="160"/>
      <c r="OWX34" s="160"/>
      <c r="OWY34" s="160"/>
      <c r="OWZ34" s="160"/>
      <c r="OXA34" s="160"/>
      <c r="OXB34" s="160"/>
      <c r="OXC34" s="160"/>
      <c r="OXD34" s="160"/>
      <c r="OXE34" s="160"/>
      <c r="OXF34" s="160"/>
      <c r="OXG34" s="160"/>
      <c r="OXH34" s="160"/>
      <c r="OXI34" s="160"/>
      <c r="OXJ34" s="160"/>
      <c r="OXK34" s="160"/>
      <c r="OXL34" s="160"/>
      <c r="OXM34" s="160"/>
      <c r="OXN34" s="160"/>
      <c r="OXO34" s="160"/>
      <c r="OXP34" s="160"/>
      <c r="OXQ34" s="160"/>
      <c r="OXR34" s="160"/>
      <c r="OXS34" s="160"/>
      <c r="OXT34" s="160"/>
      <c r="OXU34" s="160"/>
      <c r="OXV34" s="160"/>
      <c r="OXW34" s="160"/>
      <c r="OXX34" s="160"/>
      <c r="OXY34" s="160"/>
      <c r="OXZ34" s="160"/>
      <c r="OYA34" s="160"/>
      <c r="OYB34" s="160"/>
      <c r="OYC34" s="160"/>
      <c r="OYD34" s="160"/>
      <c r="OYE34" s="160"/>
      <c r="OYF34" s="160"/>
      <c r="OYG34" s="160"/>
      <c r="OYH34" s="160"/>
      <c r="OYI34" s="160"/>
      <c r="OYJ34" s="160"/>
      <c r="OYK34" s="160"/>
      <c r="OYL34" s="160"/>
      <c r="OYM34" s="160"/>
      <c r="OYN34" s="160"/>
      <c r="OYO34" s="160"/>
      <c r="OYP34" s="160"/>
      <c r="OYQ34" s="160"/>
      <c r="OYR34" s="160"/>
      <c r="OYS34" s="160"/>
      <c r="OYT34" s="160"/>
      <c r="OYU34" s="160"/>
      <c r="OYV34" s="160"/>
      <c r="OYW34" s="160"/>
      <c r="OYX34" s="160"/>
      <c r="OYY34" s="160"/>
      <c r="OYZ34" s="160"/>
      <c r="OZA34" s="160"/>
      <c r="OZB34" s="160"/>
      <c r="OZC34" s="160"/>
      <c r="OZD34" s="160"/>
      <c r="OZE34" s="160"/>
      <c r="OZF34" s="160"/>
      <c r="OZG34" s="160"/>
      <c r="OZH34" s="160"/>
      <c r="OZI34" s="160"/>
      <c r="OZJ34" s="160"/>
      <c r="OZK34" s="160"/>
      <c r="OZL34" s="160"/>
      <c r="OZM34" s="160"/>
      <c r="OZN34" s="160"/>
      <c r="OZO34" s="160"/>
      <c r="OZP34" s="160"/>
      <c r="OZQ34" s="160"/>
      <c r="OZR34" s="160"/>
      <c r="OZS34" s="160"/>
      <c r="OZT34" s="160"/>
      <c r="OZU34" s="160"/>
      <c r="OZV34" s="160"/>
      <c r="OZW34" s="160"/>
      <c r="OZX34" s="160"/>
      <c r="OZY34" s="160"/>
      <c r="OZZ34" s="160"/>
      <c r="PAA34" s="160"/>
      <c r="PAB34" s="160"/>
      <c r="PAC34" s="160"/>
      <c r="PAD34" s="160"/>
      <c r="PAE34" s="160"/>
      <c r="PAF34" s="160"/>
      <c r="PAG34" s="160"/>
      <c r="PAH34" s="160"/>
      <c r="PAI34" s="160"/>
      <c r="PAJ34" s="160"/>
      <c r="PAK34" s="160"/>
      <c r="PAL34" s="160"/>
      <c r="PAM34" s="160"/>
      <c r="PAN34" s="160"/>
      <c r="PAO34" s="160"/>
      <c r="PAP34" s="160"/>
      <c r="PAQ34" s="160"/>
      <c r="PAR34" s="160"/>
      <c r="PAS34" s="160"/>
      <c r="PAT34" s="160"/>
      <c r="PAU34" s="160"/>
      <c r="PAV34" s="160"/>
      <c r="PAW34" s="160"/>
      <c r="PAX34" s="160"/>
      <c r="PAY34" s="160"/>
      <c r="PAZ34" s="160"/>
      <c r="PBA34" s="160"/>
      <c r="PBB34" s="160"/>
      <c r="PBC34" s="160"/>
      <c r="PBD34" s="160"/>
      <c r="PBE34" s="160"/>
      <c r="PBF34" s="160"/>
      <c r="PBG34" s="160"/>
      <c r="PBH34" s="160"/>
      <c r="PBI34" s="160"/>
      <c r="PBJ34" s="160"/>
      <c r="PBK34" s="160"/>
      <c r="PBL34" s="160"/>
      <c r="PBM34" s="160"/>
      <c r="PBN34" s="160"/>
      <c r="PBO34" s="160"/>
      <c r="PBP34" s="160"/>
      <c r="PBQ34" s="160"/>
      <c r="PBR34" s="160"/>
      <c r="PBS34" s="160"/>
      <c r="PBT34" s="160"/>
      <c r="PBU34" s="160"/>
      <c r="PBV34" s="160"/>
      <c r="PBW34" s="160"/>
      <c r="PBX34" s="160"/>
      <c r="PBY34" s="160"/>
      <c r="PBZ34" s="160"/>
      <c r="PCA34" s="160"/>
      <c r="PCB34" s="160"/>
      <c r="PCC34" s="160"/>
      <c r="PCD34" s="160"/>
      <c r="PCE34" s="160"/>
      <c r="PCF34" s="160"/>
      <c r="PCG34" s="160"/>
      <c r="PCH34" s="160"/>
      <c r="PCI34" s="160"/>
      <c r="PCJ34" s="160"/>
      <c r="PCK34" s="160"/>
      <c r="PCL34" s="160"/>
      <c r="PCM34" s="160"/>
      <c r="PCN34" s="160"/>
      <c r="PCO34" s="160"/>
      <c r="PCP34" s="160"/>
      <c r="PCQ34" s="160"/>
      <c r="PCR34" s="160"/>
      <c r="PCS34" s="160"/>
      <c r="PCT34" s="160"/>
      <c r="PCU34" s="160"/>
      <c r="PCV34" s="160"/>
      <c r="PCW34" s="160"/>
      <c r="PCX34" s="160"/>
      <c r="PCY34" s="160"/>
      <c r="PCZ34" s="160"/>
      <c r="PDA34" s="160"/>
      <c r="PDB34" s="160"/>
      <c r="PDC34" s="160"/>
      <c r="PDD34" s="160"/>
      <c r="PDE34" s="160"/>
      <c r="PDF34" s="160"/>
      <c r="PDG34" s="160"/>
      <c r="PDH34" s="160"/>
      <c r="PDI34" s="160"/>
      <c r="PDJ34" s="160"/>
      <c r="PDK34" s="160"/>
      <c r="PDL34" s="160"/>
      <c r="PDM34" s="160"/>
      <c r="PDN34" s="160"/>
      <c r="PDO34" s="160"/>
      <c r="PDP34" s="160"/>
      <c r="PDQ34" s="160"/>
      <c r="PDR34" s="160"/>
      <c r="PDS34" s="160"/>
      <c r="PDT34" s="160"/>
      <c r="PDU34" s="160"/>
      <c r="PDV34" s="160"/>
      <c r="PDW34" s="160"/>
      <c r="PDX34" s="160"/>
      <c r="PDY34" s="160"/>
      <c r="PDZ34" s="160"/>
      <c r="PEA34" s="160"/>
      <c r="PEB34" s="160"/>
      <c r="PEC34" s="160"/>
      <c r="PED34" s="160"/>
      <c r="PEE34" s="160"/>
      <c r="PEF34" s="160"/>
      <c r="PEG34" s="160"/>
      <c r="PEH34" s="160"/>
      <c r="PEI34" s="160"/>
      <c r="PEJ34" s="160"/>
      <c r="PEK34" s="160"/>
      <c r="PEL34" s="160"/>
      <c r="PEM34" s="160"/>
      <c r="PEN34" s="160"/>
      <c r="PEO34" s="160"/>
      <c r="PEP34" s="160"/>
      <c r="PEQ34" s="160"/>
      <c r="PER34" s="160"/>
      <c r="PES34" s="160"/>
      <c r="PET34" s="160"/>
      <c r="PEU34" s="160"/>
      <c r="PEV34" s="160"/>
      <c r="PEW34" s="160"/>
      <c r="PEX34" s="160"/>
      <c r="PEY34" s="160"/>
      <c r="PEZ34" s="160"/>
      <c r="PFA34" s="160"/>
      <c r="PFB34" s="160"/>
      <c r="PFC34" s="160"/>
      <c r="PFD34" s="160"/>
      <c r="PFE34" s="160"/>
      <c r="PFF34" s="160"/>
      <c r="PFG34" s="160"/>
      <c r="PFH34" s="160"/>
      <c r="PFI34" s="160"/>
      <c r="PFJ34" s="160"/>
      <c r="PFK34" s="160"/>
      <c r="PFL34" s="160"/>
      <c r="PFM34" s="160"/>
      <c r="PFN34" s="160"/>
      <c r="PFO34" s="160"/>
      <c r="PFP34" s="160"/>
      <c r="PFQ34" s="160"/>
      <c r="PFR34" s="160"/>
      <c r="PFS34" s="160"/>
      <c r="PFT34" s="160"/>
      <c r="PFU34" s="160"/>
      <c r="PFV34" s="160"/>
      <c r="PFW34" s="160"/>
      <c r="PFX34" s="160"/>
      <c r="PFY34" s="160"/>
      <c r="PFZ34" s="160"/>
      <c r="PGA34" s="160"/>
      <c r="PGB34" s="160"/>
      <c r="PGC34" s="160"/>
      <c r="PGD34" s="160"/>
      <c r="PGE34" s="160"/>
      <c r="PGF34" s="160"/>
      <c r="PGG34" s="160"/>
      <c r="PGH34" s="160"/>
      <c r="PGI34" s="160"/>
      <c r="PGJ34" s="160"/>
      <c r="PGK34" s="160"/>
      <c r="PGL34" s="160"/>
      <c r="PGM34" s="160"/>
      <c r="PGS34" s="160"/>
      <c r="PGT34" s="160"/>
      <c r="PGU34" s="160"/>
      <c r="PGV34" s="160"/>
      <c r="PGW34" s="160"/>
      <c r="PGX34" s="160"/>
      <c r="PGY34" s="160"/>
      <c r="PGZ34" s="160"/>
      <c r="PHA34" s="160"/>
      <c r="PHB34" s="160"/>
      <c r="PHC34" s="160"/>
      <c r="PHD34" s="160"/>
      <c r="PHE34" s="160"/>
      <c r="PHF34" s="160"/>
      <c r="PHG34" s="160"/>
      <c r="PHH34" s="160"/>
      <c r="PHI34" s="160"/>
      <c r="PHJ34" s="160"/>
      <c r="PHK34" s="160"/>
      <c r="PHL34" s="160"/>
      <c r="PHM34" s="160"/>
      <c r="PHN34" s="160"/>
      <c r="PHO34" s="160"/>
      <c r="PHP34" s="160"/>
      <c r="PHQ34" s="160"/>
      <c r="PHR34" s="160"/>
      <c r="PHS34" s="160"/>
      <c r="PHT34" s="160"/>
      <c r="PHU34" s="160"/>
      <c r="PHV34" s="160"/>
      <c r="PHW34" s="160"/>
      <c r="PHX34" s="160"/>
      <c r="PHY34" s="160"/>
      <c r="PHZ34" s="160"/>
      <c r="PIA34" s="160"/>
      <c r="PIB34" s="160"/>
      <c r="PIC34" s="160"/>
      <c r="PID34" s="160"/>
      <c r="PIE34" s="160"/>
      <c r="PIF34" s="160"/>
      <c r="PIG34" s="160"/>
      <c r="PIH34" s="160"/>
      <c r="PII34" s="160"/>
      <c r="PIJ34" s="160"/>
      <c r="PIK34" s="160"/>
      <c r="PIL34" s="160"/>
      <c r="PIM34" s="160"/>
      <c r="PIN34" s="160"/>
      <c r="PIO34" s="160"/>
      <c r="PIP34" s="160"/>
      <c r="PIQ34" s="160"/>
      <c r="PIR34" s="160"/>
      <c r="PIS34" s="160"/>
      <c r="PIT34" s="160"/>
      <c r="PIU34" s="160"/>
      <c r="PIV34" s="160"/>
      <c r="PIW34" s="160"/>
      <c r="PIX34" s="160"/>
      <c r="PIY34" s="160"/>
      <c r="PIZ34" s="160"/>
      <c r="PJA34" s="160"/>
      <c r="PJB34" s="160"/>
      <c r="PJC34" s="160"/>
      <c r="PJD34" s="160"/>
      <c r="PJE34" s="160"/>
      <c r="PJF34" s="160"/>
      <c r="PJG34" s="160"/>
      <c r="PJH34" s="160"/>
      <c r="PJI34" s="160"/>
      <c r="PJJ34" s="160"/>
      <c r="PJK34" s="160"/>
      <c r="PJL34" s="160"/>
      <c r="PJM34" s="160"/>
      <c r="PJN34" s="160"/>
      <c r="PJO34" s="160"/>
      <c r="PJP34" s="160"/>
      <c r="PJQ34" s="160"/>
      <c r="PJR34" s="160"/>
      <c r="PJS34" s="160"/>
      <c r="PJT34" s="160"/>
      <c r="PJU34" s="160"/>
      <c r="PJV34" s="160"/>
      <c r="PJW34" s="160"/>
      <c r="PJX34" s="160"/>
      <c r="PJY34" s="160"/>
      <c r="PJZ34" s="160"/>
      <c r="PKA34" s="160"/>
      <c r="PKB34" s="160"/>
      <c r="PKC34" s="160"/>
      <c r="PKD34" s="160"/>
      <c r="PKE34" s="160"/>
      <c r="PKF34" s="160"/>
      <c r="PKG34" s="160"/>
      <c r="PKH34" s="160"/>
      <c r="PKI34" s="160"/>
      <c r="PKJ34" s="160"/>
      <c r="PKK34" s="160"/>
      <c r="PKL34" s="160"/>
      <c r="PKM34" s="160"/>
      <c r="PKN34" s="160"/>
      <c r="PKO34" s="160"/>
      <c r="PKP34" s="160"/>
      <c r="PKQ34" s="160"/>
      <c r="PKR34" s="160"/>
      <c r="PKS34" s="160"/>
      <c r="PKT34" s="160"/>
      <c r="PKU34" s="160"/>
      <c r="PKV34" s="160"/>
      <c r="PKW34" s="160"/>
      <c r="PKX34" s="160"/>
      <c r="PKY34" s="160"/>
      <c r="PKZ34" s="160"/>
      <c r="PLA34" s="160"/>
      <c r="PLB34" s="160"/>
      <c r="PLC34" s="160"/>
      <c r="PLD34" s="160"/>
      <c r="PLE34" s="160"/>
      <c r="PLF34" s="160"/>
      <c r="PLG34" s="160"/>
      <c r="PLH34" s="160"/>
      <c r="PLI34" s="160"/>
      <c r="PLJ34" s="160"/>
      <c r="PLK34" s="160"/>
      <c r="PLL34" s="160"/>
      <c r="PLM34" s="160"/>
      <c r="PLN34" s="160"/>
      <c r="PLO34" s="160"/>
      <c r="PLP34" s="160"/>
      <c r="PLQ34" s="160"/>
      <c r="PLR34" s="160"/>
      <c r="PLS34" s="160"/>
      <c r="PLT34" s="160"/>
      <c r="PLU34" s="160"/>
      <c r="PLV34" s="160"/>
      <c r="PLW34" s="160"/>
      <c r="PLX34" s="160"/>
      <c r="PLY34" s="160"/>
      <c r="PLZ34" s="160"/>
      <c r="PMA34" s="160"/>
      <c r="PMB34" s="160"/>
      <c r="PMC34" s="160"/>
      <c r="PMD34" s="160"/>
      <c r="PME34" s="160"/>
      <c r="PMF34" s="160"/>
      <c r="PMG34" s="160"/>
      <c r="PMH34" s="160"/>
      <c r="PMI34" s="160"/>
      <c r="PMJ34" s="160"/>
      <c r="PMK34" s="160"/>
      <c r="PML34" s="160"/>
      <c r="PMM34" s="160"/>
      <c r="PMN34" s="160"/>
      <c r="PMO34" s="160"/>
      <c r="PMP34" s="160"/>
      <c r="PMQ34" s="160"/>
      <c r="PMR34" s="160"/>
      <c r="PMS34" s="160"/>
      <c r="PMT34" s="160"/>
      <c r="PMU34" s="160"/>
      <c r="PMV34" s="160"/>
      <c r="PMW34" s="160"/>
      <c r="PMX34" s="160"/>
      <c r="PMY34" s="160"/>
      <c r="PMZ34" s="160"/>
      <c r="PNA34" s="160"/>
      <c r="PNB34" s="160"/>
      <c r="PNC34" s="160"/>
      <c r="PND34" s="160"/>
      <c r="PNE34" s="160"/>
      <c r="PNF34" s="160"/>
      <c r="PNG34" s="160"/>
      <c r="PNH34" s="160"/>
      <c r="PNI34" s="160"/>
      <c r="PNJ34" s="160"/>
      <c r="PNK34" s="160"/>
      <c r="PNL34" s="160"/>
      <c r="PNM34" s="160"/>
      <c r="PNN34" s="160"/>
      <c r="PNO34" s="160"/>
      <c r="PNP34" s="160"/>
      <c r="PNQ34" s="160"/>
      <c r="PNR34" s="160"/>
      <c r="PNS34" s="160"/>
      <c r="PNT34" s="160"/>
      <c r="PNU34" s="160"/>
      <c r="PNV34" s="160"/>
      <c r="PNW34" s="160"/>
      <c r="PNX34" s="160"/>
      <c r="PNY34" s="160"/>
      <c r="PNZ34" s="160"/>
      <c r="POA34" s="160"/>
      <c r="POB34" s="160"/>
      <c r="POC34" s="160"/>
      <c r="POD34" s="160"/>
      <c r="POE34" s="160"/>
      <c r="POF34" s="160"/>
      <c r="POG34" s="160"/>
      <c r="POH34" s="160"/>
      <c r="POI34" s="160"/>
      <c r="POJ34" s="160"/>
      <c r="POK34" s="160"/>
      <c r="POL34" s="160"/>
      <c r="POM34" s="160"/>
      <c r="PON34" s="160"/>
      <c r="POO34" s="160"/>
      <c r="POP34" s="160"/>
      <c r="POQ34" s="160"/>
      <c r="POR34" s="160"/>
      <c r="POS34" s="160"/>
      <c r="POT34" s="160"/>
      <c r="POU34" s="160"/>
      <c r="POV34" s="160"/>
      <c r="POW34" s="160"/>
      <c r="POX34" s="160"/>
      <c r="POY34" s="160"/>
      <c r="POZ34" s="160"/>
      <c r="PPA34" s="160"/>
      <c r="PPB34" s="160"/>
      <c r="PPC34" s="160"/>
      <c r="PPD34" s="160"/>
      <c r="PPE34" s="160"/>
      <c r="PPF34" s="160"/>
      <c r="PPG34" s="160"/>
      <c r="PPH34" s="160"/>
      <c r="PPI34" s="160"/>
      <c r="PPJ34" s="160"/>
      <c r="PPK34" s="160"/>
      <c r="PPL34" s="160"/>
      <c r="PPM34" s="160"/>
      <c r="PPN34" s="160"/>
      <c r="PPO34" s="160"/>
      <c r="PPP34" s="160"/>
      <c r="PPQ34" s="160"/>
      <c r="PPR34" s="160"/>
      <c r="PPS34" s="160"/>
      <c r="PPT34" s="160"/>
      <c r="PPU34" s="160"/>
      <c r="PPV34" s="160"/>
      <c r="PPW34" s="160"/>
      <c r="PPX34" s="160"/>
      <c r="PPY34" s="160"/>
      <c r="PPZ34" s="160"/>
      <c r="PQA34" s="160"/>
      <c r="PQB34" s="160"/>
      <c r="PQC34" s="160"/>
      <c r="PQD34" s="160"/>
      <c r="PQE34" s="160"/>
      <c r="PQF34" s="160"/>
      <c r="PQG34" s="160"/>
      <c r="PQH34" s="160"/>
      <c r="PQI34" s="160"/>
      <c r="PQO34" s="160"/>
      <c r="PQP34" s="160"/>
      <c r="PQQ34" s="160"/>
      <c r="PQR34" s="160"/>
      <c r="PQS34" s="160"/>
      <c r="PQT34" s="160"/>
      <c r="PQU34" s="160"/>
      <c r="PQV34" s="160"/>
      <c r="PQW34" s="160"/>
      <c r="PQX34" s="160"/>
      <c r="PQY34" s="160"/>
      <c r="PQZ34" s="160"/>
      <c r="PRA34" s="160"/>
      <c r="PRB34" s="160"/>
      <c r="PRC34" s="160"/>
      <c r="PRD34" s="160"/>
      <c r="PRE34" s="160"/>
      <c r="PRF34" s="160"/>
      <c r="PRG34" s="160"/>
      <c r="PRH34" s="160"/>
      <c r="PRI34" s="160"/>
      <c r="PRJ34" s="160"/>
      <c r="PRK34" s="160"/>
      <c r="PRL34" s="160"/>
      <c r="PRM34" s="160"/>
      <c r="PRN34" s="160"/>
      <c r="PRO34" s="160"/>
      <c r="PRP34" s="160"/>
      <c r="PRQ34" s="160"/>
      <c r="PRR34" s="160"/>
      <c r="PRS34" s="160"/>
      <c r="PRT34" s="160"/>
      <c r="PRU34" s="160"/>
      <c r="PRV34" s="160"/>
      <c r="PRW34" s="160"/>
      <c r="PRX34" s="160"/>
      <c r="PRY34" s="160"/>
      <c r="PRZ34" s="160"/>
      <c r="PSA34" s="160"/>
      <c r="PSB34" s="160"/>
      <c r="PSC34" s="160"/>
      <c r="PSD34" s="160"/>
      <c r="PSE34" s="160"/>
      <c r="PSF34" s="160"/>
      <c r="PSG34" s="160"/>
      <c r="PSH34" s="160"/>
      <c r="PSI34" s="160"/>
      <c r="PSJ34" s="160"/>
      <c r="PSK34" s="160"/>
      <c r="PSL34" s="160"/>
      <c r="PSM34" s="160"/>
      <c r="PSN34" s="160"/>
      <c r="PSO34" s="160"/>
      <c r="PSP34" s="160"/>
      <c r="PSQ34" s="160"/>
      <c r="PSR34" s="160"/>
      <c r="PSS34" s="160"/>
      <c r="PST34" s="160"/>
      <c r="PSU34" s="160"/>
      <c r="PSV34" s="160"/>
      <c r="PSW34" s="160"/>
      <c r="PSX34" s="160"/>
      <c r="PSY34" s="160"/>
      <c r="PSZ34" s="160"/>
      <c r="PTA34" s="160"/>
      <c r="PTB34" s="160"/>
      <c r="PTC34" s="160"/>
      <c r="PTD34" s="160"/>
      <c r="PTE34" s="160"/>
      <c r="PTF34" s="160"/>
      <c r="PTG34" s="160"/>
      <c r="PTH34" s="160"/>
      <c r="PTI34" s="160"/>
      <c r="PTJ34" s="160"/>
      <c r="PTK34" s="160"/>
      <c r="PTL34" s="160"/>
      <c r="PTM34" s="160"/>
      <c r="PTN34" s="160"/>
      <c r="PTO34" s="160"/>
      <c r="PTP34" s="160"/>
      <c r="PTQ34" s="160"/>
      <c r="PTR34" s="160"/>
      <c r="PTS34" s="160"/>
      <c r="PTT34" s="160"/>
      <c r="PTU34" s="160"/>
      <c r="PTV34" s="160"/>
      <c r="PTW34" s="160"/>
      <c r="PTX34" s="160"/>
      <c r="PTY34" s="160"/>
      <c r="PTZ34" s="160"/>
      <c r="PUA34" s="160"/>
      <c r="PUB34" s="160"/>
      <c r="PUC34" s="160"/>
      <c r="PUD34" s="160"/>
      <c r="PUE34" s="160"/>
      <c r="PUF34" s="160"/>
      <c r="PUG34" s="160"/>
      <c r="PUH34" s="160"/>
      <c r="PUI34" s="160"/>
      <c r="PUJ34" s="160"/>
      <c r="PUK34" s="160"/>
      <c r="PUL34" s="160"/>
      <c r="PUM34" s="160"/>
      <c r="PUN34" s="160"/>
      <c r="PUO34" s="160"/>
      <c r="PUP34" s="160"/>
      <c r="PUQ34" s="160"/>
      <c r="PUR34" s="160"/>
      <c r="PUS34" s="160"/>
      <c r="PUT34" s="160"/>
      <c r="PUU34" s="160"/>
      <c r="PUV34" s="160"/>
      <c r="PUW34" s="160"/>
      <c r="PUX34" s="160"/>
      <c r="PUY34" s="160"/>
      <c r="PUZ34" s="160"/>
      <c r="PVA34" s="160"/>
      <c r="PVB34" s="160"/>
      <c r="PVC34" s="160"/>
      <c r="PVD34" s="160"/>
      <c r="PVE34" s="160"/>
      <c r="PVF34" s="160"/>
      <c r="PVG34" s="160"/>
      <c r="PVH34" s="160"/>
      <c r="PVI34" s="160"/>
      <c r="PVJ34" s="160"/>
      <c r="PVK34" s="160"/>
      <c r="PVL34" s="160"/>
      <c r="PVM34" s="160"/>
      <c r="PVN34" s="160"/>
      <c r="PVO34" s="160"/>
      <c r="PVP34" s="160"/>
      <c r="PVQ34" s="160"/>
      <c r="PVR34" s="160"/>
      <c r="PVS34" s="160"/>
      <c r="PVT34" s="160"/>
      <c r="PVU34" s="160"/>
      <c r="PVV34" s="160"/>
      <c r="PVW34" s="160"/>
      <c r="PVX34" s="160"/>
      <c r="PVY34" s="160"/>
      <c r="PVZ34" s="160"/>
      <c r="PWA34" s="160"/>
      <c r="PWB34" s="160"/>
      <c r="PWC34" s="160"/>
      <c r="PWD34" s="160"/>
      <c r="PWE34" s="160"/>
      <c r="PWF34" s="160"/>
      <c r="PWG34" s="160"/>
      <c r="PWH34" s="160"/>
      <c r="PWI34" s="160"/>
      <c r="PWJ34" s="160"/>
      <c r="PWK34" s="160"/>
      <c r="PWL34" s="160"/>
      <c r="PWM34" s="160"/>
      <c r="PWN34" s="160"/>
      <c r="PWO34" s="160"/>
      <c r="PWP34" s="160"/>
      <c r="PWQ34" s="160"/>
      <c r="PWR34" s="160"/>
      <c r="PWS34" s="160"/>
      <c r="PWT34" s="160"/>
      <c r="PWU34" s="160"/>
      <c r="PWV34" s="160"/>
      <c r="PWW34" s="160"/>
      <c r="PWX34" s="160"/>
      <c r="PWY34" s="160"/>
      <c r="PWZ34" s="160"/>
      <c r="PXA34" s="160"/>
      <c r="PXB34" s="160"/>
      <c r="PXC34" s="160"/>
      <c r="PXD34" s="160"/>
      <c r="PXE34" s="160"/>
      <c r="PXF34" s="160"/>
      <c r="PXG34" s="160"/>
      <c r="PXH34" s="160"/>
      <c r="PXI34" s="160"/>
      <c r="PXJ34" s="160"/>
      <c r="PXK34" s="160"/>
      <c r="PXL34" s="160"/>
      <c r="PXM34" s="160"/>
      <c r="PXN34" s="160"/>
      <c r="PXO34" s="160"/>
      <c r="PXP34" s="160"/>
      <c r="PXQ34" s="160"/>
      <c r="PXR34" s="160"/>
      <c r="PXS34" s="160"/>
      <c r="PXT34" s="160"/>
      <c r="PXU34" s="160"/>
      <c r="PXV34" s="160"/>
      <c r="PXW34" s="160"/>
      <c r="PXX34" s="160"/>
      <c r="PXY34" s="160"/>
      <c r="PXZ34" s="160"/>
      <c r="PYA34" s="160"/>
      <c r="PYB34" s="160"/>
      <c r="PYC34" s="160"/>
      <c r="PYD34" s="160"/>
      <c r="PYE34" s="160"/>
      <c r="PYF34" s="160"/>
      <c r="PYG34" s="160"/>
      <c r="PYH34" s="160"/>
      <c r="PYI34" s="160"/>
      <c r="PYJ34" s="160"/>
      <c r="PYK34" s="160"/>
      <c r="PYL34" s="160"/>
      <c r="PYM34" s="160"/>
      <c r="PYN34" s="160"/>
      <c r="PYO34" s="160"/>
      <c r="PYP34" s="160"/>
      <c r="PYQ34" s="160"/>
      <c r="PYR34" s="160"/>
      <c r="PYS34" s="160"/>
      <c r="PYT34" s="160"/>
      <c r="PYU34" s="160"/>
      <c r="PYV34" s="160"/>
      <c r="PYW34" s="160"/>
      <c r="PYX34" s="160"/>
      <c r="PYY34" s="160"/>
      <c r="PYZ34" s="160"/>
      <c r="PZA34" s="160"/>
      <c r="PZB34" s="160"/>
      <c r="PZC34" s="160"/>
      <c r="PZD34" s="160"/>
      <c r="PZE34" s="160"/>
      <c r="PZF34" s="160"/>
      <c r="PZG34" s="160"/>
      <c r="PZH34" s="160"/>
      <c r="PZI34" s="160"/>
      <c r="PZJ34" s="160"/>
      <c r="PZK34" s="160"/>
      <c r="PZL34" s="160"/>
      <c r="PZM34" s="160"/>
      <c r="PZN34" s="160"/>
      <c r="PZO34" s="160"/>
      <c r="PZP34" s="160"/>
      <c r="PZQ34" s="160"/>
      <c r="PZR34" s="160"/>
      <c r="PZS34" s="160"/>
      <c r="PZT34" s="160"/>
      <c r="PZU34" s="160"/>
      <c r="PZV34" s="160"/>
      <c r="PZW34" s="160"/>
      <c r="PZX34" s="160"/>
      <c r="PZY34" s="160"/>
      <c r="PZZ34" s="160"/>
      <c r="QAA34" s="160"/>
      <c r="QAB34" s="160"/>
      <c r="QAC34" s="160"/>
      <c r="QAD34" s="160"/>
      <c r="QAE34" s="160"/>
      <c r="QAK34" s="160"/>
      <c r="QAL34" s="160"/>
      <c r="QAM34" s="160"/>
      <c r="QAN34" s="160"/>
      <c r="QAO34" s="160"/>
      <c r="QAP34" s="160"/>
      <c r="QAQ34" s="160"/>
      <c r="QAR34" s="160"/>
      <c r="QAS34" s="160"/>
      <c r="QAT34" s="160"/>
      <c r="QAU34" s="160"/>
      <c r="QAV34" s="160"/>
      <c r="QAW34" s="160"/>
      <c r="QAX34" s="160"/>
      <c r="QAY34" s="160"/>
      <c r="QAZ34" s="160"/>
      <c r="QBA34" s="160"/>
      <c r="QBB34" s="160"/>
      <c r="QBC34" s="160"/>
      <c r="QBD34" s="160"/>
      <c r="QBE34" s="160"/>
      <c r="QBF34" s="160"/>
      <c r="QBG34" s="160"/>
      <c r="QBH34" s="160"/>
      <c r="QBI34" s="160"/>
      <c r="QBJ34" s="160"/>
      <c r="QBK34" s="160"/>
      <c r="QBL34" s="160"/>
      <c r="QBM34" s="160"/>
      <c r="QBN34" s="160"/>
      <c r="QBO34" s="160"/>
      <c r="QBP34" s="160"/>
      <c r="QBQ34" s="160"/>
      <c r="QBR34" s="160"/>
      <c r="QBS34" s="160"/>
      <c r="QBT34" s="160"/>
      <c r="QBU34" s="160"/>
      <c r="QBV34" s="160"/>
      <c r="QBW34" s="160"/>
      <c r="QBX34" s="160"/>
      <c r="QBY34" s="160"/>
      <c r="QBZ34" s="160"/>
      <c r="QCA34" s="160"/>
      <c r="QCB34" s="160"/>
      <c r="QCC34" s="160"/>
      <c r="QCD34" s="160"/>
      <c r="QCE34" s="160"/>
      <c r="QCF34" s="160"/>
      <c r="QCG34" s="160"/>
      <c r="QCH34" s="160"/>
      <c r="QCI34" s="160"/>
      <c r="QCJ34" s="160"/>
      <c r="QCK34" s="160"/>
      <c r="QCL34" s="160"/>
      <c r="QCM34" s="160"/>
      <c r="QCN34" s="160"/>
      <c r="QCO34" s="160"/>
      <c r="QCP34" s="160"/>
      <c r="QCQ34" s="160"/>
      <c r="QCR34" s="160"/>
      <c r="QCS34" s="160"/>
      <c r="QCT34" s="160"/>
      <c r="QCU34" s="160"/>
      <c r="QCV34" s="160"/>
      <c r="QCW34" s="160"/>
      <c r="QCX34" s="160"/>
      <c r="QCY34" s="160"/>
      <c r="QCZ34" s="160"/>
      <c r="QDA34" s="160"/>
      <c r="QDB34" s="160"/>
      <c r="QDC34" s="160"/>
      <c r="QDD34" s="160"/>
      <c r="QDE34" s="160"/>
      <c r="QDF34" s="160"/>
      <c r="QDG34" s="160"/>
      <c r="QDH34" s="160"/>
      <c r="QDI34" s="160"/>
      <c r="QDJ34" s="160"/>
      <c r="QDK34" s="160"/>
      <c r="QDL34" s="160"/>
      <c r="QDM34" s="160"/>
      <c r="QDN34" s="160"/>
      <c r="QDO34" s="160"/>
      <c r="QDP34" s="160"/>
      <c r="QDQ34" s="160"/>
      <c r="QDR34" s="160"/>
      <c r="QDS34" s="160"/>
      <c r="QDT34" s="160"/>
      <c r="QDU34" s="160"/>
      <c r="QDV34" s="160"/>
      <c r="QDW34" s="160"/>
      <c r="QDX34" s="160"/>
      <c r="QDY34" s="160"/>
      <c r="QDZ34" s="160"/>
      <c r="QEA34" s="160"/>
      <c r="QEB34" s="160"/>
      <c r="QEC34" s="160"/>
      <c r="QED34" s="160"/>
      <c r="QEE34" s="160"/>
      <c r="QEF34" s="160"/>
      <c r="QEG34" s="160"/>
      <c r="QEH34" s="160"/>
      <c r="QEI34" s="160"/>
      <c r="QEJ34" s="160"/>
      <c r="QEK34" s="160"/>
      <c r="QEL34" s="160"/>
      <c r="QEM34" s="160"/>
      <c r="QEN34" s="160"/>
      <c r="QEO34" s="160"/>
      <c r="QEP34" s="160"/>
      <c r="QEQ34" s="160"/>
      <c r="QER34" s="160"/>
      <c r="QES34" s="160"/>
      <c r="QET34" s="160"/>
      <c r="QEU34" s="160"/>
      <c r="QEV34" s="160"/>
      <c r="QEW34" s="160"/>
      <c r="QEX34" s="160"/>
      <c r="QEY34" s="160"/>
      <c r="QEZ34" s="160"/>
      <c r="QFA34" s="160"/>
      <c r="QFB34" s="160"/>
      <c r="QFC34" s="160"/>
      <c r="QFD34" s="160"/>
      <c r="QFE34" s="160"/>
      <c r="QFF34" s="160"/>
      <c r="QFG34" s="160"/>
      <c r="QFH34" s="160"/>
      <c r="QFI34" s="160"/>
      <c r="QFJ34" s="160"/>
      <c r="QFK34" s="160"/>
      <c r="QFL34" s="160"/>
      <c r="QFM34" s="160"/>
      <c r="QFN34" s="160"/>
      <c r="QFO34" s="160"/>
      <c r="QFP34" s="160"/>
      <c r="QFQ34" s="160"/>
      <c r="QFR34" s="160"/>
      <c r="QFS34" s="160"/>
      <c r="QFT34" s="160"/>
      <c r="QFU34" s="160"/>
      <c r="QFV34" s="160"/>
      <c r="QFW34" s="160"/>
      <c r="QFX34" s="160"/>
      <c r="QFY34" s="160"/>
      <c r="QFZ34" s="160"/>
      <c r="QGA34" s="160"/>
      <c r="QGB34" s="160"/>
      <c r="QGC34" s="160"/>
      <c r="QGD34" s="160"/>
      <c r="QGE34" s="160"/>
      <c r="QGF34" s="160"/>
      <c r="QGG34" s="160"/>
      <c r="QGH34" s="160"/>
      <c r="QGI34" s="160"/>
      <c r="QGJ34" s="160"/>
      <c r="QGK34" s="160"/>
      <c r="QGL34" s="160"/>
      <c r="QGM34" s="160"/>
      <c r="QGN34" s="160"/>
      <c r="QGO34" s="160"/>
      <c r="QGP34" s="160"/>
      <c r="QGQ34" s="160"/>
      <c r="QGR34" s="160"/>
      <c r="QGS34" s="160"/>
      <c r="QGT34" s="160"/>
      <c r="QGU34" s="160"/>
      <c r="QGV34" s="160"/>
      <c r="QGW34" s="160"/>
      <c r="QGX34" s="160"/>
      <c r="QGY34" s="160"/>
      <c r="QGZ34" s="160"/>
      <c r="QHA34" s="160"/>
      <c r="QHB34" s="160"/>
      <c r="QHC34" s="160"/>
      <c r="QHD34" s="160"/>
      <c r="QHE34" s="160"/>
      <c r="QHF34" s="160"/>
      <c r="QHG34" s="160"/>
      <c r="QHH34" s="160"/>
      <c r="QHI34" s="160"/>
      <c r="QHJ34" s="160"/>
      <c r="QHK34" s="160"/>
      <c r="QHL34" s="160"/>
      <c r="QHM34" s="160"/>
      <c r="QHN34" s="160"/>
      <c r="QHO34" s="160"/>
      <c r="QHP34" s="160"/>
      <c r="QHQ34" s="160"/>
      <c r="QHR34" s="160"/>
      <c r="QHS34" s="160"/>
      <c r="QHT34" s="160"/>
      <c r="QHU34" s="160"/>
      <c r="QHV34" s="160"/>
      <c r="QHW34" s="160"/>
      <c r="QHX34" s="160"/>
      <c r="QHY34" s="160"/>
      <c r="QHZ34" s="160"/>
      <c r="QIA34" s="160"/>
      <c r="QIB34" s="160"/>
      <c r="QIC34" s="160"/>
      <c r="QID34" s="160"/>
      <c r="QIE34" s="160"/>
      <c r="QIF34" s="160"/>
      <c r="QIG34" s="160"/>
      <c r="QIH34" s="160"/>
      <c r="QII34" s="160"/>
      <c r="QIJ34" s="160"/>
      <c r="QIK34" s="160"/>
      <c r="QIL34" s="160"/>
      <c r="QIM34" s="160"/>
      <c r="QIN34" s="160"/>
      <c r="QIO34" s="160"/>
      <c r="QIP34" s="160"/>
      <c r="QIQ34" s="160"/>
      <c r="QIR34" s="160"/>
      <c r="QIS34" s="160"/>
      <c r="QIT34" s="160"/>
      <c r="QIU34" s="160"/>
      <c r="QIV34" s="160"/>
      <c r="QIW34" s="160"/>
      <c r="QIX34" s="160"/>
      <c r="QIY34" s="160"/>
      <c r="QIZ34" s="160"/>
      <c r="QJA34" s="160"/>
      <c r="QJB34" s="160"/>
      <c r="QJC34" s="160"/>
      <c r="QJD34" s="160"/>
      <c r="QJE34" s="160"/>
      <c r="QJF34" s="160"/>
      <c r="QJG34" s="160"/>
      <c r="QJH34" s="160"/>
      <c r="QJI34" s="160"/>
      <c r="QJJ34" s="160"/>
      <c r="QJK34" s="160"/>
      <c r="QJL34" s="160"/>
      <c r="QJM34" s="160"/>
      <c r="QJN34" s="160"/>
      <c r="QJO34" s="160"/>
      <c r="QJP34" s="160"/>
      <c r="QJQ34" s="160"/>
      <c r="QJR34" s="160"/>
      <c r="QJS34" s="160"/>
      <c r="QJT34" s="160"/>
      <c r="QJU34" s="160"/>
      <c r="QJV34" s="160"/>
      <c r="QJW34" s="160"/>
      <c r="QJX34" s="160"/>
      <c r="QJY34" s="160"/>
      <c r="QJZ34" s="160"/>
      <c r="QKA34" s="160"/>
      <c r="QKG34" s="160"/>
      <c r="QKH34" s="160"/>
      <c r="QKI34" s="160"/>
      <c r="QKJ34" s="160"/>
      <c r="QKK34" s="160"/>
      <c r="QKL34" s="160"/>
      <c r="QKM34" s="160"/>
      <c r="QKN34" s="160"/>
      <c r="QKO34" s="160"/>
      <c r="QKP34" s="160"/>
      <c r="QKQ34" s="160"/>
      <c r="QKR34" s="160"/>
      <c r="QKS34" s="160"/>
      <c r="QKT34" s="160"/>
      <c r="QKU34" s="160"/>
      <c r="QKV34" s="160"/>
      <c r="QKW34" s="160"/>
      <c r="QKX34" s="160"/>
      <c r="QKY34" s="160"/>
      <c r="QKZ34" s="160"/>
      <c r="QLA34" s="160"/>
      <c r="QLB34" s="160"/>
      <c r="QLC34" s="160"/>
      <c r="QLD34" s="160"/>
      <c r="QLE34" s="160"/>
      <c r="QLF34" s="160"/>
      <c r="QLG34" s="160"/>
      <c r="QLH34" s="160"/>
      <c r="QLI34" s="160"/>
      <c r="QLJ34" s="160"/>
      <c r="QLK34" s="160"/>
      <c r="QLL34" s="160"/>
      <c r="QLM34" s="160"/>
      <c r="QLN34" s="160"/>
      <c r="QLO34" s="160"/>
      <c r="QLP34" s="160"/>
      <c r="QLQ34" s="160"/>
      <c r="QLR34" s="160"/>
      <c r="QLS34" s="160"/>
      <c r="QLT34" s="160"/>
      <c r="QLU34" s="160"/>
      <c r="QLV34" s="160"/>
      <c r="QLW34" s="160"/>
      <c r="QLX34" s="160"/>
      <c r="QLY34" s="160"/>
      <c r="QLZ34" s="160"/>
      <c r="QMA34" s="160"/>
      <c r="QMB34" s="160"/>
      <c r="QMC34" s="160"/>
      <c r="QMD34" s="160"/>
      <c r="QME34" s="160"/>
      <c r="QMF34" s="160"/>
      <c r="QMG34" s="160"/>
      <c r="QMH34" s="160"/>
      <c r="QMI34" s="160"/>
      <c r="QMJ34" s="160"/>
      <c r="QMK34" s="160"/>
      <c r="QML34" s="160"/>
      <c r="QMM34" s="160"/>
      <c r="QMN34" s="160"/>
      <c r="QMO34" s="160"/>
      <c r="QMP34" s="160"/>
      <c r="QMQ34" s="160"/>
      <c r="QMR34" s="160"/>
      <c r="QMS34" s="160"/>
      <c r="QMT34" s="160"/>
      <c r="QMU34" s="160"/>
      <c r="QMV34" s="160"/>
      <c r="QMW34" s="160"/>
      <c r="QMX34" s="160"/>
      <c r="QMY34" s="160"/>
      <c r="QMZ34" s="160"/>
      <c r="QNA34" s="160"/>
      <c r="QNB34" s="160"/>
      <c r="QNC34" s="160"/>
      <c r="QND34" s="160"/>
      <c r="QNE34" s="160"/>
      <c r="QNF34" s="160"/>
      <c r="QNG34" s="160"/>
      <c r="QNH34" s="160"/>
      <c r="QNI34" s="160"/>
      <c r="QNJ34" s="160"/>
      <c r="QNK34" s="160"/>
      <c r="QNL34" s="160"/>
      <c r="QNM34" s="160"/>
      <c r="QNN34" s="160"/>
      <c r="QNO34" s="160"/>
      <c r="QNP34" s="160"/>
      <c r="QNQ34" s="160"/>
      <c r="QNR34" s="160"/>
      <c r="QNS34" s="160"/>
      <c r="QNT34" s="160"/>
      <c r="QNU34" s="160"/>
      <c r="QNV34" s="160"/>
      <c r="QNW34" s="160"/>
      <c r="QNX34" s="160"/>
      <c r="QNY34" s="160"/>
      <c r="QNZ34" s="160"/>
      <c r="QOA34" s="160"/>
      <c r="QOB34" s="160"/>
      <c r="QOC34" s="160"/>
      <c r="QOD34" s="160"/>
      <c r="QOE34" s="160"/>
      <c r="QOF34" s="160"/>
      <c r="QOG34" s="160"/>
      <c r="QOH34" s="160"/>
      <c r="QOI34" s="160"/>
      <c r="QOJ34" s="160"/>
      <c r="QOK34" s="160"/>
      <c r="QOL34" s="160"/>
      <c r="QOM34" s="160"/>
      <c r="QON34" s="160"/>
      <c r="QOO34" s="160"/>
      <c r="QOP34" s="160"/>
      <c r="QOQ34" s="160"/>
      <c r="QOR34" s="160"/>
      <c r="QOS34" s="160"/>
      <c r="QOT34" s="160"/>
      <c r="QOU34" s="160"/>
      <c r="QOV34" s="160"/>
      <c r="QOW34" s="160"/>
      <c r="QOX34" s="160"/>
      <c r="QOY34" s="160"/>
      <c r="QOZ34" s="160"/>
      <c r="QPA34" s="160"/>
      <c r="QPB34" s="160"/>
      <c r="QPC34" s="160"/>
      <c r="QPD34" s="160"/>
      <c r="QPE34" s="160"/>
      <c r="QPF34" s="160"/>
      <c r="QPG34" s="160"/>
      <c r="QPH34" s="160"/>
      <c r="QPI34" s="160"/>
      <c r="QPJ34" s="160"/>
      <c r="QPK34" s="160"/>
      <c r="QPL34" s="160"/>
      <c r="QPM34" s="160"/>
      <c r="QPN34" s="160"/>
      <c r="QPO34" s="160"/>
      <c r="QPP34" s="160"/>
      <c r="QPQ34" s="160"/>
      <c r="QPR34" s="160"/>
      <c r="QPS34" s="160"/>
      <c r="QPT34" s="160"/>
      <c r="QPU34" s="160"/>
      <c r="QPV34" s="160"/>
      <c r="QPW34" s="160"/>
      <c r="QPX34" s="160"/>
      <c r="QPY34" s="160"/>
      <c r="QPZ34" s="160"/>
      <c r="QQA34" s="160"/>
      <c r="QQB34" s="160"/>
      <c r="QQC34" s="160"/>
      <c r="QQD34" s="160"/>
      <c r="QQE34" s="160"/>
      <c r="QQF34" s="160"/>
      <c r="QQG34" s="160"/>
      <c r="QQH34" s="160"/>
      <c r="QQI34" s="160"/>
      <c r="QQJ34" s="160"/>
      <c r="QQK34" s="160"/>
      <c r="QQL34" s="160"/>
      <c r="QQM34" s="160"/>
      <c r="QQN34" s="160"/>
      <c r="QQO34" s="160"/>
      <c r="QQP34" s="160"/>
      <c r="QQQ34" s="160"/>
      <c r="QQR34" s="160"/>
      <c r="QQS34" s="160"/>
      <c r="QQT34" s="160"/>
      <c r="QQU34" s="160"/>
      <c r="QQV34" s="160"/>
      <c r="QQW34" s="160"/>
      <c r="QQX34" s="160"/>
      <c r="QQY34" s="160"/>
      <c r="QQZ34" s="160"/>
      <c r="QRA34" s="160"/>
      <c r="QRB34" s="160"/>
      <c r="QRC34" s="160"/>
      <c r="QRD34" s="160"/>
      <c r="QRE34" s="160"/>
      <c r="QRF34" s="160"/>
      <c r="QRG34" s="160"/>
      <c r="QRH34" s="160"/>
      <c r="QRI34" s="160"/>
      <c r="QRJ34" s="160"/>
      <c r="QRK34" s="160"/>
      <c r="QRL34" s="160"/>
      <c r="QRM34" s="160"/>
      <c r="QRN34" s="160"/>
      <c r="QRO34" s="160"/>
      <c r="QRP34" s="160"/>
      <c r="QRQ34" s="160"/>
      <c r="QRR34" s="160"/>
      <c r="QRS34" s="160"/>
      <c r="QRT34" s="160"/>
      <c r="QRU34" s="160"/>
      <c r="QRV34" s="160"/>
      <c r="QRW34" s="160"/>
      <c r="QRX34" s="160"/>
      <c r="QRY34" s="160"/>
      <c r="QRZ34" s="160"/>
      <c r="QSA34" s="160"/>
      <c r="QSB34" s="160"/>
      <c r="QSC34" s="160"/>
      <c r="QSD34" s="160"/>
      <c r="QSE34" s="160"/>
      <c r="QSF34" s="160"/>
      <c r="QSG34" s="160"/>
      <c r="QSH34" s="160"/>
      <c r="QSI34" s="160"/>
      <c r="QSJ34" s="160"/>
      <c r="QSK34" s="160"/>
      <c r="QSL34" s="160"/>
      <c r="QSM34" s="160"/>
      <c r="QSN34" s="160"/>
      <c r="QSO34" s="160"/>
      <c r="QSP34" s="160"/>
      <c r="QSQ34" s="160"/>
      <c r="QSR34" s="160"/>
      <c r="QSS34" s="160"/>
      <c r="QST34" s="160"/>
      <c r="QSU34" s="160"/>
      <c r="QSV34" s="160"/>
      <c r="QSW34" s="160"/>
      <c r="QSX34" s="160"/>
      <c r="QSY34" s="160"/>
      <c r="QSZ34" s="160"/>
      <c r="QTA34" s="160"/>
      <c r="QTB34" s="160"/>
      <c r="QTC34" s="160"/>
      <c r="QTD34" s="160"/>
      <c r="QTE34" s="160"/>
      <c r="QTF34" s="160"/>
      <c r="QTG34" s="160"/>
      <c r="QTH34" s="160"/>
      <c r="QTI34" s="160"/>
      <c r="QTJ34" s="160"/>
      <c r="QTK34" s="160"/>
      <c r="QTL34" s="160"/>
      <c r="QTM34" s="160"/>
      <c r="QTN34" s="160"/>
      <c r="QTO34" s="160"/>
      <c r="QTP34" s="160"/>
      <c r="QTQ34" s="160"/>
      <c r="QTR34" s="160"/>
      <c r="QTS34" s="160"/>
      <c r="QTT34" s="160"/>
      <c r="QTU34" s="160"/>
      <c r="QTV34" s="160"/>
      <c r="QTW34" s="160"/>
      <c r="QUC34" s="160"/>
      <c r="QUD34" s="160"/>
      <c r="QUE34" s="160"/>
      <c r="QUF34" s="160"/>
      <c r="QUG34" s="160"/>
      <c r="QUH34" s="160"/>
      <c r="QUI34" s="160"/>
      <c r="QUJ34" s="160"/>
      <c r="QUK34" s="160"/>
      <c r="QUL34" s="160"/>
      <c r="QUM34" s="160"/>
      <c r="QUN34" s="160"/>
      <c r="QUO34" s="160"/>
      <c r="QUP34" s="160"/>
      <c r="QUQ34" s="160"/>
      <c r="QUR34" s="160"/>
      <c r="QUS34" s="160"/>
      <c r="QUT34" s="160"/>
      <c r="QUU34" s="160"/>
      <c r="QUV34" s="160"/>
      <c r="QUW34" s="160"/>
      <c r="QUX34" s="160"/>
      <c r="QUY34" s="160"/>
      <c r="QUZ34" s="160"/>
      <c r="QVA34" s="160"/>
      <c r="QVB34" s="160"/>
      <c r="QVC34" s="160"/>
      <c r="QVD34" s="160"/>
      <c r="QVE34" s="160"/>
      <c r="QVF34" s="160"/>
      <c r="QVG34" s="160"/>
      <c r="QVH34" s="160"/>
      <c r="QVI34" s="160"/>
      <c r="QVJ34" s="160"/>
      <c r="QVK34" s="160"/>
      <c r="QVL34" s="160"/>
      <c r="QVM34" s="160"/>
      <c r="QVN34" s="160"/>
      <c r="QVO34" s="160"/>
      <c r="QVP34" s="160"/>
      <c r="QVQ34" s="160"/>
      <c r="QVR34" s="160"/>
      <c r="QVS34" s="160"/>
      <c r="QVT34" s="160"/>
      <c r="QVU34" s="160"/>
      <c r="QVV34" s="160"/>
      <c r="QVW34" s="160"/>
      <c r="QVX34" s="160"/>
      <c r="QVY34" s="160"/>
      <c r="QVZ34" s="160"/>
      <c r="QWA34" s="160"/>
      <c r="QWB34" s="160"/>
      <c r="QWC34" s="160"/>
      <c r="QWD34" s="160"/>
      <c r="QWE34" s="160"/>
      <c r="QWF34" s="160"/>
      <c r="QWG34" s="160"/>
      <c r="QWH34" s="160"/>
      <c r="QWI34" s="160"/>
      <c r="QWJ34" s="160"/>
      <c r="QWK34" s="160"/>
      <c r="QWL34" s="160"/>
      <c r="QWM34" s="160"/>
      <c r="QWN34" s="160"/>
      <c r="QWO34" s="160"/>
      <c r="QWP34" s="160"/>
      <c r="QWQ34" s="160"/>
      <c r="QWR34" s="160"/>
      <c r="QWS34" s="160"/>
      <c r="QWT34" s="160"/>
      <c r="QWU34" s="160"/>
      <c r="QWV34" s="160"/>
      <c r="QWW34" s="160"/>
      <c r="QWX34" s="160"/>
      <c r="QWY34" s="160"/>
      <c r="QWZ34" s="160"/>
      <c r="QXA34" s="160"/>
      <c r="QXB34" s="160"/>
      <c r="QXC34" s="160"/>
      <c r="QXD34" s="160"/>
      <c r="QXE34" s="160"/>
      <c r="QXF34" s="160"/>
      <c r="QXG34" s="160"/>
      <c r="QXH34" s="160"/>
      <c r="QXI34" s="160"/>
      <c r="QXJ34" s="160"/>
      <c r="QXK34" s="160"/>
      <c r="QXL34" s="160"/>
      <c r="QXM34" s="160"/>
      <c r="QXN34" s="160"/>
      <c r="QXO34" s="160"/>
      <c r="QXP34" s="160"/>
      <c r="QXQ34" s="160"/>
      <c r="QXR34" s="160"/>
      <c r="QXS34" s="160"/>
      <c r="QXT34" s="160"/>
      <c r="QXU34" s="160"/>
      <c r="QXV34" s="160"/>
      <c r="QXW34" s="160"/>
      <c r="QXX34" s="160"/>
      <c r="QXY34" s="160"/>
      <c r="QXZ34" s="160"/>
      <c r="QYA34" s="160"/>
      <c r="QYB34" s="160"/>
      <c r="QYC34" s="160"/>
      <c r="QYD34" s="160"/>
      <c r="QYE34" s="160"/>
      <c r="QYF34" s="160"/>
      <c r="QYG34" s="160"/>
      <c r="QYH34" s="160"/>
      <c r="QYI34" s="160"/>
      <c r="QYJ34" s="160"/>
      <c r="QYK34" s="160"/>
      <c r="QYL34" s="160"/>
      <c r="QYM34" s="160"/>
      <c r="QYN34" s="160"/>
      <c r="QYO34" s="160"/>
      <c r="QYP34" s="160"/>
      <c r="QYQ34" s="160"/>
      <c r="QYR34" s="160"/>
      <c r="QYS34" s="160"/>
      <c r="QYT34" s="160"/>
      <c r="QYU34" s="160"/>
      <c r="QYV34" s="160"/>
      <c r="QYW34" s="160"/>
      <c r="QYX34" s="160"/>
      <c r="QYY34" s="160"/>
      <c r="QYZ34" s="160"/>
      <c r="QZA34" s="160"/>
      <c r="QZB34" s="160"/>
      <c r="QZC34" s="160"/>
      <c r="QZD34" s="160"/>
      <c r="QZE34" s="160"/>
      <c r="QZF34" s="160"/>
      <c r="QZG34" s="160"/>
      <c r="QZH34" s="160"/>
      <c r="QZI34" s="160"/>
      <c r="QZJ34" s="160"/>
      <c r="QZK34" s="160"/>
      <c r="QZL34" s="160"/>
      <c r="QZM34" s="160"/>
      <c r="QZN34" s="160"/>
      <c r="QZO34" s="160"/>
      <c r="QZP34" s="160"/>
      <c r="QZQ34" s="160"/>
      <c r="QZR34" s="160"/>
      <c r="QZS34" s="160"/>
      <c r="QZT34" s="160"/>
      <c r="QZU34" s="160"/>
      <c r="QZV34" s="160"/>
      <c r="QZW34" s="160"/>
      <c r="QZX34" s="160"/>
      <c r="QZY34" s="160"/>
      <c r="QZZ34" s="160"/>
      <c r="RAA34" s="160"/>
      <c r="RAB34" s="160"/>
      <c r="RAC34" s="160"/>
      <c r="RAD34" s="160"/>
      <c r="RAE34" s="160"/>
      <c r="RAF34" s="160"/>
      <c r="RAG34" s="160"/>
      <c r="RAH34" s="160"/>
      <c r="RAI34" s="160"/>
      <c r="RAJ34" s="160"/>
      <c r="RAK34" s="160"/>
      <c r="RAL34" s="160"/>
      <c r="RAM34" s="160"/>
      <c r="RAN34" s="160"/>
      <c r="RAO34" s="160"/>
      <c r="RAP34" s="160"/>
      <c r="RAQ34" s="160"/>
      <c r="RAR34" s="160"/>
      <c r="RAS34" s="160"/>
      <c r="RAT34" s="160"/>
      <c r="RAU34" s="160"/>
      <c r="RAV34" s="160"/>
      <c r="RAW34" s="160"/>
      <c r="RAX34" s="160"/>
      <c r="RAY34" s="160"/>
      <c r="RAZ34" s="160"/>
      <c r="RBA34" s="160"/>
      <c r="RBB34" s="160"/>
      <c r="RBC34" s="160"/>
      <c r="RBD34" s="160"/>
      <c r="RBE34" s="160"/>
      <c r="RBF34" s="160"/>
      <c r="RBG34" s="160"/>
      <c r="RBH34" s="160"/>
      <c r="RBI34" s="160"/>
      <c r="RBJ34" s="160"/>
      <c r="RBK34" s="160"/>
      <c r="RBL34" s="160"/>
      <c r="RBM34" s="160"/>
      <c r="RBN34" s="160"/>
      <c r="RBO34" s="160"/>
      <c r="RBP34" s="160"/>
      <c r="RBQ34" s="160"/>
      <c r="RBR34" s="160"/>
      <c r="RBS34" s="160"/>
      <c r="RBT34" s="160"/>
      <c r="RBU34" s="160"/>
      <c r="RBV34" s="160"/>
      <c r="RBW34" s="160"/>
      <c r="RBX34" s="160"/>
      <c r="RBY34" s="160"/>
      <c r="RBZ34" s="160"/>
      <c r="RCA34" s="160"/>
      <c r="RCB34" s="160"/>
      <c r="RCC34" s="160"/>
      <c r="RCD34" s="160"/>
      <c r="RCE34" s="160"/>
      <c r="RCF34" s="160"/>
      <c r="RCG34" s="160"/>
      <c r="RCH34" s="160"/>
      <c r="RCI34" s="160"/>
      <c r="RCJ34" s="160"/>
      <c r="RCK34" s="160"/>
      <c r="RCL34" s="160"/>
      <c r="RCM34" s="160"/>
      <c r="RCN34" s="160"/>
      <c r="RCO34" s="160"/>
      <c r="RCP34" s="160"/>
      <c r="RCQ34" s="160"/>
      <c r="RCR34" s="160"/>
      <c r="RCS34" s="160"/>
      <c r="RCT34" s="160"/>
      <c r="RCU34" s="160"/>
      <c r="RCV34" s="160"/>
      <c r="RCW34" s="160"/>
      <c r="RCX34" s="160"/>
      <c r="RCY34" s="160"/>
      <c r="RCZ34" s="160"/>
      <c r="RDA34" s="160"/>
      <c r="RDB34" s="160"/>
      <c r="RDC34" s="160"/>
      <c r="RDD34" s="160"/>
      <c r="RDE34" s="160"/>
      <c r="RDF34" s="160"/>
      <c r="RDG34" s="160"/>
      <c r="RDH34" s="160"/>
      <c r="RDI34" s="160"/>
      <c r="RDJ34" s="160"/>
      <c r="RDK34" s="160"/>
      <c r="RDL34" s="160"/>
      <c r="RDM34" s="160"/>
      <c r="RDN34" s="160"/>
      <c r="RDO34" s="160"/>
      <c r="RDP34" s="160"/>
      <c r="RDQ34" s="160"/>
      <c r="RDR34" s="160"/>
      <c r="RDS34" s="160"/>
      <c r="RDY34" s="160"/>
      <c r="RDZ34" s="160"/>
      <c r="REA34" s="160"/>
      <c r="REB34" s="160"/>
      <c r="REC34" s="160"/>
      <c r="RED34" s="160"/>
      <c r="REE34" s="160"/>
      <c r="REF34" s="160"/>
      <c r="REG34" s="160"/>
      <c r="REH34" s="160"/>
      <c r="REI34" s="160"/>
      <c r="REJ34" s="160"/>
      <c r="REK34" s="160"/>
      <c r="REL34" s="160"/>
      <c r="REM34" s="160"/>
      <c r="REN34" s="160"/>
      <c r="REO34" s="160"/>
      <c r="REP34" s="160"/>
      <c r="REQ34" s="160"/>
      <c r="RER34" s="160"/>
      <c r="RES34" s="160"/>
      <c r="RET34" s="160"/>
      <c r="REU34" s="160"/>
      <c r="REV34" s="160"/>
      <c r="REW34" s="160"/>
      <c r="REX34" s="160"/>
      <c r="REY34" s="160"/>
      <c r="REZ34" s="160"/>
      <c r="RFA34" s="160"/>
      <c r="RFB34" s="160"/>
      <c r="RFC34" s="160"/>
      <c r="RFD34" s="160"/>
      <c r="RFE34" s="160"/>
      <c r="RFF34" s="160"/>
      <c r="RFG34" s="160"/>
      <c r="RFH34" s="160"/>
      <c r="RFI34" s="160"/>
      <c r="RFJ34" s="160"/>
      <c r="RFK34" s="160"/>
      <c r="RFL34" s="160"/>
      <c r="RFM34" s="160"/>
      <c r="RFN34" s="160"/>
      <c r="RFO34" s="160"/>
      <c r="RFP34" s="160"/>
      <c r="RFQ34" s="160"/>
      <c r="RFR34" s="160"/>
      <c r="RFS34" s="160"/>
      <c r="RFT34" s="160"/>
      <c r="RFU34" s="160"/>
      <c r="RFV34" s="160"/>
      <c r="RFW34" s="160"/>
      <c r="RFX34" s="160"/>
      <c r="RFY34" s="160"/>
      <c r="RFZ34" s="160"/>
      <c r="RGA34" s="160"/>
      <c r="RGB34" s="160"/>
      <c r="RGC34" s="160"/>
      <c r="RGD34" s="160"/>
      <c r="RGE34" s="160"/>
      <c r="RGF34" s="160"/>
      <c r="RGG34" s="160"/>
      <c r="RGH34" s="160"/>
      <c r="RGI34" s="160"/>
      <c r="RGJ34" s="160"/>
      <c r="RGK34" s="160"/>
      <c r="RGL34" s="160"/>
      <c r="RGM34" s="160"/>
      <c r="RGN34" s="160"/>
      <c r="RGO34" s="160"/>
      <c r="RGP34" s="160"/>
      <c r="RGQ34" s="160"/>
      <c r="RGR34" s="160"/>
      <c r="RGS34" s="160"/>
      <c r="RGT34" s="160"/>
      <c r="RGU34" s="160"/>
      <c r="RGV34" s="160"/>
      <c r="RGW34" s="160"/>
      <c r="RGX34" s="160"/>
      <c r="RGY34" s="160"/>
      <c r="RGZ34" s="160"/>
      <c r="RHA34" s="160"/>
      <c r="RHB34" s="160"/>
      <c r="RHC34" s="160"/>
      <c r="RHD34" s="160"/>
      <c r="RHE34" s="160"/>
      <c r="RHF34" s="160"/>
      <c r="RHG34" s="160"/>
      <c r="RHH34" s="160"/>
      <c r="RHI34" s="160"/>
      <c r="RHJ34" s="160"/>
      <c r="RHK34" s="160"/>
      <c r="RHL34" s="160"/>
      <c r="RHM34" s="160"/>
      <c r="RHN34" s="160"/>
      <c r="RHO34" s="160"/>
      <c r="RHP34" s="160"/>
      <c r="RHQ34" s="160"/>
      <c r="RHR34" s="160"/>
      <c r="RHS34" s="160"/>
      <c r="RHT34" s="160"/>
      <c r="RHU34" s="160"/>
      <c r="RHV34" s="160"/>
      <c r="RHW34" s="160"/>
      <c r="RHX34" s="160"/>
      <c r="RHY34" s="160"/>
      <c r="RHZ34" s="160"/>
      <c r="RIA34" s="160"/>
      <c r="RIB34" s="160"/>
      <c r="RIC34" s="160"/>
      <c r="RID34" s="160"/>
      <c r="RIE34" s="160"/>
      <c r="RIF34" s="160"/>
      <c r="RIG34" s="160"/>
      <c r="RIH34" s="160"/>
      <c r="RII34" s="160"/>
      <c r="RIJ34" s="160"/>
      <c r="RIK34" s="160"/>
      <c r="RIL34" s="160"/>
      <c r="RIM34" s="160"/>
      <c r="RIN34" s="160"/>
      <c r="RIO34" s="160"/>
      <c r="RIP34" s="160"/>
      <c r="RIQ34" s="160"/>
      <c r="RIR34" s="160"/>
      <c r="RIS34" s="160"/>
      <c r="RIT34" s="160"/>
      <c r="RIU34" s="160"/>
      <c r="RIV34" s="160"/>
      <c r="RIW34" s="160"/>
      <c r="RIX34" s="160"/>
      <c r="RIY34" s="160"/>
      <c r="RIZ34" s="160"/>
      <c r="RJA34" s="160"/>
      <c r="RJB34" s="160"/>
      <c r="RJC34" s="160"/>
      <c r="RJD34" s="160"/>
      <c r="RJE34" s="160"/>
      <c r="RJF34" s="160"/>
      <c r="RJG34" s="160"/>
      <c r="RJH34" s="160"/>
      <c r="RJI34" s="160"/>
      <c r="RJJ34" s="160"/>
      <c r="RJK34" s="160"/>
      <c r="RJL34" s="160"/>
      <c r="RJM34" s="160"/>
      <c r="RJN34" s="160"/>
      <c r="RJO34" s="160"/>
      <c r="RJP34" s="160"/>
      <c r="RJQ34" s="160"/>
      <c r="RJR34" s="160"/>
      <c r="RJS34" s="160"/>
      <c r="RJT34" s="160"/>
      <c r="RJU34" s="160"/>
      <c r="RJV34" s="160"/>
      <c r="RJW34" s="160"/>
      <c r="RJX34" s="160"/>
      <c r="RJY34" s="160"/>
      <c r="RJZ34" s="160"/>
      <c r="RKA34" s="160"/>
      <c r="RKB34" s="160"/>
      <c r="RKC34" s="160"/>
      <c r="RKD34" s="160"/>
      <c r="RKE34" s="160"/>
      <c r="RKF34" s="160"/>
      <c r="RKG34" s="160"/>
      <c r="RKH34" s="160"/>
      <c r="RKI34" s="160"/>
      <c r="RKJ34" s="160"/>
      <c r="RKK34" s="160"/>
      <c r="RKL34" s="160"/>
      <c r="RKM34" s="160"/>
      <c r="RKN34" s="160"/>
      <c r="RKO34" s="160"/>
      <c r="RKP34" s="160"/>
      <c r="RKQ34" s="160"/>
      <c r="RKR34" s="160"/>
      <c r="RKS34" s="160"/>
      <c r="RKT34" s="160"/>
      <c r="RKU34" s="160"/>
      <c r="RKV34" s="160"/>
      <c r="RKW34" s="160"/>
      <c r="RKX34" s="160"/>
      <c r="RKY34" s="160"/>
      <c r="RKZ34" s="160"/>
      <c r="RLA34" s="160"/>
      <c r="RLB34" s="160"/>
      <c r="RLC34" s="160"/>
      <c r="RLD34" s="160"/>
      <c r="RLE34" s="160"/>
      <c r="RLF34" s="160"/>
      <c r="RLG34" s="160"/>
      <c r="RLH34" s="160"/>
      <c r="RLI34" s="160"/>
      <c r="RLJ34" s="160"/>
      <c r="RLK34" s="160"/>
      <c r="RLL34" s="160"/>
      <c r="RLM34" s="160"/>
      <c r="RLN34" s="160"/>
      <c r="RLO34" s="160"/>
      <c r="RLP34" s="160"/>
      <c r="RLQ34" s="160"/>
      <c r="RLR34" s="160"/>
      <c r="RLS34" s="160"/>
      <c r="RLT34" s="160"/>
      <c r="RLU34" s="160"/>
      <c r="RLV34" s="160"/>
      <c r="RLW34" s="160"/>
      <c r="RLX34" s="160"/>
      <c r="RLY34" s="160"/>
      <c r="RLZ34" s="160"/>
      <c r="RMA34" s="160"/>
      <c r="RMB34" s="160"/>
      <c r="RMC34" s="160"/>
      <c r="RMD34" s="160"/>
      <c r="RME34" s="160"/>
      <c r="RMF34" s="160"/>
      <c r="RMG34" s="160"/>
      <c r="RMH34" s="160"/>
      <c r="RMI34" s="160"/>
      <c r="RMJ34" s="160"/>
      <c r="RMK34" s="160"/>
      <c r="RML34" s="160"/>
      <c r="RMM34" s="160"/>
      <c r="RMN34" s="160"/>
      <c r="RMO34" s="160"/>
      <c r="RMP34" s="160"/>
      <c r="RMQ34" s="160"/>
      <c r="RMR34" s="160"/>
      <c r="RMS34" s="160"/>
      <c r="RMT34" s="160"/>
      <c r="RMU34" s="160"/>
      <c r="RMV34" s="160"/>
      <c r="RMW34" s="160"/>
      <c r="RMX34" s="160"/>
      <c r="RMY34" s="160"/>
      <c r="RMZ34" s="160"/>
      <c r="RNA34" s="160"/>
      <c r="RNB34" s="160"/>
      <c r="RNC34" s="160"/>
      <c r="RND34" s="160"/>
      <c r="RNE34" s="160"/>
      <c r="RNF34" s="160"/>
      <c r="RNG34" s="160"/>
      <c r="RNH34" s="160"/>
      <c r="RNI34" s="160"/>
      <c r="RNJ34" s="160"/>
      <c r="RNK34" s="160"/>
      <c r="RNL34" s="160"/>
      <c r="RNM34" s="160"/>
      <c r="RNN34" s="160"/>
      <c r="RNO34" s="160"/>
      <c r="RNU34" s="160"/>
      <c r="RNV34" s="160"/>
      <c r="RNW34" s="160"/>
      <c r="RNX34" s="160"/>
      <c r="RNY34" s="160"/>
      <c r="RNZ34" s="160"/>
      <c r="ROA34" s="160"/>
      <c r="ROB34" s="160"/>
      <c r="ROC34" s="160"/>
      <c r="ROD34" s="160"/>
      <c r="ROE34" s="160"/>
      <c r="ROF34" s="160"/>
      <c r="ROG34" s="160"/>
      <c r="ROH34" s="160"/>
      <c r="ROI34" s="160"/>
      <c r="ROJ34" s="160"/>
      <c r="ROK34" s="160"/>
      <c r="ROL34" s="160"/>
      <c r="ROM34" s="160"/>
      <c r="RON34" s="160"/>
      <c r="ROO34" s="160"/>
      <c r="ROP34" s="160"/>
      <c r="ROQ34" s="160"/>
      <c r="ROR34" s="160"/>
      <c r="ROS34" s="160"/>
      <c r="ROT34" s="160"/>
      <c r="ROU34" s="160"/>
      <c r="ROV34" s="160"/>
      <c r="ROW34" s="160"/>
      <c r="ROX34" s="160"/>
      <c r="ROY34" s="160"/>
      <c r="ROZ34" s="160"/>
      <c r="RPA34" s="160"/>
      <c r="RPB34" s="160"/>
      <c r="RPC34" s="160"/>
      <c r="RPD34" s="160"/>
      <c r="RPE34" s="160"/>
      <c r="RPF34" s="160"/>
      <c r="RPG34" s="160"/>
      <c r="RPH34" s="160"/>
      <c r="RPI34" s="160"/>
      <c r="RPJ34" s="160"/>
      <c r="RPK34" s="160"/>
      <c r="RPL34" s="160"/>
      <c r="RPM34" s="160"/>
      <c r="RPN34" s="160"/>
      <c r="RPO34" s="160"/>
      <c r="RPP34" s="160"/>
      <c r="RPQ34" s="160"/>
      <c r="RPR34" s="160"/>
      <c r="RPS34" s="160"/>
      <c r="RPT34" s="160"/>
      <c r="RPU34" s="160"/>
      <c r="RPV34" s="160"/>
      <c r="RPW34" s="160"/>
      <c r="RPX34" s="160"/>
      <c r="RPY34" s="160"/>
      <c r="RPZ34" s="160"/>
      <c r="RQA34" s="160"/>
      <c r="RQB34" s="160"/>
      <c r="RQC34" s="160"/>
      <c r="RQD34" s="160"/>
      <c r="RQE34" s="160"/>
      <c r="RQF34" s="160"/>
      <c r="RQG34" s="160"/>
      <c r="RQH34" s="160"/>
      <c r="RQI34" s="160"/>
      <c r="RQJ34" s="160"/>
      <c r="RQK34" s="160"/>
      <c r="RQL34" s="160"/>
      <c r="RQM34" s="160"/>
      <c r="RQN34" s="160"/>
      <c r="RQO34" s="160"/>
      <c r="RQP34" s="160"/>
      <c r="RQQ34" s="160"/>
      <c r="RQR34" s="160"/>
      <c r="RQS34" s="160"/>
      <c r="RQT34" s="160"/>
      <c r="RQU34" s="160"/>
      <c r="RQV34" s="160"/>
      <c r="RQW34" s="160"/>
      <c r="RQX34" s="160"/>
      <c r="RQY34" s="160"/>
      <c r="RQZ34" s="160"/>
      <c r="RRA34" s="160"/>
      <c r="RRB34" s="160"/>
      <c r="RRC34" s="160"/>
      <c r="RRD34" s="160"/>
      <c r="RRE34" s="160"/>
      <c r="RRF34" s="160"/>
      <c r="RRG34" s="160"/>
      <c r="RRH34" s="160"/>
      <c r="RRI34" s="160"/>
      <c r="RRJ34" s="160"/>
      <c r="RRK34" s="160"/>
      <c r="RRL34" s="160"/>
      <c r="RRM34" s="160"/>
      <c r="RRN34" s="160"/>
      <c r="RRO34" s="160"/>
      <c r="RRP34" s="160"/>
      <c r="RRQ34" s="160"/>
      <c r="RRR34" s="160"/>
      <c r="RRS34" s="160"/>
      <c r="RRT34" s="160"/>
      <c r="RRU34" s="160"/>
      <c r="RRV34" s="160"/>
      <c r="RRW34" s="160"/>
      <c r="RRX34" s="160"/>
      <c r="RRY34" s="160"/>
      <c r="RRZ34" s="160"/>
      <c r="RSA34" s="160"/>
      <c r="RSB34" s="160"/>
      <c r="RSC34" s="160"/>
      <c r="RSD34" s="160"/>
      <c r="RSE34" s="160"/>
      <c r="RSF34" s="160"/>
      <c r="RSG34" s="160"/>
      <c r="RSH34" s="160"/>
      <c r="RSI34" s="160"/>
      <c r="RSJ34" s="160"/>
      <c r="RSK34" s="160"/>
      <c r="RSL34" s="160"/>
      <c r="RSM34" s="160"/>
      <c r="RSN34" s="160"/>
      <c r="RSO34" s="160"/>
      <c r="RSP34" s="160"/>
      <c r="RSQ34" s="160"/>
      <c r="RSR34" s="160"/>
      <c r="RSS34" s="160"/>
      <c r="RST34" s="160"/>
      <c r="RSU34" s="160"/>
      <c r="RSV34" s="160"/>
      <c r="RSW34" s="160"/>
      <c r="RSX34" s="160"/>
      <c r="RSY34" s="160"/>
      <c r="RSZ34" s="160"/>
      <c r="RTA34" s="160"/>
      <c r="RTB34" s="160"/>
      <c r="RTC34" s="160"/>
      <c r="RTD34" s="160"/>
      <c r="RTE34" s="160"/>
      <c r="RTF34" s="160"/>
      <c r="RTG34" s="160"/>
      <c r="RTH34" s="160"/>
      <c r="RTI34" s="160"/>
      <c r="RTJ34" s="160"/>
      <c r="RTK34" s="160"/>
      <c r="RTL34" s="160"/>
      <c r="RTM34" s="160"/>
      <c r="RTN34" s="160"/>
      <c r="RTO34" s="160"/>
      <c r="RTP34" s="160"/>
      <c r="RTQ34" s="160"/>
      <c r="RTR34" s="160"/>
      <c r="RTS34" s="160"/>
      <c r="RTT34" s="160"/>
      <c r="RTU34" s="160"/>
      <c r="RTV34" s="160"/>
      <c r="RTW34" s="160"/>
      <c r="RTX34" s="160"/>
      <c r="RTY34" s="160"/>
      <c r="RTZ34" s="160"/>
      <c r="RUA34" s="160"/>
      <c r="RUB34" s="160"/>
      <c r="RUC34" s="160"/>
      <c r="RUD34" s="160"/>
      <c r="RUE34" s="160"/>
      <c r="RUF34" s="160"/>
      <c r="RUG34" s="160"/>
      <c r="RUH34" s="160"/>
      <c r="RUI34" s="160"/>
      <c r="RUJ34" s="160"/>
      <c r="RUK34" s="160"/>
      <c r="RUL34" s="160"/>
      <c r="RUM34" s="160"/>
      <c r="RUN34" s="160"/>
      <c r="RUO34" s="160"/>
      <c r="RUP34" s="160"/>
      <c r="RUQ34" s="160"/>
      <c r="RUR34" s="160"/>
      <c r="RUS34" s="160"/>
      <c r="RUT34" s="160"/>
      <c r="RUU34" s="160"/>
      <c r="RUV34" s="160"/>
      <c r="RUW34" s="160"/>
      <c r="RUX34" s="160"/>
      <c r="RUY34" s="160"/>
      <c r="RUZ34" s="160"/>
      <c r="RVA34" s="160"/>
      <c r="RVB34" s="160"/>
      <c r="RVC34" s="160"/>
      <c r="RVD34" s="160"/>
      <c r="RVE34" s="160"/>
      <c r="RVF34" s="160"/>
      <c r="RVG34" s="160"/>
      <c r="RVH34" s="160"/>
      <c r="RVI34" s="160"/>
      <c r="RVJ34" s="160"/>
      <c r="RVK34" s="160"/>
      <c r="RVL34" s="160"/>
      <c r="RVM34" s="160"/>
      <c r="RVN34" s="160"/>
      <c r="RVO34" s="160"/>
      <c r="RVP34" s="160"/>
      <c r="RVQ34" s="160"/>
      <c r="RVR34" s="160"/>
      <c r="RVS34" s="160"/>
      <c r="RVT34" s="160"/>
      <c r="RVU34" s="160"/>
      <c r="RVV34" s="160"/>
      <c r="RVW34" s="160"/>
      <c r="RVX34" s="160"/>
      <c r="RVY34" s="160"/>
      <c r="RVZ34" s="160"/>
      <c r="RWA34" s="160"/>
      <c r="RWB34" s="160"/>
      <c r="RWC34" s="160"/>
      <c r="RWD34" s="160"/>
      <c r="RWE34" s="160"/>
      <c r="RWF34" s="160"/>
      <c r="RWG34" s="160"/>
      <c r="RWH34" s="160"/>
      <c r="RWI34" s="160"/>
      <c r="RWJ34" s="160"/>
      <c r="RWK34" s="160"/>
      <c r="RWL34" s="160"/>
      <c r="RWM34" s="160"/>
      <c r="RWN34" s="160"/>
      <c r="RWO34" s="160"/>
      <c r="RWP34" s="160"/>
      <c r="RWQ34" s="160"/>
      <c r="RWR34" s="160"/>
      <c r="RWS34" s="160"/>
      <c r="RWT34" s="160"/>
      <c r="RWU34" s="160"/>
      <c r="RWV34" s="160"/>
      <c r="RWW34" s="160"/>
      <c r="RWX34" s="160"/>
      <c r="RWY34" s="160"/>
      <c r="RWZ34" s="160"/>
      <c r="RXA34" s="160"/>
      <c r="RXB34" s="160"/>
      <c r="RXC34" s="160"/>
      <c r="RXD34" s="160"/>
      <c r="RXE34" s="160"/>
      <c r="RXF34" s="160"/>
      <c r="RXG34" s="160"/>
      <c r="RXH34" s="160"/>
      <c r="RXI34" s="160"/>
      <c r="RXJ34" s="160"/>
      <c r="RXK34" s="160"/>
      <c r="RXQ34" s="160"/>
      <c r="RXR34" s="160"/>
      <c r="RXS34" s="160"/>
      <c r="RXT34" s="160"/>
      <c r="RXU34" s="160"/>
      <c r="RXV34" s="160"/>
      <c r="RXW34" s="160"/>
      <c r="RXX34" s="160"/>
      <c r="RXY34" s="160"/>
      <c r="RXZ34" s="160"/>
      <c r="RYA34" s="160"/>
      <c r="RYB34" s="160"/>
      <c r="RYC34" s="160"/>
      <c r="RYD34" s="160"/>
      <c r="RYE34" s="160"/>
      <c r="RYF34" s="160"/>
      <c r="RYG34" s="160"/>
      <c r="RYH34" s="160"/>
      <c r="RYI34" s="160"/>
      <c r="RYJ34" s="160"/>
      <c r="RYK34" s="160"/>
      <c r="RYL34" s="160"/>
      <c r="RYM34" s="160"/>
      <c r="RYN34" s="160"/>
      <c r="RYO34" s="160"/>
      <c r="RYP34" s="160"/>
      <c r="RYQ34" s="160"/>
      <c r="RYR34" s="160"/>
      <c r="RYS34" s="160"/>
      <c r="RYT34" s="160"/>
      <c r="RYU34" s="160"/>
      <c r="RYV34" s="160"/>
      <c r="RYW34" s="160"/>
      <c r="RYX34" s="160"/>
      <c r="RYY34" s="160"/>
      <c r="RYZ34" s="160"/>
      <c r="RZA34" s="160"/>
      <c r="RZB34" s="160"/>
      <c r="RZC34" s="160"/>
      <c r="RZD34" s="160"/>
      <c r="RZE34" s="160"/>
      <c r="RZF34" s="160"/>
      <c r="RZG34" s="160"/>
      <c r="RZH34" s="160"/>
      <c r="RZI34" s="160"/>
      <c r="RZJ34" s="160"/>
      <c r="RZK34" s="160"/>
      <c r="RZL34" s="160"/>
      <c r="RZM34" s="160"/>
      <c r="RZN34" s="160"/>
      <c r="RZO34" s="160"/>
      <c r="RZP34" s="160"/>
      <c r="RZQ34" s="160"/>
      <c r="RZR34" s="160"/>
      <c r="RZS34" s="160"/>
      <c r="RZT34" s="160"/>
      <c r="RZU34" s="160"/>
      <c r="RZV34" s="160"/>
      <c r="RZW34" s="160"/>
      <c r="RZX34" s="160"/>
      <c r="RZY34" s="160"/>
      <c r="RZZ34" s="160"/>
      <c r="SAA34" s="160"/>
      <c r="SAB34" s="160"/>
      <c r="SAC34" s="160"/>
      <c r="SAD34" s="160"/>
      <c r="SAE34" s="160"/>
      <c r="SAF34" s="160"/>
      <c r="SAG34" s="160"/>
      <c r="SAH34" s="160"/>
      <c r="SAI34" s="160"/>
      <c r="SAJ34" s="160"/>
      <c r="SAK34" s="160"/>
      <c r="SAL34" s="160"/>
      <c r="SAM34" s="160"/>
      <c r="SAN34" s="160"/>
      <c r="SAO34" s="160"/>
      <c r="SAP34" s="160"/>
      <c r="SAQ34" s="160"/>
      <c r="SAR34" s="160"/>
      <c r="SAS34" s="160"/>
      <c r="SAT34" s="160"/>
      <c r="SAU34" s="160"/>
      <c r="SAV34" s="160"/>
      <c r="SAW34" s="160"/>
      <c r="SAX34" s="160"/>
      <c r="SAY34" s="160"/>
      <c r="SAZ34" s="160"/>
      <c r="SBA34" s="160"/>
      <c r="SBB34" s="160"/>
      <c r="SBC34" s="160"/>
      <c r="SBD34" s="160"/>
      <c r="SBE34" s="160"/>
      <c r="SBF34" s="160"/>
      <c r="SBG34" s="160"/>
      <c r="SBH34" s="160"/>
      <c r="SBI34" s="160"/>
      <c r="SBJ34" s="160"/>
      <c r="SBK34" s="160"/>
      <c r="SBL34" s="160"/>
      <c r="SBM34" s="160"/>
      <c r="SBN34" s="160"/>
      <c r="SBO34" s="160"/>
      <c r="SBP34" s="160"/>
      <c r="SBQ34" s="160"/>
      <c r="SBR34" s="160"/>
      <c r="SBS34" s="160"/>
      <c r="SBT34" s="160"/>
      <c r="SBU34" s="160"/>
      <c r="SBV34" s="160"/>
      <c r="SBW34" s="160"/>
      <c r="SBX34" s="160"/>
      <c r="SBY34" s="160"/>
      <c r="SBZ34" s="160"/>
      <c r="SCA34" s="160"/>
      <c r="SCB34" s="160"/>
      <c r="SCC34" s="160"/>
      <c r="SCD34" s="160"/>
      <c r="SCE34" s="160"/>
      <c r="SCF34" s="160"/>
      <c r="SCG34" s="160"/>
      <c r="SCH34" s="160"/>
      <c r="SCI34" s="160"/>
      <c r="SCJ34" s="160"/>
      <c r="SCK34" s="160"/>
      <c r="SCL34" s="160"/>
      <c r="SCM34" s="160"/>
      <c r="SCN34" s="160"/>
      <c r="SCO34" s="160"/>
      <c r="SCP34" s="160"/>
      <c r="SCQ34" s="160"/>
      <c r="SCR34" s="160"/>
      <c r="SCS34" s="160"/>
      <c r="SCT34" s="160"/>
      <c r="SCU34" s="160"/>
      <c r="SCV34" s="160"/>
      <c r="SCW34" s="160"/>
      <c r="SCX34" s="160"/>
      <c r="SCY34" s="160"/>
      <c r="SCZ34" s="160"/>
      <c r="SDA34" s="160"/>
      <c r="SDB34" s="160"/>
      <c r="SDC34" s="160"/>
      <c r="SDD34" s="160"/>
      <c r="SDE34" s="160"/>
      <c r="SDF34" s="160"/>
      <c r="SDG34" s="160"/>
      <c r="SDH34" s="160"/>
      <c r="SDI34" s="160"/>
      <c r="SDJ34" s="160"/>
      <c r="SDK34" s="160"/>
      <c r="SDL34" s="160"/>
      <c r="SDM34" s="160"/>
      <c r="SDN34" s="160"/>
      <c r="SDO34" s="160"/>
      <c r="SDP34" s="160"/>
      <c r="SDQ34" s="160"/>
      <c r="SDR34" s="160"/>
      <c r="SDS34" s="160"/>
      <c r="SDT34" s="160"/>
      <c r="SDU34" s="160"/>
      <c r="SDV34" s="160"/>
      <c r="SDW34" s="160"/>
      <c r="SDX34" s="160"/>
      <c r="SDY34" s="160"/>
      <c r="SDZ34" s="160"/>
      <c r="SEA34" s="160"/>
      <c r="SEB34" s="160"/>
      <c r="SEC34" s="160"/>
      <c r="SED34" s="160"/>
      <c r="SEE34" s="160"/>
      <c r="SEF34" s="160"/>
      <c r="SEG34" s="160"/>
      <c r="SEH34" s="160"/>
      <c r="SEI34" s="160"/>
      <c r="SEJ34" s="160"/>
      <c r="SEK34" s="160"/>
      <c r="SEL34" s="160"/>
      <c r="SEM34" s="160"/>
      <c r="SEN34" s="160"/>
      <c r="SEO34" s="160"/>
      <c r="SEP34" s="160"/>
      <c r="SEQ34" s="160"/>
      <c r="SER34" s="160"/>
      <c r="SES34" s="160"/>
      <c r="SET34" s="160"/>
      <c r="SEU34" s="160"/>
      <c r="SEV34" s="160"/>
      <c r="SEW34" s="160"/>
      <c r="SEX34" s="160"/>
      <c r="SEY34" s="160"/>
      <c r="SEZ34" s="160"/>
      <c r="SFA34" s="160"/>
      <c r="SFB34" s="160"/>
      <c r="SFC34" s="160"/>
      <c r="SFD34" s="160"/>
      <c r="SFE34" s="160"/>
      <c r="SFF34" s="160"/>
      <c r="SFG34" s="160"/>
      <c r="SFH34" s="160"/>
      <c r="SFI34" s="160"/>
      <c r="SFJ34" s="160"/>
      <c r="SFK34" s="160"/>
      <c r="SFL34" s="160"/>
      <c r="SFM34" s="160"/>
      <c r="SFN34" s="160"/>
      <c r="SFO34" s="160"/>
      <c r="SFP34" s="160"/>
      <c r="SFQ34" s="160"/>
      <c r="SFR34" s="160"/>
      <c r="SFS34" s="160"/>
      <c r="SFT34" s="160"/>
      <c r="SFU34" s="160"/>
      <c r="SFV34" s="160"/>
      <c r="SFW34" s="160"/>
      <c r="SFX34" s="160"/>
      <c r="SFY34" s="160"/>
      <c r="SFZ34" s="160"/>
      <c r="SGA34" s="160"/>
      <c r="SGB34" s="160"/>
      <c r="SGC34" s="160"/>
      <c r="SGD34" s="160"/>
      <c r="SGE34" s="160"/>
      <c r="SGF34" s="160"/>
      <c r="SGG34" s="160"/>
      <c r="SGH34" s="160"/>
      <c r="SGI34" s="160"/>
      <c r="SGJ34" s="160"/>
      <c r="SGK34" s="160"/>
      <c r="SGL34" s="160"/>
      <c r="SGM34" s="160"/>
      <c r="SGN34" s="160"/>
      <c r="SGO34" s="160"/>
      <c r="SGP34" s="160"/>
      <c r="SGQ34" s="160"/>
      <c r="SGR34" s="160"/>
      <c r="SGS34" s="160"/>
      <c r="SGT34" s="160"/>
      <c r="SGU34" s="160"/>
      <c r="SGV34" s="160"/>
      <c r="SGW34" s="160"/>
      <c r="SGX34" s="160"/>
      <c r="SGY34" s="160"/>
      <c r="SGZ34" s="160"/>
      <c r="SHA34" s="160"/>
      <c r="SHB34" s="160"/>
      <c r="SHC34" s="160"/>
      <c r="SHD34" s="160"/>
      <c r="SHE34" s="160"/>
      <c r="SHF34" s="160"/>
      <c r="SHG34" s="160"/>
      <c r="SHM34" s="160"/>
      <c r="SHN34" s="160"/>
      <c r="SHO34" s="160"/>
      <c r="SHP34" s="160"/>
      <c r="SHQ34" s="160"/>
      <c r="SHR34" s="160"/>
      <c r="SHS34" s="160"/>
      <c r="SHT34" s="160"/>
      <c r="SHU34" s="160"/>
      <c r="SHV34" s="160"/>
      <c r="SHW34" s="160"/>
      <c r="SHX34" s="160"/>
      <c r="SHY34" s="160"/>
      <c r="SHZ34" s="160"/>
      <c r="SIA34" s="160"/>
      <c r="SIB34" s="160"/>
      <c r="SIC34" s="160"/>
      <c r="SID34" s="160"/>
      <c r="SIE34" s="160"/>
      <c r="SIF34" s="160"/>
      <c r="SIG34" s="160"/>
      <c r="SIH34" s="160"/>
      <c r="SII34" s="160"/>
      <c r="SIJ34" s="160"/>
      <c r="SIK34" s="160"/>
      <c r="SIL34" s="160"/>
      <c r="SIM34" s="160"/>
      <c r="SIN34" s="160"/>
      <c r="SIO34" s="160"/>
      <c r="SIP34" s="160"/>
      <c r="SIQ34" s="160"/>
      <c r="SIR34" s="160"/>
      <c r="SIS34" s="160"/>
      <c r="SIT34" s="160"/>
      <c r="SIU34" s="160"/>
      <c r="SIV34" s="160"/>
      <c r="SIW34" s="160"/>
      <c r="SIX34" s="160"/>
      <c r="SIY34" s="160"/>
      <c r="SIZ34" s="160"/>
      <c r="SJA34" s="160"/>
      <c r="SJB34" s="160"/>
      <c r="SJC34" s="160"/>
      <c r="SJD34" s="160"/>
      <c r="SJE34" s="160"/>
      <c r="SJF34" s="160"/>
      <c r="SJG34" s="160"/>
      <c r="SJH34" s="160"/>
      <c r="SJI34" s="160"/>
      <c r="SJJ34" s="160"/>
      <c r="SJK34" s="160"/>
      <c r="SJL34" s="160"/>
      <c r="SJM34" s="160"/>
      <c r="SJN34" s="160"/>
      <c r="SJO34" s="160"/>
      <c r="SJP34" s="160"/>
      <c r="SJQ34" s="160"/>
      <c r="SJR34" s="160"/>
      <c r="SJS34" s="160"/>
      <c r="SJT34" s="160"/>
      <c r="SJU34" s="160"/>
      <c r="SJV34" s="160"/>
      <c r="SJW34" s="160"/>
      <c r="SJX34" s="160"/>
      <c r="SJY34" s="160"/>
      <c r="SJZ34" s="160"/>
      <c r="SKA34" s="160"/>
      <c r="SKB34" s="160"/>
      <c r="SKC34" s="160"/>
      <c r="SKD34" s="160"/>
      <c r="SKE34" s="160"/>
      <c r="SKF34" s="160"/>
      <c r="SKG34" s="160"/>
      <c r="SKH34" s="160"/>
      <c r="SKI34" s="160"/>
      <c r="SKJ34" s="160"/>
      <c r="SKK34" s="160"/>
      <c r="SKL34" s="160"/>
      <c r="SKM34" s="160"/>
      <c r="SKN34" s="160"/>
      <c r="SKO34" s="160"/>
      <c r="SKP34" s="160"/>
      <c r="SKQ34" s="160"/>
      <c r="SKR34" s="160"/>
      <c r="SKS34" s="160"/>
      <c r="SKT34" s="160"/>
      <c r="SKU34" s="160"/>
      <c r="SKV34" s="160"/>
      <c r="SKW34" s="160"/>
      <c r="SKX34" s="160"/>
      <c r="SKY34" s="160"/>
      <c r="SKZ34" s="160"/>
      <c r="SLA34" s="160"/>
      <c r="SLB34" s="160"/>
      <c r="SLC34" s="160"/>
      <c r="SLD34" s="160"/>
      <c r="SLE34" s="160"/>
      <c r="SLF34" s="160"/>
      <c r="SLG34" s="160"/>
      <c r="SLH34" s="160"/>
      <c r="SLI34" s="160"/>
      <c r="SLJ34" s="160"/>
      <c r="SLK34" s="160"/>
      <c r="SLL34" s="160"/>
      <c r="SLM34" s="160"/>
      <c r="SLN34" s="160"/>
      <c r="SLO34" s="160"/>
      <c r="SLP34" s="160"/>
      <c r="SLQ34" s="160"/>
      <c r="SLR34" s="160"/>
      <c r="SLS34" s="160"/>
      <c r="SLT34" s="160"/>
      <c r="SLU34" s="160"/>
      <c r="SLV34" s="160"/>
      <c r="SLW34" s="160"/>
      <c r="SLX34" s="160"/>
      <c r="SLY34" s="160"/>
      <c r="SLZ34" s="160"/>
      <c r="SMA34" s="160"/>
      <c r="SMB34" s="160"/>
      <c r="SMC34" s="160"/>
      <c r="SMD34" s="160"/>
      <c r="SME34" s="160"/>
      <c r="SMF34" s="160"/>
      <c r="SMG34" s="160"/>
      <c r="SMH34" s="160"/>
      <c r="SMI34" s="160"/>
      <c r="SMJ34" s="160"/>
      <c r="SMK34" s="160"/>
      <c r="SML34" s="160"/>
      <c r="SMM34" s="160"/>
      <c r="SMN34" s="160"/>
      <c r="SMO34" s="160"/>
      <c r="SMP34" s="160"/>
      <c r="SMQ34" s="160"/>
      <c r="SMR34" s="160"/>
      <c r="SMS34" s="160"/>
      <c r="SMT34" s="160"/>
      <c r="SMU34" s="160"/>
      <c r="SMV34" s="160"/>
      <c r="SMW34" s="160"/>
      <c r="SMX34" s="160"/>
      <c r="SMY34" s="160"/>
      <c r="SMZ34" s="160"/>
      <c r="SNA34" s="160"/>
      <c r="SNB34" s="160"/>
      <c r="SNC34" s="160"/>
      <c r="SND34" s="160"/>
      <c r="SNE34" s="160"/>
      <c r="SNF34" s="160"/>
      <c r="SNG34" s="160"/>
      <c r="SNH34" s="160"/>
      <c r="SNI34" s="160"/>
      <c r="SNJ34" s="160"/>
      <c r="SNK34" s="160"/>
      <c r="SNL34" s="160"/>
      <c r="SNM34" s="160"/>
      <c r="SNN34" s="160"/>
      <c r="SNO34" s="160"/>
      <c r="SNP34" s="160"/>
      <c r="SNQ34" s="160"/>
      <c r="SNR34" s="160"/>
      <c r="SNS34" s="160"/>
      <c r="SNT34" s="160"/>
      <c r="SNU34" s="160"/>
      <c r="SNV34" s="160"/>
      <c r="SNW34" s="160"/>
      <c r="SNX34" s="160"/>
      <c r="SNY34" s="160"/>
      <c r="SNZ34" s="160"/>
      <c r="SOA34" s="160"/>
      <c r="SOB34" s="160"/>
      <c r="SOC34" s="160"/>
      <c r="SOD34" s="160"/>
      <c r="SOE34" s="160"/>
      <c r="SOF34" s="160"/>
      <c r="SOG34" s="160"/>
      <c r="SOH34" s="160"/>
      <c r="SOI34" s="160"/>
      <c r="SOJ34" s="160"/>
      <c r="SOK34" s="160"/>
      <c r="SOL34" s="160"/>
      <c r="SOM34" s="160"/>
      <c r="SON34" s="160"/>
      <c r="SOO34" s="160"/>
      <c r="SOP34" s="160"/>
      <c r="SOQ34" s="160"/>
      <c r="SOR34" s="160"/>
      <c r="SOS34" s="160"/>
      <c r="SOT34" s="160"/>
      <c r="SOU34" s="160"/>
      <c r="SOV34" s="160"/>
      <c r="SOW34" s="160"/>
      <c r="SOX34" s="160"/>
      <c r="SOY34" s="160"/>
      <c r="SOZ34" s="160"/>
      <c r="SPA34" s="160"/>
      <c r="SPB34" s="160"/>
      <c r="SPC34" s="160"/>
      <c r="SPD34" s="160"/>
      <c r="SPE34" s="160"/>
      <c r="SPF34" s="160"/>
      <c r="SPG34" s="160"/>
      <c r="SPH34" s="160"/>
      <c r="SPI34" s="160"/>
      <c r="SPJ34" s="160"/>
      <c r="SPK34" s="160"/>
      <c r="SPL34" s="160"/>
      <c r="SPM34" s="160"/>
      <c r="SPN34" s="160"/>
      <c r="SPO34" s="160"/>
      <c r="SPP34" s="160"/>
      <c r="SPQ34" s="160"/>
      <c r="SPR34" s="160"/>
      <c r="SPS34" s="160"/>
      <c r="SPT34" s="160"/>
      <c r="SPU34" s="160"/>
      <c r="SPV34" s="160"/>
      <c r="SPW34" s="160"/>
      <c r="SPX34" s="160"/>
      <c r="SPY34" s="160"/>
      <c r="SPZ34" s="160"/>
      <c r="SQA34" s="160"/>
      <c r="SQB34" s="160"/>
      <c r="SQC34" s="160"/>
      <c r="SQD34" s="160"/>
      <c r="SQE34" s="160"/>
      <c r="SQF34" s="160"/>
      <c r="SQG34" s="160"/>
      <c r="SQH34" s="160"/>
      <c r="SQI34" s="160"/>
      <c r="SQJ34" s="160"/>
      <c r="SQK34" s="160"/>
      <c r="SQL34" s="160"/>
      <c r="SQM34" s="160"/>
      <c r="SQN34" s="160"/>
      <c r="SQO34" s="160"/>
      <c r="SQP34" s="160"/>
      <c r="SQQ34" s="160"/>
      <c r="SQR34" s="160"/>
      <c r="SQS34" s="160"/>
      <c r="SQT34" s="160"/>
      <c r="SQU34" s="160"/>
      <c r="SQV34" s="160"/>
      <c r="SQW34" s="160"/>
      <c r="SQX34" s="160"/>
      <c r="SQY34" s="160"/>
      <c r="SQZ34" s="160"/>
      <c r="SRA34" s="160"/>
      <c r="SRB34" s="160"/>
      <c r="SRC34" s="160"/>
      <c r="SRI34" s="160"/>
      <c r="SRJ34" s="160"/>
      <c r="SRK34" s="160"/>
      <c r="SRL34" s="160"/>
      <c r="SRM34" s="160"/>
      <c r="SRN34" s="160"/>
      <c r="SRO34" s="160"/>
      <c r="SRP34" s="160"/>
      <c r="SRQ34" s="160"/>
      <c r="SRR34" s="160"/>
      <c r="SRS34" s="160"/>
      <c r="SRT34" s="160"/>
      <c r="SRU34" s="160"/>
      <c r="SRV34" s="160"/>
      <c r="SRW34" s="160"/>
      <c r="SRX34" s="160"/>
      <c r="SRY34" s="160"/>
      <c r="SRZ34" s="160"/>
      <c r="SSA34" s="160"/>
      <c r="SSB34" s="160"/>
      <c r="SSC34" s="160"/>
      <c r="SSD34" s="160"/>
      <c r="SSE34" s="160"/>
      <c r="SSF34" s="160"/>
      <c r="SSG34" s="160"/>
      <c r="SSH34" s="160"/>
      <c r="SSI34" s="160"/>
      <c r="SSJ34" s="160"/>
      <c r="SSK34" s="160"/>
      <c r="SSL34" s="160"/>
      <c r="SSM34" s="160"/>
      <c r="SSN34" s="160"/>
      <c r="SSO34" s="160"/>
      <c r="SSP34" s="160"/>
      <c r="SSQ34" s="160"/>
      <c r="SSR34" s="160"/>
      <c r="SSS34" s="160"/>
      <c r="SST34" s="160"/>
      <c r="SSU34" s="160"/>
      <c r="SSV34" s="160"/>
      <c r="SSW34" s="160"/>
      <c r="SSX34" s="160"/>
      <c r="SSY34" s="160"/>
      <c r="SSZ34" s="160"/>
      <c r="STA34" s="160"/>
      <c r="STB34" s="160"/>
      <c r="STC34" s="160"/>
      <c r="STD34" s="160"/>
      <c r="STE34" s="160"/>
      <c r="STF34" s="160"/>
      <c r="STG34" s="160"/>
      <c r="STH34" s="160"/>
      <c r="STI34" s="160"/>
      <c r="STJ34" s="160"/>
      <c r="STK34" s="160"/>
      <c r="STL34" s="160"/>
      <c r="STM34" s="160"/>
      <c r="STN34" s="160"/>
      <c r="STO34" s="160"/>
      <c r="STP34" s="160"/>
      <c r="STQ34" s="160"/>
      <c r="STR34" s="160"/>
      <c r="STS34" s="160"/>
      <c r="STT34" s="160"/>
      <c r="STU34" s="160"/>
      <c r="STV34" s="160"/>
      <c r="STW34" s="160"/>
      <c r="STX34" s="160"/>
      <c r="STY34" s="160"/>
      <c r="STZ34" s="160"/>
      <c r="SUA34" s="160"/>
      <c r="SUB34" s="160"/>
      <c r="SUC34" s="160"/>
      <c r="SUD34" s="160"/>
      <c r="SUE34" s="160"/>
      <c r="SUF34" s="160"/>
      <c r="SUG34" s="160"/>
      <c r="SUH34" s="160"/>
      <c r="SUI34" s="160"/>
      <c r="SUJ34" s="160"/>
      <c r="SUK34" s="160"/>
      <c r="SUL34" s="160"/>
      <c r="SUM34" s="160"/>
      <c r="SUN34" s="160"/>
      <c r="SUO34" s="160"/>
      <c r="SUP34" s="160"/>
      <c r="SUQ34" s="160"/>
      <c r="SUR34" s="160"/>
      <c r="SUS34" s="160"/>
      <c r="SUT34" s="160"/>
      <c r="SUU34" s="160"/>
      <c r="SUV34" s="160"/>
      <c r="SUW34" s="160"/>
      <c r="SUX34" s="160"/>
      <c r="SUY34" s="160"/>
      <c r="SUZ34" s="160"/>
      <c r="SVA34" s="160"/>
      <c r="SVB34" s="160"/>
      <c r="SVC34" s="160"/>
      <c r="SVD34" s="160"/>
      <c r="SVE34" s="160"/>
      <c r="SVF34" s="160"/>
      <c r="SVG34" s="160"/>
      <c r="SVH34" s="160"/>
      <c r="SVI34" s="160"/>
      <c r="SVJ34" s="160"/>
      <c r="SVK34" s="160"/>
      <c r="SVL34" s="160"/>
      <c r="SVM34" s="160"/>
      <c r="SVN34" s="160"/>
      <c r="SVO34" s="160"/>
      <c r="SVP34" s="160"/>
      <c r="SVQ34" s="160"/>
      <c r="SVR34" s="160"/>
      <c r="SVS34" s="160"/>
      <c r="SVT34" s="160"/>
      <c r="SVU34" s="160"/>
      <c r="SVV34" s="160"/>
      <c r="SVW34" s="160"/>
      <c r="SVX34" s="160"/>
      <c r="SVY34" s="160"/>
      <c r="SVZ34" s="160"/>
      <c r="SWA34" s="160"/>
      <c r="SWB34" s="160"/>
      <c r="SWC34" s="160"/>
      <c r="SWD34" s="160"/>
      <c r="SWE34" s="160"/>
      <c r="SWF34" s="160"/>
      <c r="SWG34" s="160"/>
      <c r="SWH34" s="160"/>
      <c r="SWI34" s="160"/>
      <c r="SWJ34" s="160"/>
      <c r="SWK34" s="160"/>
      <c r="SWL34" s="160"/>
      <c r="SWM34" s="160"/>
      <c r="SWN34" s="160"/>
      <c r="SWO34" s="160"/>
      <c r="SWP34" s="160"/>
      <c r="SWQ34" s="160"/>
      <c r="SWR34" s="160"/>
      <c r="SWS34" s="160"/>
      <c r="SWT34" s="160"/>
      <c r="SWU34" s="160"/>
      <c r="SWV34" s="160"/>
      <c r="SWW34" s="160"/>
      <c r="SWX34" s="160"/>
      <c r="SWY34" s="160"/>
      <c r="SWZ34" s="160"/>
      <c r="SXA34" s="160"/>
      <c r="SXB34" s="160"/>
      <c r="SXC34" s="160"/>
      <c r="SXD34" s="160"/>
      <c r="SXE34" s="160"/>
      <c r="SXF34" s="160"/>
      <c r="SXG34" s="160"/>
      <c r="SXH34" s="160"/>
      <c r="SXI34" s="160"/>
      <c r="SXJ34" s="160"/>
      <c r="SXK34" s="160"/>
      <c r="SXL34" s="160"/>
      <c r="SXM34" s="160"/>
      <c r="SXN34" s="160"/>
      <c r="SXO34" s="160"/>
      <c r="SXP34" s="160"/>
      <c r="SXQ34" s="160"/>
      <c r="SXR34" s="160"/>
      <c r="SXS34" s="160"/>
      <c r="SXT34" s="160"/>
      <c r="SXU34" s="160"/>
      <c r="SXV34" s="160"/>
      <c r="SXW34" s="160"/>
      <c r="SXX34" s="160"/>
      <c r="SXY34" s="160"/>
      <c r="SXZ34" s="160"/>
      <c r="SYA34" s="160"/>
      <c r="SYB34" s="160"/>
      <c r="SYC34" s="160"/>
      <c r="SYD34" s="160"/>
      <c r="SYE34" s="160"/>
      <c r="SYF34" s="160"/>
      <c r="SYG34" s="160"/>
      <c r="SYH34" s="160"/>
      <c r="SYI34" s="160"/>
      <c r="SYJ34" s="160"/>
      <c r="SYK34" s="160"/>
      <c r="SYL34" s="160"/>
      <c r="SYM34" s="160"/>
      <c r="SYN34" s="160"/>
      <c r="SYO34" s="160"/>
      <c r="SYP34" s="160"/>
      <c r="SYQ34" s="160"/>
      <c r="SYR34" s="160"/>
      <c r="SYS34" s="160"/>
      <c r="SYT34" s="160"/>
      <c r="SYU34" s="160"/>
      <c r="SYV34" s="160"/>
      <c r="SYW34" s="160"/>
      <c r="SYX34" s="160"/>
      <c r="SYY34" s="160"/>
      <c r="SYZ34" s="160"/>
      <c r="SZA34" s="160"/>
      <c r="SZB34" s="160"/>
      <c r="SZC34" s="160"/>
      <c r="SZD34" s="160"/>
      <c r="SZE34" s="160"/>
      <c r="SZF34" s="160"/>
      <c r="SZG34" s="160"/>
      <c r="SZH34" s="160"/>
      <c r="SZI34" s="160"/>
      <c r="SZJ34" s="160"/>
      <c r="SZK34" s="160"/>
      <c r="SZL34" s="160"/>
      <c r="SZM34" s="160"/>
      <c r="SZN34" s="160"/>
      <c r="SZO34" s="160"/>
      <c r="SZP34" s="160"/>
      <c r="SZQ34" s="160"/>
      <c r="SZR34" s="160"/>
      <c r="SZS34" s="160"/>
      <c r="SZT34" s="160"/>
      <c r="SZU34" s="160"/>
      <c r="SZV34" s="160"/>
      <c r="SZW34" s="160"/>
      <c r="SZX34" s="160"/>
      <c r="SZY34" s="160"/>
      <c r="SZZ34" s="160"/>
      <c r="TAA34" s="160"/>
      <c r="TAB34" s="160"/>
      <c r="TAC34" s="160"/>
      <c r="TAD34" s="160"/>
      <c r="TAE34" s="160"/>
      <c r="TAF34" s="160"/>
      <c r="TAG34" s="160"/>
      <c r="TAH34" s="160"/>
      <c r="TAI34" s="160"/>
      <c r="TAJ34" s="160"/>
      <c r="TAK34" s="160"/>
      <c r="TAL34" s="160"/>
      <c r="TAM34" s="160"/>
      <c r="TAN34" s="160"/>
      <c r="TAO34" s="160"/>
      <c r="TAP34" s="160"/>
      <c r="TAQ34" s="160"/>
      <c r="TAR34" s="160"/>
      <c r="TAS34" s="160"/>
      <c r="TAT34" s="160"/>
      <c r="TAU34" s="160"/>
      <c r="TAV34" s="160"/>
      <c r="TAW34" s="160"/>
      <c r="TAX34" s="160"/>
      <c r="TAY34" s="160"/>
      <c r="TBE34" s="160"/>
      <c r="TBF34" s="160"/>
      <c r="TBG34" s="160"/>
      <c r="TBH34" s="160"/>
      <c r="TBI34" s="160"/>
      <c r="TBJ34" s="160"/>
      <c r="TBK34" s="160"/>
      <c r="TBL34" s="160"/>
      <c r="TBM34" s="160"/>
      <c r="TBN34" s="160"/>
      <c r="TBO34" s="160"/>
      <c r="TBP34" s="160"/>
      <c r="TBQ34" s="160"/>
      <c r="TBR34" s="160"/>
      <c r="TBS34" s="160"/>
      <c r="TBT34" s="160"/>
      <c r="TBU34" s="160"/>
      <c r="TBV34" s="160"/>
      <c r="TBW34" s="160"/>
      <c r="TBX34" s="160"/>
      <c r="TBY34" s="160"/>
      <c r="TBZ34" s="160"/>
      <c r="TCA34" s="160"/>
      <c r="TCB34" s="160"/>
      <c r="TCC34" s="160"/>
      <c r="TCD34" s="160"/>
      <c r="TCE34" s="160"/>
      <c r="TCF34" s="160"/>
      <c r="TCG34" s="160"/>
      <c r="TCH34" s="160"/>
      <c r="TCI34" s="160"/>
      <c r="TCJ34" s="160"/>
      <c r="TCK34" s="160"/>
      <c r="TCL34" s="160"/>
      <c r="TCM34" s="160"/>
      <c r="TCN34" s="160"/>
      <c r="TCO34" s="160"/>
      <c r="TCP34" s="160"/>
      <c r="TCQ34" s="160"/>
      <c r="TCR34" s="160"/>
      <c r="TCS34" s="160"/>
      <c r="TCT34" s="160"/>
      <c r="TCU34" s="160"/>
      <c r="TCV34" s="160"/>
      <c r="TCW34" s="160"/>
      <c r="TCX34" s="160"/>
      <c r="TCY34" s="160"/>
      <c r="TCZ34" s="160"/>
      <c r="TDA34" s="160"/>
      <c r="TDB34" s="160"/>
      <c r="TDC34" s="160"/>
      <c r="TDD34" s="160"/>
      <c r="TDE34" s="160"/>
      <c r="TDF34" s="160"/>
      <c r="TDG34" s="160"/>
      <c r="TDH34" s="160"/>
      <c r="TDI34" s="160"/>
      <c r="TDJ34" s="160"/>
      <c r="TDK34" s="160"/>
      <c r="TDL34" s="160"/>
      <c r="TDM34" s="160"/>
      <c r="TDN34" s="160"/>
      <c r="TDO34" s="160"/>
      <c r="TDP34" s="160"/>
      <c r="TDQ34" s="160"/>
      <c r="TDR34" s="160"/>
      <c r="TDS34" s="160"/>
      <c r="TDT34" s="160"/>
      <c r="TDU34" s="160"/>
      <c r="TDV34" s="160"/>
      <c r="TDW34" s="160"/>
      <c r="TDX34" s="160"/>
      <c r="TDY34" s="160"/>
      <c r="TDZ34" s="160"/>
      <c r="TEA34" s="160"/>
      <c r="TEB34" s="160"/>
      <c r="TEC34" s="160"/>
      <c r="TED34" s="160"/>
      <c r="TEE34" s="160"/>
      <c r="TEF34" s="160"/>
      <c r="TEG34" s="160"/>
      <c r="TEH34" s="160"/>
      <c r="TEI34" s="160"/>
      <c r="TEJ34" s="160"/>
      <c r="TEK34" s="160"/>
      <c r="TEL34" s="160"/>
      <c r="TEM34" s="160"/>
      <c r="TEN34" s="160"/>
      <c r="TEO34" s="160"/>
      <c r="TEP34" s="160"/>
      <c r="TEQ34" s="160"/>
      <c r="TER34" s="160"/>
      <c r="TES34" s="160"/>
      <c r="TET34" s="160"/>
      <c r="TEU34" s="160"/>
      <c r="TEV34" s="160"/>
      <c r="TEW34" s="160"/>
      <c r="TEX34" s="160"/>
      <c r="TEY34" s="160"/>
      <c r="TEZ34" s="160"/>
      <c r="TFA34" s="160"/>
      <c r="TFB34" s="160"/>
      <c r="TFC34" s="160"/>
      <c r="TFD34" s="160"/>
      <c r="TFE34" s="160"/>
      <c r="TFF34" s="160"/>
      <c r="TFG34" s="160"/>
      <c r="TFH34" s="160"/>
      <c r="TFI34" s="160"/>
      <c r="TFJ34" s="160"/>
      <c r="TFK34" s="160"/>
      <c r="TFL34" s="160"/>
      <c r="TFM34" s="160"/>
      <c r="TFN34" s="160"/>
      <c r="TFO34" s="160"/>
      <c r="TFP34" s="160"/>
      <c r="TFQ34" s="160"/>
      <c r="TFR34" s="160"/>
      <c r="TFS34" s="160"/>
      <c r="TFT34" s="160"/>
      <c r="TFU34" s="160"/>
      <c r="TFV34" s="160"/>
      <c r="TFW34" s="160"/>
      <c r="TFX34" s="160"/>
      <c r="TFY34" s="160"/>
      <c r="TFZ34" s="160"/>
      <c r="TGA34" s="160"/>
      <c r="TGB34" s="160"/>
      <c r="TGC34" s="160"/>
      <c r="TGD34" s="160"/>
      <c r="TGE34" s="160"/>
      <c r="TGF34" s="160"/>
      <c r="TGG34" s="160"/>
      <c r="TGH34" s="160"/>
      <c r="TGI34" s="160"/>
      <c r="TGJ34" s="160"/>
      <c r="TGK34" s="160"/>
      <c r="TGL34" s="160"/>
      <c r="TGM34" s="160"/>
      <c r="TGN34" s="160"/>
      <c r="TGO34" s="160"/>
      <c r="TGP34" s="160"/>
      <c r="TGQ34" s="160"/>
      <c r="TGR34" s="160"/>
      <c r="TGS34" s="160"/>
      <c r="TGT34" s="160"/>
      <c r="TGU34" s="160"/>
      <c r="TGV34" s="160"/>
      <c r="TGW34" s="160"/>
      <c r="TGX34" s="160"/>
      <c r="TGY34" s="160"/>
      <c r="TGZ34" s="160"/>
      <c r="THA34" s="160"/>
      <c r="THB34" s="160"/>
      <c r="THC34" s="160"/>
      <c r="THD34" s="160"/>
      <c r="THE34" s="160"/>
      <c r="THF34" s="160"/>
      <c r="THG34" s="160"/>
      <c r="THH34" s="160"/>
      <c r="THI34" s="160"/>
      <c r="THJ34" s="160"/>
      <c r="THK34" s="160"/>
      <c r="THL34" s="160"/>
      <c r="THM34" s="160"/>
      <c r="THN34" s="160"/>
      <c r="THO34" s="160"/>
      <c r="THP34" s="160"/>
      <c r="THQ34" s="160"/>
      <c r="THR34" s="160"/>
      <c r="THS34" s="160"/>
      <c r="THT34" s="160"/>
      <c r="THU34" s="160"/>
      <c r="THV34" s="160"/>
      <c r="THW34" s="160"/>
      <c r="THX34" s="160"/>
      <c r="THY34" s="160"/>
      <c r="THZ34" s="160"/>
      <c r="TIA34" s="160"/>
      <c r="TIB34" s="160"/>
      <c r="TIC34" s="160"/>
      <c r="TID34" s="160"/>
      <c r="TIE34" s="160"/>
      <c r="TIF34" s="160"/>
      <c r="TIG34" s="160"/>
      <c r="TIH34" s="160"/>
      <c r="TII34" s="160"/>
      <c r="TIJ34" s="160"/>
      <c r="TIK34" s="160"/>
      <c r="TIL34" s="160"/>
      <c r="TIM34" s="160"/>
      <c r="TIN34" s="160"/>
      <c r="TIO34" s="160"/>
      <c r="TIP34" s="160"/>
      <c r="TIQ34" s="160"/>
      <c r="TIR34" s="160"/>
      <c r="TIS34" s="160"/>
      <c r="TIT34" s="160"/>
      <c r="TIU34" s="160"/>
      <c r="TIV34" s="160"/>
      <c r="TIW34" s="160"/>
      <c r="TIX34" s="160"/>
      <c r="TIY34" s="160"/>
      <c r="TIZ34" s="160"/>
      <c r="TJA34" s="160"/>
      <c r="TJB34" s="160"/>
      <c r="TJC34" s="160"/>
      <c r="TJD34" s="160"/>
      <c r="TJE34" s="160"/>
      <c r="TJF34" s="160"/>
      <c r="TJG34" s="160"/>
      <c r="TJH34" s="160"/>
      <c r="TJI34" s="160"/>
      <c r="TJJ34" s="160"/>
      <c r="TJK34" s="160"/>
      <c r="TJL34" s="160"/>
      <c r="TJM34" s="160"/>
      <c r="TJN34" s="160"/>
      <c r="TJO34" s="160"/>
      <c r="TJP34" s="160"/>
      <c r="TJQ34" s="160"/>
      <c r="TJR34" s="160"/>
      <c r="TJS34" s="160"/>
      <c r="TJT34" s="160"/>
      <c r="TJU34" s="160"/>
      <c r="TJV34" s="160"/>
      <c r="TJW34" s="160"/>
      <c r="TJX34" s="160"/>
      <c r="TJY34" s="160"/>
      <c r="TJZ34" s="160"/>
      <c r="TKA34" s="160"/>
      <c r="TKB34" s="160"/>
      <c r="TKC34" s="160"/>
      <c r="TKD34" s="160"/>
      <c r="TKE34" s="160"/>
      <c r="TKF34" s="160"/>
      <c r="TKG34" s="160"/>
      <c r="TKH34" s="160"/>
      <c r="TKI34" s="160"/>
      <c r="TKJ34" s="160"/>
      <c r="TKK34" s="160"/>
      <c r="TKL34" s="160"/>
      <c r="TKM34" s="160"/>
      <c r="TKN34" s="160"/>
      <c r="TKO34" s="160"/>
      <c r="TKP34" s="160"/>
      <c r="TKQ34" s="160"/>
      <c r="TKR34" s="160"/>
      <c r="TKS34" s="160"/>
      <c r="TKT34" s="160"/>
      <c r="TKU34" s="160"/>
      <c r="TLA34" s="160"/>
      <c r="TLB34" s="160"/>
      <c r="TLC34" s="160"/>
      <c r="TLD34" s="160"/>
      <c r="TLE34" s="160"/>
      <c r="TLF34" s="160"/>
      <c r="TLG34" s="160"/>
      <c r="TLH34" s="160"/>
      <c r="TLI34" s="160"/>
      <c r="TLJ34" s="160"/>
      <c r="TLK34" s="160"/>
      <c r="TLL34" s="160"/>
      <c r="TLM34" s="160"/>
      <c r="TLN34" s="160"/>
      <c r="TLO34" s="160"/>
      <c r="TLP34" s="160"/>
      <c r="TLQ34" s="160"/>
      <c r="TLR34" s="160"/>
      <c r="TLS34" s="160"/>
      <c r="TLT34" s="160"/>
      <c r="TLU34" s="160"/>
      <c r="TLV34" s="160"/>
      <c r="TLW34" s="160"/>
      <c r="TLX34" s="160"/>
      <c r="TLY34" s="160"/>
      <c r="TLZ34" s="160"/>
      <c r="TMA34" s="160"/>
      <c r="TMB34" s="160"/>
      <c r="TMC34" s="160"/>
      <c r="TMD34" s="160"/>
      <c r="TME34" s="160"/>
      <c r="TMF34" s="160"/>
      <c r="TMG34" s="160"/>
      <c r="TMH34" s="160"/>
      <c r="TMI34" s="160"/>
      <c r="TMJ34" s="160"/>
      <c r="TMK34" s="160"/>
      <c r="TML34" s="160"/>
      <c r="TMM34" s="160"/>
      <c r="TMN34" s="160"/>
      <c r="TMO34" s="160"/>
      <c r="TMP34" s="160"/>
      <c r="TMQ34" s="160"/>
      <c r="TMR34" s="160"/>
      <c r="TMS34" s="160"/>
      <c r="TMT34" s="160"/>
      <c r="TMU34" s="160"/>
      <c r="TMV34" s="160"/>
      <c r="TMW34" s="160"/>
      <c r="TMX34" s="160"/>
      <c r="TMY34" s="160"/>
      <c r="TMZ34" s="160"/>
      <c r="TNA34" s="160"/>
      <c r="TNB34" s="160"/>
      <c r="TNC34" s="160"/>
      <c r="TND34" s="160"/>
      <c r="TNE34" s="160"/>
      <c r="TNF34" s="160"/>
      <c r="TNG34" s="160"/>
      <c r="TNH34" s="160"/>
      <c r="TNI34" s="160"/>
      <c r="TNJ34" s="160"/>
      <c r="TNK34" s="160"/>
      <c r="TNL34" s="160"/>
      <c r="TNM34" s="160"/>
      <c r="TNN34" s="160"/>
      <c r="TNO34" s="160"/>
      <c r="TNP34" s="160"/>
      <c r="TNQ34" s="160"/>
      <c r="TNR34" s="160"/>
      <c r="TNS34" s="160"/>
      <c r="TNT34" s="160"/>
      <c r="TNU34" s="160"/>
      <c r="TNV34" s="160"/>
      <c r="TNW34" s="160"/>
      <c r="TNX34" s="160"/>
      <c r="TNY34" s="160"/>
      <c r="TNZ34" s="160"/>
      <c r="TOA34" s="160"/>
      <c r="TOB34" s="160"/>
      <c r="TOC34" s="160"/>
      <c r="TOD34" s="160"/>
      <c r="TOE34" s="160"/>
      <c r="TOF34" s="160"/>
      <c r="TOG34" s="160"/>
      <c r="TOH34" s="160"/>
      <c r="TOI34" s="160"/>
      <c r="TOJ34" s="160"/>
      <c r="TOK34" s="160"/>
      <c r="TOL34" s="160"/>
      <c r="TOM34" s="160"/>
      <c r="TON34" s="160"/>
      <c r="TOO34" s="160"/>
      <c r="TOP34" s="160"/>
      <c r="TOQ34" s="160"/>
      <c r="TOR34" s="160"/>
      <c r="TOS34" s="160"/>
      <c r="TOT34" s="160"/>
      <c r="TOU34" s="160"/>
      <c r="TOV34" s="160"/>
      <c r="TOW34" s="160"/>
      <c r="TOX34" s="160"/>
      <c r="TOY34" s="160"/>
      <c r="TOZ34" s="160"/>
      <c r="TPA34" s="160"/>
      <c r="TPB34" s="160"/>
      <c r="TPC34" s="160"/>
      <c r="TPD34" s="160"/>
      <c r="TPE34" s="160"/>
      <c r="TPF34" s="160"/>
      <c r="TPG34" s="160"/>
      <c r="TPH34" s="160"/>
      <c r="TPI34" s="160"/>
      <c r="TPJ34" s="160"/>
      <c r="TPK34" s="160"/>
      <c r="TPL34" s="160"/>
      <c r="TPM34" s="160"/>
      <c r="TPN34" s="160"/>
      <c r="TPO34" s="160"/>
      <c r="TPP34" s="160"/>
      <c r="TPQ34" s="160"/>
      <c r="TPR34" s="160"/>
      <c r="TPS34" s="160"/>
      <c r="TPT34" s="160"/>
      <c r="TPU34" s="160"/>
      <c r="TPV34" s="160"/>
      <c r="TPW34" s="160"/>
      <c r="TPX34" s="160"/>
      <c r="TPY34" s="160"/>
      <c r="TPZ34" s="160"/>
      <c r="TQA34" s="160"/>
      <c r="TQB34" s="160"/>
      <c r="TQC34" s="160"/>
      <c r="TQD34" s="160"/>
      <c r="TQE34" s="160"/>
      <c r="TQF34" s="160"/>
      <c r="TQG34" s="160"/>
      <c r="TQH34" s="160"/>
      <c r="TQI34" s="160"/>
      <c r="TQJ34" s="160"/>
      <c r="TQK34" s="160"/>
      <c r="TQL34" s="160"/>
      <c r="TQM34" s="160"/>
      <c r="TQN34" s="160"/>
      <c r="TQO34" s="160"/>
      <c r="TQP34" s="160"/>
      <c r="TQQ34" s="160"/>
      <c r="TQR34" s="160"/>
      <c r="TQS34" s="160"/>
      <c r="TQT34" s="160"/>
      <c r="TQU34" s="160"/>
      <c r="TQV34" s="160"/>
      <c r="TQW34" s="160"/>
      <c r="TQX34" s="160"/>
      <c r="TQY34" s="160"/>
      <c r="TQZ34" s="160"/>
      <c r="TRA34" s="160"/>
      <c r="TRB34" s="160"/>
      <c r="TRC34" s="160"/>
      <c r="TRD34" s="160"/>
      <c r="TRE34" s="160"/>
      <c r="TRF34" s="160"/>
      <c r="TRG34" s="160"/>
      <c r="TRH34" s="160"/>
      <c r="TRI34" s="160"/>
      <c r="TRJ34" s="160"/>
      <c r="TRK34" s="160"/>
      <c r="TRL34" s="160"/>
      <c r="TRM34" s="160"/>
      <c r="TRN34" s="160"/>
      <c r="TRO34" s="160"/>
      <c r="TRP34" s="160"/>
      <c r="TRQ34" s="160"/>
      <c r="TRR34" s="160"/>
      <c r="TRS34" s="160"/>
      <c r="TRT34" s="160"/>
      <c r="TRU34" s="160"/>
      <c r="TRV34" s="160"/>
      <c r="TRW34" s="160"/>
      <c r="TRX34" s="160"/>
      <c r="TRY34" s="160"/>
      <c r="TRZ34" s="160"/>
      <c r="TSA34" s="160"/>
      <c r="TSB34" s="160"/>
      <c r="TSC34" s="160"/>
      <c r="TSD34" s="160"/>
      <c r="TSE34" s="160"/>
      <c r="TSF34" s="160"/>
      <c r="TSG34" s="160"/>
      <c r="TSH34" s="160"/>
      <c r="TSI34" s="160"/>
      <c r="TSJ34" s="160"/>
      <c r="TSK34" s="160"/>
      <c r="TSL34" s="160"/>
      <c r="TSM34" s="160"/>
      <c r="TSN34" s="160"/>
      <c r="TSO34" s="160"/>
      <c r="TSP34" s="160"/>
      <c r="TSQ34" s="160"/>
      <c r="TSR34" s="160"/>
      <c r="TSS34" s="160"/>
      <c r="TST34" s="160"/>
      <c r="TSU34" s="160"/>
      <c r="TSV34" s="160"/>
      <c r="TSW34" s="160"/>
      <c r="TSX34" s="160"/>
      <c r="TSY34" s="160"/>
      <c r="TSZ34" s="160"/>
      <c r="TTA34" s="160"/>
      <c r="TTB34" s="160"/>
      <c r="TTC34" s="160"/>
      <c r="TTD34" s="160"/>
      <c r="TTE34" s="160"/>
      <c r="TTF34" s="160"/>
      <c r="TTG34" s="160"/>
      <c r="TTH34" s="160"/>
      <c r="TTI34" s="160"/>
      <c r="TTJ34" s="160"/>
      <c r="TTK34" s="160"/>
      <c r="TTL34" s="160"/>
      <c r="TTM34" s="160"/>
      <c r="TTN34" s="160"/>
      <c r="TTO34" s="160"/>
      <c r="TTP34" s="160"/>
      <c r="TTQ34" s="160"/>
      <c r="TTR34" s="160"/>
      <c r="TTS34" s="160"/>
      <c r="TTT34" s="160"/>
      <c r="TTU34" s="160"/>
      <c r="TTV34" s="160"/>
      <c r="TTW34" s="160"/>
      <c r="TTX34" s="160"/>
      <c r="TTY34" s="160"/>
      <c r="TTZ34" s="160"/>
      <c r="TUA34" s="160"/>
      <c r="TUB34" s="160"/>
      <c r="TUC34" s="160"/>
      <c r="TUD34" s="160"/>
      <c r="TUE34" s="160"/>
      <c r="TUF34" s="160"/>
      <c r="TUG34" s="160"/>
      <c r="TUH34" s="160"/>
      <c r="TUI34" s="160"/>
      <c r="TUJ34" s="160"/>
      <c r="TUK34" s="160"/>
      <c r="TUL34" s="160"/>
      <c r="TUM34" s="160"/>
      <c r="TUN34" s="160"/>
      <c r="TUO34" s="160"/>
      <c r="TUP34" s="160"/>
      <c r="TUQ34" s="160"/>
      <c r="TUW34" s="160"/>
      <c r="TUX34" s="160"/>
      <c r="TUY34" s="160"/>
      <c r="TUZ34" s="160"/>
      <c r="TVA34" s="160"/>
      <c r="TVB34" s="160"/>
      <c r="TVC34" s="160"/>
      <c r="TVD34" s="160"/>
      <c r="TVE34" s="160"/>
      <c r="TVF34" s="160"/>
      <c r="TVG34" s="160"/>
      <c r="TVH34" s="160"/>
      <c r="TVI34" s="160"/>
      <c r="TVJ34" s="160"/>
      <c r="TVK34" s="160"/>
      <c r="TVL34" s="160"/>
      <c r="TVM34" s="160"/>
      <c r="TVN34" s="160"/>
      <c r="TVO34" s="160"/>
      <c r="TVP34" s="160"/>
      <c r="TVQ34" s="160"/>
      <c r="TVR34" s="160"/>
      <c r="TVS34" s="160"/>
      <c r="TVT34" s="160"/>
      <c r="TVU34" s="160"/>
      <c r="TVV34" s="160"/>
      <c r="TVW34" s="160"/>
      <c r="TVX34" s="160"/>
      <c r="TVY34" s="160"/>
      <c r="TVZ34" s="160"/>
      <c r="TWA34" s="160"/>
      <c r="TWB34" s="160"/>
      <c r="TWC34" s="160"/>
      <c r="TWD34" s="160"/>
      <c r="TWE34" s="160"/>
      <c r="TWF34" s="160"/>
      <c r="TWG34" s="160"/>
      <c r="TWH34" s="160"/>
      <c r="TWI34" s="160"/>
      <c r="TWJ34" s="160"/>
      <c r="TWK34" s="160"/>
      <c r="TWL34" s="160"/>
      <c r="TWM34" s="160"/>
      <c r="TWN34" s="160"/>
      <c r="TWO34" s="160"/>
      <c r="TWP34" s="160"/>
      <c r="TWQ34" s="160"/>
      <c r="TWR34" s="160"/>
      <c r="TWS34" s="160"/>
      <c r="TWT34" s="160"/>
      <c r="TWU34" s="160"/>
      <c r="TWV34" s="160"/>
      <c r="TWW34" s="160"/>
      <c r="TWX34" s="160"/>
      <c r="TWY34" s="160"/>
      <c r="TWZ34" s="160"/>
      <c r="TXA34" s="160"/>
      <c r="TXB34" s="160"/>
      <c r="TXC34" s="160"/>
      <c r="TXD34" s="160"/>
      <c r="TXE34" s="160"/>
      <c r="TXF34" s="160"/>
      <c r="TXG34" s="160"/>
      <c r="TXH34" s="160"/>
      <c r="TXI34" s="160"/>
      <c r="TXJ34" s="160"/>
      <c r="TXK34" s="160"/>
      <c r="TXL34" s="160"/>
      <c r="TXM34" s="160"/>
      <c r="TXN34" s="160"/>
      <c r="TXO34" s="160"/>
      <c r="TXP34" s="160"/>
      <c r="TXQ34" s="160"/>
      <c r="TXR34" s="160"/>
      <c r="TXS34" s="160"/>
      <c r="TXT34" s="160"/>
      <c r="TXU34" s="160"/>
      <c r="TXV34" s="160"/>
      <c r="TXW34" s="160"/>
      <c r="TXX34" s="160"/>
      <c r="TXY34" s="160"/>
      <c r="TXZ34" s="160"/>
      <c r="TYA34" s="160"/>
      <c r="TYB34" s="160"/>
      <c r="TYC34" s="160"/>
      <c r="TYD34" s="160"/>
      <c r="TYE34" s="160"/>
      <c r="TYF34" s="160"/>
      <c r="TYG34" s="160"/>
      <c r="TYH34" s="160"/>
      <c r="TYI34" s="160"/>
      <c r="TYJ34" s="160"/>
      <c r="TYK34" s="160"/>
      <c r="TYL34" s="160"/>
      <c r="TYM34" s="160"/>
      <c r="TYN34" s="160"/>
      <c r="TYO34" s="160"/>
      <c r="TYP34" s="160"/>
      <c r="TYQ34" s="160"/>
      <c r="TYR34" s="160"/>
      <c r="TYS34" s="160"/>
      <c r="TYT34" s="160"/>
      <c r="TYU34" s="160"/>
      <c r="TYV34" s="160"/>
      <c r="TYW34" s="160"/>
      <c r="TYX34" s="160"/>
      <c r="TYY34" s="160"/>
      <c r="TYZ34" s="160"/>
      <c r="TZA34" s="160"/>
      <c r="TZB34" s="160"/>
      <c r="TZC34" s="160"/>
      <c r="TZD34" s="160"/>
      <c r="TZE34" s="160"/>
      <c r="TZF34" s="160"/>
      <c r="TZG34" s="160"/>
      <c r="TZH34" s="160"/>
      <c r="TZI34" s="160"/>
      <c r="TZJ34" s="160"/>
      <c r="TZK34" s="160"/>
      <c r="TZL34" s="160"/>
      <c r="TZM34" s="160"/>
      <c r="TZN34" s="160"/>
      <c r="TZO34" s="160"/>
      <c r="TZP34" s="160"/>
      <c r="TZQ34" s="160"/>
      <c r="TZR34" s="160"/>
      <c r="TZS34" s="160"/>
      <c r="TZT34" s="160"/>
      <c r="TZU34" s="160"/>
      <c r="TZV34" s="160"/>
      <c r="TZW34" s="160"/>
      <c r="TZX34" s="160"/>
      <c r="TZY34" s="160"/>
      <c r="TZZ34" s="160"/>
      <c r="UAA34" s="160"/>
      <c r="UAB34" s="160"/>
      <c r="UAC34" s="160"/>
      <c r="UAD34" s="160"/>
      <c r="UAE34" s="160"/>
      <c r="UAF34" s="160"/>
      <c r="UAG34" s="160"/>
      <c r="UAH34" s="160"/>
      <c r="UAI34" s="160"/>
      <c r="UAJ34" s="160"/>
      <c r="UAK34" s="160"/>
      <c r="UAL34" s="160"/>
      <c r="UAM34" s="160"/>
      <c r="UAN34" s="160"/>
      <c r="UAO34" s="160"/>
      <c r="UAP34" s="160"/>
      <c r="UAQ34" s="160"/>
      <c r="UAR34" s="160"/>
      <c r="UAS34" s="160"/>
      <c r="UAT34" s="160"/>
      <c r="UAU34" s="160"/>
      <c r="UAV34" s="160"/>
      <c r="UAW34" s="160"/>
      <c r="UAX34" s="160"/>
      <c r="UAY34" s="160"/>
      <c r="UAZ34" s="160"/>
      <c r="UBA34" s="160"/>
      <c r="UBB34" s="160"/>
      <c r="UBC34" s="160"/>
      <c r="UBD34" s="160"/>
      <c r="UBE34" s="160"/>
      <c r="UBF34" s="160"/>
      <c r="UBG34" s="160"/>
      <c r="UBH34" s="160"/>
      <c r="UBI34" s="160"/>
      <c r="UBJ34" s="160"/>
      <c r="UBK34" s="160"/>
      <c r="UBL34" s="160"/>
      <c r="UBM34" s="160"/>
      <c r="UBN34" s="160"/>
      <c r="UBO34" s="160"/>
      <c r="UBP34" s="160"/>
      <c r="UBQ34" s="160"/>
      <c r="UBR34" s="160"/>
      <c r="UBS34" s="160"/>
      <c r="UBT34" s="160"/>
      <c r="UBU34" s="160"/>
      <c r="UBV34" s="160"/>
      <c r="UBW34" s="160"/>
      <c r="UBX34" s="160"/>
      <c r="UBY34" s="160"/>
      <c r="UBZ34" s="160"/>
      <c r="UCA34" s="160"/>
      <c r="UCB34" s="160"/>
      <c r="UCC34" s="160"/>
      <c r="UCD34" s="160"/>
      <c r="UCE34" s="160"/>
      <c r="UCF34" s="160"/>
      <c r="UCG34" s="160"/>
      <c r="UCH34" s="160"/>
      <c r="UCI34" s="160"/>
      <c r="UCJ34" s="160"/>
      <c r="UCK34" s="160"/>
      <c r="UCL34" s="160"/>
      <c r="UCM34" s="160"/>
      <c r="UCN34" s="160"/>
      <c r="UCO34" s="160"/>
      <c r="UCP34" s="160"/>
      <c r="UCQ34" s="160"/>
      <c r="UCR34" s="160"/>
      <c r="UCS34" s="160"/>
      <c r="UCT34" s="160"/>
      <c r="UCU34" s="160"/>
      <c r="UCV34" s="160"/>
      <c r="UCW34" s="160"/>
      <c r="UCX34" s="160"/>
      <c r="UCY34" s="160"/>
      <c r="UCZ34" s="160"/>
      <c r="UDA34" s="160"/>
      <c r="UDB34" s="160"/>
      <c r="UDC34" s="160"/>
      <c r="UDD34" s="160"/>
      <c r="UDE34" s="160"/>
      <c r="UDF34" s="160"/>
      <c r="UDG34" s="160"/>
      <c r="UDH34" s="160"/>
      <c r="UDI34" s="160"/>
      <c r="UDJ34" s="160"/>
      <c r="UDK34" s="160"/>
      <c r="UDL34" s="160"/>
      <c r="UDM34" s="160"/>
      <c r="UDN34" s="160"/>
      <c r="UDO34" s="160"/>
      <c r="UDP34" s="160"/>
      <c r="UDQ34" s="160"/>
      <c r="UDR34" s="160"/>
      <c r="UDS34" s="160"/>
      <c r="UDT34" s="160"/>
      <c r="UDU34" s="160"/>
      <c r="UDV34" s="160"/>
      <c r="UDW34" s="160"/>
      <c r="UDX34" s="160"/>
      <c r="UDY34" s="160"/>
      <c r="UDZ34" s="160"/>
      <c r="UEA34" s="160"/>
      <c r="UEB34" s="160"/>
      <c r="UEC34" s="160"/>
      <c r="UED34" s="160"/>
      <c r="UEE34" s="160"/>
      <c r="UEF34" s="160"/>
      <c r="UEG34" s="160"/>
      <c r="UEH34" s="160"/>
      <c r="UEI34" s="160"/>
      <c r="UEJ34" s="160"/>
      <c r="UEK34" s="160"/>
      <c r="UEL34" s="160"/>
      <c r="UEM34" s="160"/>
      <c r="UES34" s="160"/>
      <c r="UET34" s="160"/>
      <c r="UEU34" s="160"/>
      <c r="UEV34" s="160"/>
      <c r="UEW34" s="160"/>
      <c r="UEX34" s="160"/>
      <c r="UEY34" s="160"/>
      <c r="UEZ34" s="160"/>
      <c r="UFA34" s="160"/>
      <c r="UFB34" s="160"/>
      <c r="UFC34" s="160"/>
      <c r="UFD34" s="160"/>
      <c r="UFE34" s="160"/>
      <c r="UFF34" s="160"/>
      <c r="UFG34" s="160"/>
      <c r="UFH34" s="160"/>
      <c r="UFI34" s="160"/>
      <c r="UFJ34" s="160"/>
      <c r="UFK34" s="160"/>
      <c r="UFL34" s="160"/>
      <c r="UFM34" s="160"/>
      <c r="UFN34" s="160"/>
      <c r="UFO34" s="160"/>
      <c r="UFP34" s="160"/>
      <c r="UFQ34" s="160"/>
      <c r="UFR34" s="160"/>
      <c r="UFS34" s="160"/>
      <c r="UFT34" s="160"/>
      <c r="UFU34" s="160"/>
      <c r="UFV34" s="160"/>
      <c r="UFW34" s="160"/>
      <c r="UFX34" s="160"/>
      <c r="UFY34" s="160"/>
      <c r="UFZ34" s="160"/>
      <c r="UGA34" s="160"/>
      <c r="UGB34" s="160"/>
      <c r="UGC34" s="160"/>
      <c r="UGD34" s="160"/>
      <c r="UGE34" s="160"/>
      <c r="UGF34" s="160"/>
      <c r="UGG34" s="160"/>
      <c r="UGH34" s="160"/>
      <c r="UGI34" s="160"/>
      <c r="UGJ34" s="160"/>
      <c r="UGK34" s="160"/>
      <c r="UGL34" s="160"/>
      <c r="UGM34" s="160"/>
      <c r="UGN34" s="160"/>
      <c r="UGO34" s="160"/>
      <c r="UGP34" s="160"/>
      <c r="UGQ34" s="160"/>
      <c r="UGR34" s="160"/>
      <c r="UGS34" s="160"/>
      <c r="UGT34" s="160"/>
      <c r="UGU34" s="160"/>
      <c r="UGV34" s="160"/>
      <c r="UGW34" s="160"/>
      <c r="UGX34" s="160"/>
      <c r="UGY34" s="160"/>
      <c r="UGZ34" s="160"/>
      <c r="UHA34" s="160"/>
      <c r="UHB34" s="160"/>
      <c r="UHC34" s="160"/>
      <c r="UHD34" s="160"/>
      <c r="UHE34" s="160"/>
      <c r="UHF34" s="160"/>
      <c r="UHG34" s="160"/>
      <c r="UHH34" s="160"/>
      <c r="UHI34" s="160"/>
      <c r="UHJ34" s="160"/>
      <c r="UHK34" s="160"/>
      <c r="UHL34" s="160"/>
      <c r="UHM34" s="160"/>
      <c r="UHN34" s="160"/>
      <c r="UHO34" s="160"/>
      <c r="UHP34" s="160"/>
      <c r="UHQ34" s="160"/>
      <c r="UHR34" s="160"/>
      <c r="UHS34" s="160"/>
      <c r="UHT34" s="160"/>
      <c r="UHU34" s="160"/>
      <c r="UHV34" s="160"/>
      <c r="UHW34" s="160"/>
      <c r="UHX34" s="160"/>
      <c r="UHY34" s="160"/>
      <c r="UHZ34" s="160"/>
      <c r="UIA34" s="160"/>
      <c r="UIB34" s="160"/>
      <c r="UIC34" s="160"/>
      <c r="UID34" s="160"/>
      <c r="UIE34" s="160"/>
      <c r="UIF34" s="160"/>
      <c r="UIG34" s="160"/>
      <c r="UIH34" s="160"/>
      <c r="UII34" s="160"/>
      <c r="UIJ34" s="160"/>
      <c r="UIK34" s="160"/>
      <c r="UIL34" s="160"/>
      <c r="UIM34" s="160"/>
      <c r="UIN34" s="160"/>
      <c r="UIO34" s="160"/>
      <c r="UIP34" s="160"/>
      <c r="UIQ34" s="160"/>
      <c r="UIR34" s="160"/>
      <c r="UIS34" s="160"/>
      <c r="UIT34" s="160"/>
      <c r="UIU34" s="160"/>
      <c r="UIV34" s="160"/>
      <c r="UIW34" s="160"/>
      <c r="UIX34" s="160"/>
      <c r="UIY34" s="160"/>
      <c r="UIZ34" s="160"/>
      <c r="UJA34" s="160"/>
      <c r="UJB34" s="160"/>
      <c r="UJC34" s="160"/>
      <c r="UJD34" s="160"/>
      <c r="UJE34" s="160"/>
      <c r="UJF34" s="160"/>
      <c r="UJG34" s="160"/>
      <c r="UJH34" s="160"/>
      <c r="UJI34" s="160"/>
      <c r="UJJ34" s="160"/>
      <c r="UJK34" s="160"/>
      <c r="UJL34" s="160"/>
      <c r="UJM34" s="160"/>
      <c r="UJN34" s="160"/>
      <c r="UJO34" s="160"/>
      <c r="UJP34" s="160"/>
      <c r="UJQ34" s="160"/>
      <c r="UJR34" s="160"/>
      <c r="UJS34" s="160"/>
      <c r="UJT34" s="160"/>
      <c r="UJU34" s="160"/>
      <c r="UJV34" s="160"/>
      <c r="UJW34" s="160"/>
      <c r="UJX34" s="160"/>
      <c r="UJY34" s="160"/>
      <c r="UJZ34" s="160"/>
      <c r="UKA34" s="160"/>
      <c r="UKB34" s="160"/>
      <c r="UKC34" s="160"/>
      <c r="UKD34" s="160"/>
      <c r="UKE34" s="160"/>
      <c r="UKF34" s="160"/>
      <c r="UKG34" s="160"/>
      <c r="UKH34" s="160"/>
      <c r="UKI34" s="160"/>
      <c r="UKJ34" s="160"/>
      <c r="UKK34" s="160"/>
      <c r="UKL34" s="160"/>
      <c r="UKM34" s="160"/>
      <c r="UKN34" s="160"/>
      <c r="UKO34" s="160"/>
      <c r="UKP34" s="160"/>
      <c r="UKQ34" s="160"/>
      <c r="UKR34" s="160"/>
      <c r="UKS34" s="160"/>
      <c r="UKT34" s="160"/>
      <c r="UKU34" s="160"/>
      <c r="UKV34" s="160"/>
      <c r="UKW34" s="160"/>
      <c r="UKX34" s="160"/>
      <c r="UKY34" s="160"/>
      <c r="UKZ34" s="160"/>
      <c r="ULA34" s="160"/>
      <c r="ULB34" s="160"/>
      <c r="ULC34" s="160"/>
      <c r="ULD34" s="160"/>
      <c r="ULE34" s="160"/>
      <c r="ULF34" s="160"/>
      <c r="ULG34" s="160"/>
      <c r="ULH34" s="160"/>
      <c r="ULI34" s="160"/>
      <c r="ULJ34" s="160"/>
      <c r="ULK34" s="160"/>
      <c r="ULL34" s="160"/>
      <c r="ULM34" s="160"/>
      <c r="ULN34" s="160"/>
      <c r="ULO34" s="160"/>
      <c r="ULP34" s="160"/>
      <c r="ULQ34" s="160"/>
      <c r="ULR34" s="160"/>
      <c r="ULS34" s="160"/>
      <c r="ULT34" s="160"/>
      <c r="ULU34" s="160"/>
      <c r="ULV34" s="160"/>
      <c r="ULW34" s="160"/>
      <c r="ULX34" s="160"/>
      <c r="ULY34" s="160"/>
      <c r="ULZ34" s="160"/>
      <c r="UMA34" s="160"/>
      <c r="UMB34" s="160"/>
      <c r="UMC34" s="160"/>
      <c r="UMD34" s="160"/>
      <c r="UME34" s="160"/>
      <c r="UMF34" s="160"/>
      <c r="UMG34" s="160"/>
      <c r="UMH34" s="160"/>
      <c r="UMI34" s="160"/>
      <c r="UMJ34" s="160"/>
      <c r="UMK34" s="160"/>
      <c r="UML34" s="160"/>
      <c r="UMM34" s="160"/>
      <c r="UMN34" s="160"/>
      <c r="UMO34" s="160"/>
      <c r="UMP34" s="160"/>
      <c r="UMQ34" s="160"/>
      <c r="UMR34" s="160"/>
      <c r="UMS34" s="160"/>
      <c r="UMT34" s="160"/>
      <c r="UMU34" s="160"/>
      <c r="UMV34" s="160"/>
      <c r="UMW34" s="160"/>
      <c r="UMX34" s="160"/>
      <c r="UMY34" s="160"/>
      <c r="UMZ34" s="160"/>
      <c r="UNA34" s="160"/>
      <c r="UNB34" s="160"/>
      <c r="UNC34" s="160"/>
      <c r="UND34" s="160"/>
      <c r="UNE34" s="160"/>
      <c r="UNF34" s="160"/>
      <c r="UNG34" s="160"/>
      <c r="UNH34" s="160"/>
      <c r="UNI34" s="160"/>
      <c r="UNJ34" s="160"/>
      <c r="UNK34" s="160"/>
      <c r="UNL34" s="160"/>
      <c r="UNM34" s="160"/>
      <c r="UNN34" s="160"/>
      <c r="UNO34" s="160"/>
      <c r="UNP34" s="160"/>
      <c r="UNQ34" s="160"/>
      <c r="UNR34" s="160"/>
      <c r="UNS34" s="160"/>
      <c r="UNT34" s="160"/>
      <c r="UNU34" s="160"/>
      <c r="UNV34" s="160"/>
      <c r="UNW34" s="160"/>
      <c r="UNX34" s="160"/>
      <c r="UNY34" s="160"/>
      <c r="UNZ34" s="160"/>
      <c r="UOA34" s="160"/>
      <c r="UOB34" s="160"/>
      <c r="UOC34" s="160"/>
      <c r="UOD34" s="160"/>
      <c r="UOE34" s="160"/>
      <c r="UOF34" s="160"/>
      <c r="UOG34" s="160"/>
      <c r="UOH34" s="160"/>
      <c r="UOI34" s="160"/>
      <c r="UOO34" s="160"/>
      <c r="UOP34" s="160"/>
      <c r="UOQ34" s="160"/>
      <c r="UOR34" s="160"/>
      <c r="UOS34" s="160"/>
      <c r="UOT34" s="160"/>
      <c r="UOU34" s="160"/>
      <c r="UOV34" s="160"/>
      <c r="UOW34" s="160"/>
      <c r="UOX34" s="160"/>
      <c r="UOY34" s="160"/>
      <c r="UOZ34" s="160"/>
      <c r="UPA34" s="160"/>
      <c r="UPB34" s="160"/>
      <c r="UPC34" s="160"/>
      <c r="UPD34" s="160"/>
      <c r="UPE34" s="160"/>
      <c r="UPF34" s="160"/>
      <c r="UPG34" s="160"/>
      <c r="UPH34" s="160"/>
      <c r="UPI34" s="160"/>
      <c r="UPJ34" s="160"/>
      <c r="UPK34" s="160"/>
      <c r="UPL34" s="160"/>
      <c r="UPM34" s="160"/>
      <c r="UPN34" s="160"/>
      <c r="UPO34" s="160"/>
      <c r="UPP34" s="160"/>
      <c r="UPQ34" s="160"/>
      <c r="UPR34" s="160"/>
      <c r="UPS34" s="160"/>
      <c r="UPT34" s="160"/>
      <c r="UPU34" s="160"/>
      <c r="UPV34" s="160"/>
      <c r="UPW34" s="160"/>
      <c r="UPX34" s="160"/>
      <c r="UPY34" s="160"/>
      <c r="UPZ34" s="160"/>
      <c r="UQA34" s="160"/>
      <c r="UQB34" s="160"/>
      <c r="UQC34" s="160"/>
      <c r="UQD34" s="160"/>
      <c r="UQE34" s="160"/>
      <c r="UQF34" s="160"/>
      <c r="UQG34" s="160"/>
      <c r="UQH34" s="160"/>
      <c r="UQI34" s="160"/>
      <c r="UQJ34" s="160"/>
      <c r="UQK34" s="160"/>
      <c r="UQL34" s="160"/>
      <c r="UQM34" s="160"/>
      <c r="UQN34" s="160"/>
      <c r="UQO34" s="160"/>
      <c r="UQP34" s="160"/>
      <c r="UQQ34" s="160"/>
      <c r="UQR34" s="160"/>
      <c r="UQS34" s="160"/>
      <c r="UQT34" s="160"/>
      <c r="UQU34" s="160"/>
      <c r="UQV34" s="160"/>
      <c r="UQW34" s="160"/>
      <c r="UQX34" s="160"/>
      <c r="UQY34" s="160"/>
      <c r="UQZ34" s="160"/>
      <c r="URA34" s="160"/>
      <c r="URB34" s="160"/>
      <c r="URC34" s="160"/>
      <c r="URD34" s="160"/>
      <c r="URE34" s="160"/>
      <c r="URF34" s="160"/>
      <c r="URG34" s="160"/>
      <c r="URH34" s="160"/>
      <c r="URI34" s="160"/>
      <c r="URJ34" s="160"/>
      <c r="URK34" s="160"/>
      <c r="URL34" s="160"/>
      <c r="URM34" s="160"/>
      <c r="URN34" s="160"/>
      <c r="URO34" s="160"/>
      <c r="URP34" s="160"/>
      <c r="URQ34" s="160"/>
      <c r="URR34" s="160"/>
      <c r="URS34" s="160"/>
      <c r="URT34" s="160"/>
      <c r="URU34" s="160"/>
      <c r="URV34" s="160"/>
      <c r="URW34" s="160"/>
      <c r="URX34" s="160"/>
      <c r="URY34" s="160"/>
      <c r="URZ34" s="160"/>
      <c r="USA34" s="160"/>
      <c r="USB34" s="160"/>
      <c r="USC34" s="160"/>
      <c r="USD34" s="160"/>
      <c r="USE34" s="160"/>
      <c r="USF34" s="160"/>
      <c r="USG34" s="160"/>
      <c r="USH34" s="160"/>
      <c r="USI34" s="160"/>
      <c r="USJ34" s="160"/>
      <c r="USK34" s="160"/>
      <c r="USL34" s="160"/>
      <c r="USM34" s="160"/>
      <c r="USN34" s="160"/>
      <c r="USO34" s="160"/>
      <c r="USP34" s="160"/>
      <c r="USQ34" s="160"/>
      <c r="USR34" s="160"/>
      <c r="USS34" s="160"/>
      <c r="UST34" s="160"/>
      <c r="USU34" s="160"/>
      <c r="USV34" s="160"/>
      <c r="USW34" s="160"/>
      <c r="USX34" s="160"/>
      <c r="USY34" s="160"/>
      <c r="USZ34" s="160"/>
      <c r="UTA34" s="160"/>
      <c r="UTB34" s="160"/>
      <c r="UTC34" s="160"/>
      <c r="UTD34" s="160"/>
      <c r="UTE34" s="160"/>
      <c r="UTF34" s="160"/>
      <c r="UTG34" s="160"/>
      <c r="UTH34" s="160"/>
      <c r="UTI34" s="160"/>
      <c r="UTJ34" s="160"/>
      <c r="UTK34" s="160"/>
      <c r="UTL34" s="160"/>
      <c r="UTM34" s="160"/>
      <c r="UTN34" s="160"/>
      <c r="UTO34" s="160"/>
      <c r="UTP34" s="160"/>
      <c r="UTQ34" s="160"/>
      <c r="UTR34" s="160"/>
      <c r="UTS34" s="160"/>
      <c r="UTT34" s="160"/>
      <c r="UTU34" s="160"/>
      <c r="UTV34" s="160"/>
      <c r="UTW34" s="160"/>
      <c r="UTX34" s="160"/>
      <c r="UTY34" s="160"/>
      <c r="UTZ34" s="160"/>
      <c r="UUA34" s="160"/>
      <c r="UUB34" s="160"/>
      <c r="UUC34" s="160"/>
      <c r="UUD34" s="160"/>
      <c r="UUE34" s="160"/>
      <c r="UUF34" s="160"/>
      <c r="UUG34" s="160"/>
      <c r="UUH34" s="160"/>
      <c r="UUI34" s="160"/>
      <c r="UUJ34" s="160"/>
      <c r="UUK34" s="160"/>
      <c r="UUL34" s="160"/>
      <c r="UUM34" s="160"/>
      <c r="UUN34" s="160"/>
      <c r="UUO34" s="160"/>
      <c r="UUP34" s="160"/>
      <c r="UUQ34" s="160"/>
      <c r="UUR34" s="160"/>
      <c r="UUS34" s="160"/>
      <c r="UUT34" s="160"/>
      <c r="UUU34" s="160"/>
      <c r="UUV34" s="160"/>
      <c r="UUW34" s="160"/>
      <c r="UUX34" s="160"/>
      <c r="UUY34" s="160"/>
      <c r="UUZ34" s="160"/>
      <c r="UVA34" s="160"/>
      <c r="UVB34" s="160"/>
      <c r="UVC34" s="160"/>
      <c r="UVD34" s="160"/>
      <c r="UVE34" s="160"/>
      <c r="UVF34" s="160"/>
      <c r="UVG34" s="160"/>
      <c r="UVH34" s="160"/>
      <c r="UVI34" s="160"/>
      <c r="UVJ34" s="160"/>
      <c r="UVK34" s="160"/>
      <c r="UVL34" s="160"/>
      <c r="UVM34" s="160"/>
      <c r="UVN34" s="160"/>
      <c r="UVO34" s="160"/>
      <c r="UVP34" s="160"/>
      <c r="UVQ34" s="160"/>
      <c r="UVR34" s="160"/>
      <c r="UVS34" s="160"/>
      <c r="UVT34" s="160"/>
      <c r="UVU34" s="160"/>
      <c r="UVV34" s="160"/>
      <c r="UVW34" s="160"/>
      <c r="UVX34" s="160"/>
      <c r="UVY34" s="160"/>
      <c r="UVZ34" s="160"/>
      <c r="UWA34" s="160"/>
      <c r="UWB34" s="160"/>
      <c r="UWC34" s="160"/>
      <c r="UWD34" s="160"/>
      <c r="UWE34" s="160"/>
      <c r="UWF34" s="160"/>
      <c r="UWG34" s="160"/>
      <c r="UWH34" s="160"/>
      <c r="UWI34" s="160"/>
      <c r="UWJ34" s="160"/>
      <c r="UWK34" s="160"/>
      <c r="UWL34" s="160"/>
      <c r="UWM34" s="160"/>
      <c r="UWN34" s="160"/>
      <c r="UWO34" s="160"/>
      <c r="UWP34" s="160"/>
      <c r="UWQ34" s="160"/>
      <c r="UWR34" s="160"/>
      <c r="UWS34" s="160"/>
      <c r="UWT34" s="160"/>
      <c r="UWU34" s="160"/>
      <c r="UWV34" s="160"/>
      <c r="UWW34" s="160"/>
      <c r="UWX34" s="160"/>
      <c r="UWY34" s="160"/>
      <c r="UWZ34" s="160"/>
      <c r="UXA34" s="160"/>
      <c r="UXB34" s="160"/>
      <c r="UXC34" s="160"/>
      <c r="UXD34" s="160"/>
      <c r="UXE34" s="160"/>
      <c r="UXF34" s="160"/>
      <c r="UXG34" s="160"/>
      <c r="UXH34" s="160"/>
      <c r="UXI34" s="160"/>
      <c r="UXJ34" s="160"/>
      <c r="UXK34" s="160"/>
      <c r="UXL34" s="160"/>
      <c r="UXM34" s="160"/>
      <c r="UXN34" s="160"/>
      <c r="UXO34" s="160"/>
      <c r="UXP34" s="160"/>
      <c r="UXQ34" s="160"/>
      <c r="UXR34" s="160"/>
      <c r="UXS34" s="160"/>
      <c r="UXT34" s="160"/>
      <c r="UXU34" s="160"/>
      <c r="UXV34" s="160"/>
      <c r="UXW34" s="160"/>
      <c r="UXX34" s="160"/>
      <c r="UXY34" s="160"/>
      <c r="UXZ34" s="160"/>
      <c r="UYA34" s="160"/>
      <c r="UYB34" s="160"/>
      <c r="UYC34" s="160"/>
      <c r="UYD34" s="160"/>
      <c r="UYE34" s="160"/>
      <c r="UYK34" s="160"/>
      <c r="UYL34" s="160"/>
      <c r="UYM34" s="160"/>
      <c r="UYN34" s="160"/>
      <c r="UYO34" s="160"/>
      <c r="UYP34" s="160"/>
      <c r="UYQ34" s="160"/>
      <c r="UYR34" s="160"/>
      <c r="UYS34" s="160"/>
      <c r="UYT34" s="160"/>
      <c r="UYU34" s="160"/>
      <c r="UYV34" s="160"/>
      <c r="UYW34" s="160"/>
      <c r="UYX34" s="160"/>
      <c r="UYY34" s="160"/>
      <c r="UYZ34" s="160"/>
      <c r="UZA34" s="160"/>
      <c r="UZB34" s="160"/>
      <c r="UZC34" s="160"/>
      <c r="UZD34" s="160"/>
      <c r="UZE34" s="160"/>
      <c r="UZF34" s="160"/>
      <c r="UZG34" s="160"/>
      <c r="UZH34" s="160"/>
      <c r="UZI34" s="160"/>
      <c r="UZJ34" s="160"/>
      <c r="UZK34" s="160"/>
      <c r="UZL34" s="160"/>
      <c r="UZM34" s="160"/>
      <c r="UZN34" s="160"/>
      <c r="UZO34" s="160"/>
      <c r="UZP34" s="160"/>
      <c r="UZQ34" s="160"/>
      <c r="UZR34" s="160"/>
      <c r="UZS34" s="160"/>
      <c r="UZT34" s="160"/>
      <c r="UZU34" s="160"/>
      <c r="UZV34" s="160"/>
      <c r="UZW34" s="160"/>
      <c r="UZX34" s="160"/>
      <c r="UZY34" s="160"/>
      <c r="UZZ34" s="160"/>
      <c r="VAA34" s="160"/>
      <c r="VAB34" s="160"/>
      <c r="VAC34" s="160"/>
      <c r="VAD34" s="160"/>
      <c r="VAE34" s="160"/>
      <c r="VAF34" s="160"/>
      <c r="VAG34" s="160"/>
      <c r="VAH34" s="160"/>
      <c r="VAI34" s="160"/>
      <c r="VAJ34" s="160"/>
      <c r="VAK34" s="160"/>
      <c r="VAL34" s="160"/>
      <c r="VAM34" s="160"/>
      <c r="VAN34" s="160"/>
      <c r="VAO34" s="160"/>
      <c r="VAP34" s="160"/>
      <c r="VAQ34" s="160"/>
      <c r="VAR34" s="160"/>
      <c r="VAS34" s="160"/>
      <c r="VAT34" s="160"/>
      <c r="VAU34" s="160"/>
      <c r="VAV34" s="160"/>
      <c r="VAW34" s="160"/>
      <c r="VAX34" s="160"/>
      <c r="VAY34" s="160"/>
      <c r="VAZ34" s="160"/>
      <c r="VBA34" s="160"/>
      <c r="VBB34" s="160"/>
      <c r="VBC34" s="160"/>
      <c r="VBD34" s="160"/>
      <c r="VBE34" s="160"/>
      <c r="VBF34" s="160"/>
      <c r="VBG34" s="160"/>
      <c r="VBH34" s="160"/>
      <c r="VBI34" s="160"/>
      <c r="VBJ34" s="160"/>
      <c r="VBK34" s="160"/>
      <c r="VBL34" s="160"/>
      <c r="VBM34" s="160"/>
      <c r="VBN34" s="160"/>
      <c r="VBO34" s="160"/>
      <c r="VBP34" s="160"/>
      <c r="VBQ34" s="160"/>
      <c r="VBR34" s="160"/>
      <c r="VBS34" s="160"/>
      <c r="VBT34" s="160"/>
      <c r="VBU34" s="160"/>
      <c r="VBV34" s="160"/>
      <c r="VBW34" s="160"/>
      <c r="VBX34" s="160"/>
      <c r="VBY34" s="160"/>
      <c r="VBZ34" s="160"/>
      <c r="VCA34" s="160"/>
      <c r="VCB34" s="160"/>
      <c r="VCC34" s="160"/>
      <c r="VCD34" s="160"/>
      <c r="VCE34" s="160"/>
      <c r="VCF34" s="160"/>
      <c r="VCG34" s="160"/>
      <c r="VCH34" s="160"/>
      <c r="VCI34" s="160"/>
      <c r="VCJ34" s="160"/>
      <c r="VCK34" s="160"/>
      <c r="VCL34" s="160"/>
      <c r="VCM34" s="160"/>
      <c r="VCN34" s="160"/>
      <c r="VCO34" s="160"/>
      <c r="VCP34" s="160"/>
      <c r="VCQ34" s="160"/>
      <c r="VCR34" s="160"/>
      <c r="VCS34" s="160"/>
      <c r="VCT34" s="160"/>
      <c r="VCU34" s="160"/>
      <c r="VCV34" s="160"/>
      <c r="VCW34" s="160"/>
      <c r="VCX34" s="160"/>
      <c r="VCY34" s="160"/>
      <c r="VCZ34" s="160"/>
      <c r="VDA34" s="160"/>
      <c r="VDB34" s="160"/>
      <c r="VDC34" s="160"/>
      <c r="VDD34" s="160"/>
      <c r="VDE34" s="160"/>
      <c r="VDF34" s="160"/>
      <c r="VDG34" s="160"/>
      <c r="VDH34" s="160"/>
      <c r="VDI34" s="160"/>
      <c r="VDJ34" s="160"/>
      <c r="VDK34" s="160"/>
      <c r="VDL34" s="160"/>
      <c r="VDM34" s="160"/>
      <c r="VDN34" s="160"/>
      <c r="VDO34" s="160"/>
      <c r="VDP34" s="160"/>
      <c r="VDQ34" s="160"/>
      <c r="VDR34" s="160"/>
      <c r="VDS34" s="160"/>
      <c r="VDT34" s="160"/>
      <c r="VDU34" s="160"/>
      <c r="VDV34" s="160"/>
      <c r="VDW34" s="160"/>
      <c r="VDX34" s="160"/>
      <c r="VDY34" s="160"/>
      <c r="VDZ34" s="160"/>
      <c r="VEA34" s="160"/>
      <c r="VEB34" s="160"/>
      <c r="VEC34" s="160"/>
      <c r="VED34" s="160"/>
      <c r="VEE34" s="160"/>
      <c r="VEF34" s="160"/>
      <c r="VEG34" s="160"/>
      <c r="VEH34" s="160"/>
      <c r="VEI34" s="160"/>
      <c r="VEJ34" s="160"/>
      <c r="VEK34" s="160"/>
      <c r="VEL34" s="160"/>
      <c r="VEM34" s="160"/>
      <c r="VEN34" s="160"/>
      <c r="VEO34" s="160"/>
      <c r="VEP34" s="160"/>
      <c r="VEQ34" s="160"/>
      <c r="VER34" s="160"/>
      <c r="VES34" s="160"/>
      <c r="VET34" s="160"/>
      <c r="VEU34" s="160"/>
      <c r="VEV34" s="160"/>
      <c r="VEW34" s="160"/>
      <c r="VEX34" s="160"/>
      <c r="VEY34" s="160"/>
      <c r="VEZ34" s="160"/>
      <c r="VFA34" s="160"/>
      <c r="VFB34" s="160"/>
      <c r="VFC34" s="160"/>
      <c r="VFD34" s="160"/>
      <c r="VFE34" s="160"/>
      <c r="VFF34" s="160"/>
      <c r="VFG34" s="160"/>
      <c r="VFH34" s="160"/>
      <c r="VFI34" s="160"/>
      <c r="VFJ34" s="160"/>
      <c r="VFK34" s="160"/>
      <c r="VFL34" s="160"/>
      <c r="VFM34" s="160"/>
      <c r="VFN34" s="160"/>
      <c r="VFO34" s="160"/>
      <c r="VFP34" s="160"/>
      <c r="VFQ34" s="160"/>
      <c r="VFR34" s="160"/>
      <c r="VFS34" s="160"/>
      <c r="VFT34" s="160"/>
      <c r="VFU34" s="160"/>
      <c r="VFV34" s="160"/>
      <c r="VFW34" s="160"/>
      <c r="VFX34" s="160"/>
      <c r="VFY34" s="160"/>
      <c r="VFZ34" s="160"/>
      <c r="VGA34" s="160"/>
      <c r="VGB34" s="160"/>
      <c r="VGC34" s="160"/>
      <c r="VGD34" s="160"/>
      <c r="VGE34" s="160"/>
      <c r="VGF34" s="160"/>
      <c r="VGG34" s="160"/>
      <c r="VGH34" s="160"/>
      <c r="VGI34" s="160"/>
      <c r="VGJ34" s="160"/>
      <c r="VGK34" s="160"/>
      <c r="VGL34" s="160"/>
      <c r="VGM34" s="160"/>
      <c r="VGN34" s="160"/>
      <c r="VGO34" s="160"/>
      <c r="VGP34" s="160"/>
      <c r="VGQ34" s="160"/>
      <c r="VGR34" s="160"/>
      <c r="VGS34" s="160"/>
      <c r="VGT34" s="160"/>
      <c r="VGU34" s="160"/>
      <c r="VGV34" s="160"/>
      <c r="VGW34" s="160"/>
      <c r="VGX34" s="160"/>
      <c r="VGY34" s="160"/>
      <c r="VGZ34" s="160"/>
      <c r="VHA34" s="160"/>
      <c r="VHB34" s="160"/>
      <c r="VHC34" s="160"/>
      <c r="VHD34" s="160"/>
      <c r="VHE34" s="160"/>
      <c r="VHF34" s="160"/>
      <c r="VHG34" s="160"/>
      <c r="VHH34" s="160"/>
      <c r="VHI34" s="160"/>
      <c r="VHJ34" s="160"/>
      <c r="VHK34" s="160"/>
      <c r="VHL34" s="160"/>
      <c r="VHM34" s="160"/>
      <c r="VHN34" s="160"/>
      <c r="VHO34" s="160"/>
      <c r="VHP34" s="160"/>
      <c r="VHQ34" s="160"/>
      <c r="VHR34" s="160"/>
      <c r="VHS34" s="160"/>
      <c r="VHT34" s="160"/>
      <c r="VHU34" s="160"/>
      <c r="VHV34" s="160"/>
      <c r="VHW34" s="160"/>
      <c r="VHX34" s="160"/>
      <c r="VHY34" s="160"/>
      <c r="VHZ34" s="160"/>
      <c r="VIA34" s="160"/>
      <c r="VIG34" s="160"/>
      <c r="VIH34" s="160"/>
      <c r="VII34" s="160"/>
      <c r="VIJ34" s="160"/>
      <c r="VIK34" s="160"/>
      <c r="VIL34" s="160"/>
      <c r="VIM34" s="160"/>
      <c r="VIN34" s="160"/>
      <c r="VIO34" s="160"/>
      <c r="VIP34" s="160"/>
      <c r="VIQ34" s="160"/>
      <c r="VIR34" s="160"/>
      <c r="VIS34" s="160"/>
      <c r="VIT34" s="160"/>
      <c r="VIU34" s="160"/>
      <c r="VIV34" s="160"/>
      <c r="VIW34" s="160"/>
      <c r="VIX34" s="160"/>
      <c r="VIY34" s="160"/>
      <c r="VIZ34" s="160"/>
      <c r="VJA34" s="160"/>
      <c r="VJB34" s="160"/>
      <c r="VJC34" s="160"/>
      <c r="VJD34" s="160"/>
      <c r="VJE34" s="160"/>
      <c r="VJF34" s="160"/>
      <c r="VJG34" s="160"/>
      <c r="VJH34" s="160"/>
      <c r="VJI34" s="160"/>
      <c r="VJJ34" s="160"/>
      <c r="VJK34" s="160"/>
      <c r="VJL34" s="160"/>
      <c r="VJM34" s="160"/>
      <c r="VJN34" s="160"/>
      <c r="VJO34" s="160"/>
      <c r="VJP34" s="160"/>
      <c r="VJQ34" s="160"/>
      <c r="VJR34" s="160"/>
      <c r="VJS34" s="160"/>
      <c r="VJT34" s="160"/>
      <c r="VJU34" s="160"/>
      <c r="VJV34" s="160"/>
      <c r="VJW34" s="160"/>
      <c r="VJX34" s="160"/>
      <c r="VJY34" s="160"/>
      <c r="VJZ34" s="160"/>
      <c r="VKA34" s="160"/>
      <c r="VKB34" s="160"/>
      <c r="VKC34" s="160"/>
      <c r="VKD34" s="160"/>
      <c r="VKE34" s="160"/>
      <c r="VKF34" s="160"/>
      <c r="VKG34" s="160"/>
      <c r="VKH34" s="160"/>
      <c r="VKI34" s="160"/>
      <c r="VKJ34" s="160"/>
      <c r="VKK34" s="160"/>
      <c r="VKL34" s="160"/>
      <c r="VKM34" s="160"/>
      <c r="VKN34" s="160"/>
      <c r="VKO34" s="160"/>
      <c r="VKP34" s="160"/>
      <c r="VKQ34" s="160"/>
      <c r="VKR34" s="160"/>
      <c r="VKS34" s="160"/>
      <c r="VKT34" s="160"/>
      <c r="VKU34" s="160"/>
      <c r="VKV34" s="160"/>
      <c r="VKW34" s="160"/>
      <c r="VKX34" s="160"/>
      <c r="VKY34" s="160"/>
      <c r="VKZ34" s="160"/>
      <c r="VLA34" s="160"/>
      <c r="VLB34" s="160"/>
      <c r="VLC34" s="160"/>
      <c r="VLD34" s="160"/>
      <c r="VLE34" s="160"/>
      <c r="VLF34" s="160"/>
      <c r="VLG34" s="160"/>
      <c r="VLH34" s="160"/>
      <c r="VLI34" s="160"/>
      <c r="VLJ34" s="160"/>
      <c r="VLK34" s="160"/>
      <c r="VLL34" s="160"/>
      <c r="VLM34" s="160"/>
      <c r="VLN34" s="160"/>
      <c r="VLO34" s="160"/>
      <c r="VLP34" s="160"/>
      <c r="VLQ34" s="160"/>
      <c r="VLR34" s="160"/>
      <c r="VLS34" s="160"/>
      <c r="VLT34" s="160"/>
      <c r="VLU34" s="160"/>
      <c r="VLV34" s="160"/>
      <c r="VLW34" s="160"/>
      <c r="VLX34" s="160"/>
      <c r="VLY34" s="160"/>
      <c r="VLZ34" s="160"/>
      <c r="VMA34" s="160"/>
      <c r="VMB34" s="160"/>
      <c r="VMC34" s="160"/>
      <c r="VMD34" s="160"/>
      <c r="VME34" s="160"/>
      <c r="VMF34" s="160"/>
      <c r="VMG34" s="160"/>
      <c r="VMH34" s="160"/>
      <c r="VMI34" s="160"/>
      <c r="VMJ34" s="160"/>
      <c r="VMK34" s="160"/>
      <c r="VML34" s="160"/>
      <c r="VMM34" s="160"/>
      <c r="VMN34" s="160"/>
      <c r="VMO34" s="160"/>
      <c r="VMP34" s="160"/>
      <c r="VMQ34" s="160"/>
      <c r="VMR34" s="160"/>
      <c r="VMS34" s="160"/>
      <c r="VMT34" s="160"/>
      <c r="VMU34" s="160"/>
      <c r="VMV34" s="160"/>
      <c r="VMW34" s="160"/>
      <c r="VMX34" s="160"/>
      <c r="VMY34" s="160"/>
      <c r="VMZ34" s="160"/>
      <c r="VNA34" s="160"/>
      <c r="VNB34" s="160"/>
      <c r="VNC34" s="160"/>
      <c r="VND34" s="160"/>
      <c r="VNE34" s="160"/>
      <c r="VNF34" s="160"/>
      <c r="VNG34" s="160"/>
      <c r="VNH34" s="160"/>
      <c r="VNI34" s="160"/>
      <c r="VNJ34" s="160"/>
      <c r="VNK34" s="160"/>
      <c r="VNL34" s="160"/>
      <c r="VNM34" s="160"/>
      <c r="VNN34" s="160"/>
      <c r="VNO34" s="160"/>
      <c r="VNP34" s="160"/>
      <c r="VNQ34" s="160"/>
      <c r="VNR34" s="160"/>
      <c r="VNS34" s="160"/>
      <c r="VNT34" s="160"/>
      <c r="VNU34" s="160"/>
      <c r="VNV34" s="160"/>
      <c r="VNW34" s="160"/>
      <c r="VNX34" s="160"/>
      <c r="VNY34" s="160"/>
      <c r="VNZ34" s="160"/>
      <c r="VOA34" s="160"/>
      <c r="VOB34" s="160"/>
      <c r="VOC34" s="160"/>
      <c r="VOD34" s="160"/>
      <c r="VOE34" s="160"/>
      <c r="VOF34" s="160"/>
      <c r="VOG34" s="160"/>
      <c r="VOH34" s="160"/>
      <c r="VOI34" s="160"/>
      <c r="VOJ34" s="160"/>
      <c r="VOK34" s="160"/>
      <c r="VOL34" s="160"/>
      <c r="VOM34" s="160"/>
      <c r="VON34" s="160"/>
      <c r="VOO34" s="160"/>
      <c r="VOP34" s="160"/>
      <c r="VOQ34" s="160"/>
      <c r="VOR34" s="160"/>
      <c r="VOS34" s="160"/>
      <c r="VOT34" s="160"/>
      <c r="VOU34" s="160"/>
      <c r="VOV34" s="160"/>
      <c r="VOW34" s="160"/>
      <c r="VOX34" s="160"/>
      <c r="VOY34" s="160"/>
      <c r="VOZ34" s="160"/>
      <c r="VPA34" s="160"/>
      <c r="VPB34" s="160"/>
      <c r="VPC34" s="160"/>
      <c r="VPD34" s="160"/>
      <c r="VPE34" s="160"/>
      <c r="VPF34" s="160"/>
      <c r="VPG34" s="160"/>
      <c r="VPH34" s="160"/>
      <c r="VPI34" s="160"/>
      <c r="VPJ34" s="160"/>
      <c r="VPK34" s="160"/>
      <c r="VPL34" s="160"/>
      <c r="VPM34" s="160"/>
      <c r="VPN34" s="160"/>
      <c r="VPO34" s="160"/>
      <c r="VPP34" s="160"/>
      <c r="VPQ34" s="160"/>
      <c r="VPR34" s="160"/>
      <c r="VPS34" s="160"/>
      <c r="VPT34" s="160"/>
      <c r="VPU34" s="160"/>
      <c r="VPV34" s="160"/>
      <c r="VPW34" s="160"/>
      <c r="VPX34" s="160"/>
      <c r="VPY34" s="160"/>
      <c r="VPZ34" s="160"/>
      <c r="VQA34" s="160"/>
      <c r="VQB34" s="160"/>
      <c r="VQC34" s="160"/>
      <c r="VQD34" s="160"/>
      <c r="VQE34" s="160"/>
      <c r="VQF34" s="160"/>
      <c r="VQG34" s="160"/>
      <c r="VQH34" s="160"/>
      <c r="VQI34" s="160"/>
      <c r="VQJ34" s="160"/>
      <c r="VQK34" s="160"/>
      <c r="VQL34" s="160"/>
      <c r="VQM34" s="160"/>
      <c r="VQN34" s="160"/>
      <c r="VQO34" s="160"/>
      <c r="VQP34" s="160"/>
      <c r="VQQ34" s="160"/>
      <c r="VQR34" s="160"/>
      <c r="VQS34" s="160"/>
      <c r="VQT34" s="160"/>
      <c r="VQU34" s="160"/>
      <c r="VQV34" s="160"/>
      <c r="VQW34" s="160"/>
      <c r="VQX34" s="160"/>
      <c r="VQY34" s="160"/>
      <c r="VQZ34" s="160"/>
      <c r="VRA34" s="160"/>
      <c r="VRB34" s="160"/>
      <c r="VRC34" s="160"/>
      <c r="VRD34" s="160"/>
      <c r="VRE34" s="160"/>
      <c r="VRF34" s="160"/>
      <c r="VRG34" s="160"/>
      <c r="VRH34" s="160"/>
      <c r="VRI34" s="160"/>
      <c r="VRJ34" s="160"/>
      <c r="VRK34" s="160"/>
      <c r="VRL34" s="160"/>
      <c r="VRM34" s="160"/>
      <c r="VRN34" s="160"/>
      <c r="VRO34" s="160"/>
      <c r="VRP34" s="160"/>
      <c r="VRQ34" s="160"/>
      <c r="VRR34" s="160"/>
      <c r="VRS34" s="160"/>
      <c r="VRT34" s="160"/>
      <c r="VRU34" s="160"/>
      <c r="VRV34" s="160"/>
      <c r="VRW34" s="160"/>
      <c r="VSC34" s="160"/>
      <c r="VSD34" s="160"/>
      <c r="VSE34" s="160"/>
      <c r="VSF34" s="160"/>
      <c r="VSG34" s="160"/>
      <c r="VSH34" s="160"/>
      <c r="VSI34" s="160"/>
      <c r="VSJ34" s="160"/>
      <c r="VSK34" s="160"/>
      <c r="VSL34" s="160"/>
      <c r="VSM34" s="160"/>
      <c r="VSN34" s="160"/>
      <c r="VSO34" s="160"/>
      <c r="VSP34" s="160"/>
      <c r="VSQ34" s="160"/>
      <c r="VSR34" s="160"/>
      <c r="VSS34" s="160"/>
      <c r="VST34" s="160"/>
      <c r="VSU34" s="160"/>
      <c r="VSV34" s="160"/>
      <c r="VSW34" s="160"/>
      <c r="VSX34" s="160"/>
      <c r="VSY34" s="160"/>
      <c r="VSZ34" s="160"/>
      <c r="VTA34" s="160"/>
      <c r="VTB34" s="160"/>
      <c r="VTC34" s="160"/>
      <c r="VTD34" s="160"/>
      <c r="VTE34" s="160"/>
      <c r="VTF34" s="160"/>
      <c r="VTG34" s="160"/>
      <c r="VTH34" s="160"/>
      <c r="VTI34" s="160"/>
      <c r="VTJ34" s="160"/>
      <c r="VTK34" s="160"/>
      <c r="VTL34" s="160"/>
      <c r="VTM34" s="160"/>
      <c r="VTN34" s="160"/>
      <c r="VTO34" s="160"/>
      <c r="VTP34" s="160"/>
      <c r="VTQ34" s="160"/>
      <c r="VTR34" s="160"/>
      <c r="VTS34" s="160"/>
      <c r="VTT34" s="160"/>
      <c r="VTU34" s="160"/>
      <c r="VTV34" s="160"/>
      <c r="VTW34" s="160"/>
      <c r="VTX34" s="160"/>
      <c r="VTY34" s="160"/>
      <c r="VTZ34" s="160"/>
      <c r="VUA34" s="160"/>
      <c r="VUB34" s="160"/>
      <c r="VUC34" s="160"/>
      <c r="VUD34" s="160"/>
      <c r="VUE34" s="160"/>
      <c r="VUF34" s="160"/>
      <c r="VUG34" s="160"/>
      <c r="VUH34" s="160"/>
      <c r="VUI34" s="160"/>
      <c r="VUJ34" s="160"/>
      <c r="VUK34" s="160"/>
      <c r="VUL34" s="160"/>
      <c r="VUM34" s="160"/>
      <c r="VUN34" s="160"/>
      <c r="VUO34" s="160"/>
      <c r="VUP34" s="160"/>
      <c r="VUQ34" s="160"/>
      <c r="VUR34" s="160"/>
      <c r="VUS34" s="160"/>
      <c r="VUT34" s="160"/>
      <c r="VUU34" s="160"/>
      <c r="VUV34" s="160"/>
      <c r="VUW34" s="160"/>
      <c r="VUX34" s="160"/>
      <c r="VUY34" s="160"/>
      <c r="VUZ34" s="160"/>
      <c r="VVA34" s="160"/>
      <c r="VVB34" s="160"/>
      <c r="VVC34" s="160"/>
      <c r="VVD34" s="160"/>
      <c r="VVE34" s="160"/>
      <c r="VVF34" s="160"/>
      <c r="VVG34" s="160"/>
      <c r="VVH34" s="160"/>
      <c r="VVI34" s="160"/>
      <c r="VVJ34" s="160"/>
      <c r="VVK34" s="160"/>
      <c r="VVL34" s="160"/>
      <c r="VVM34" s="160"/>
      <c r="VVN34" s="160"/>
      <c r="VVO34" s="160"/>
      <c r="VVP34" s="160"/>
      <c r="VVQ34" s="160"/>
      <c r="VVR34" s="160"/>
      <c r="VVS34" s="160"/>
      <c r="VVT34" s="160"/>
      <c r="VVU34" s="160"/>
      <c r="VVV34" s="160"/>
      <c r="VVW34" s="160"/>
      <c r="VVX34" s="160"/>
      <c r="VVY34" s="160"/>
      <c r="VVZ34" s="160"/>
      <c r="VWA34" s="160"/>
      <c r="VWB34" s="160"/>
      <c r="VWC34" s="160"/>
      <c r="VWD34" s="160"/>
      <c r="VWE34" s="160"/>
      <c r="VWF34" s="160"/>
      <c r="VWG34" s="160"/>
      <c r="VWH34" s="160"/>
      <c r="VWI34" s="160"/>
      <c r="VWJ34" s="160"/>
      <c r="VWK34" s="160"/>
      <c r="VWL34" s="160"/>
      <c r="VWM34" s="160"/>
      <c r="VWN34" s="160"/>
      <c r="VWO34" s="160"/>
      <c r="VWP34" s="160"/>
      <c r="VWQ34" s="160"/>
      <c r="VWR34" s="160"/>
      <c r="VWS34" s="160"/>
      <c r="VWT34" s="160"/>
      <c r="VWU34" s="160"/>
      <c r="VWV34" s="160"/>
      <c r="VWW34" s="160"/>
      <c r="VWX34" s="160"/>
      <c r="VWY34" s="160"/>
      <c r="VWZ34" s="160"/>
      <c r="VXA34" s="160"/>
      <c r="VXB34" s="160"/>
      <c r="VXC34" s="160"/>
      <c r="VXD34" s="160"/>
      <c r="VXE34" s="160"/>
      <c r="VXF34" s="160"/>
      <c r="VXG34" s="160"/>
      <c r="VXH34" s="160"/>
      <c r="VXI34" s="160"/>
      <c r="VXJ34" s="160"/>
      <c r="VXK34" s="160"/>
      <c r="VXL34" s="160"/>
      <c r="VXM34" s="160"/>
      <c r="VXN34" s="160"/>
      <c r="VXO34" s="160"/>
      <c r="VXP34" s="160"/>
      <c r="VXQ34" s="160"/>
      <c r="VXR34" s="160"/>
      <c r="VXS34" s="160"/>
      <c r="VXT34" s="160"/>
      <c r="VXU34" s="160"/>
      <c r="VXV34" s="160"/>
      <c r="VXW34" s="160"/>
      <c r="VXX34" s="160"/>
      <c r="VXY34" s="160"/>
      <c r="VXZ34" s="160"/>
      <c r="VYA34" s="160"/>
      <c r="VYB34" s="160"/>
      <c r="VYC34" s="160"/>
      <c r="VYD34" s="160"/>
      <c r="VYE34" s="160"/>
      <c r="VYF34" s="160"/>
      <c r="VYG34" s="160"/>
      <c r="VYH34" s="160"/>
      <c r="VYI34" s="160"/>
      <c r="VYJ34" s="160"/>
      <c r="VYK34" s="160"/>
      <c r="VYL34" s="160"/>
      <c r="VYM34" s="160"/>
      <c r="VYN34" s="160"/>
      <c r="VYO34" s="160"/>
      <c r="VYP34" s="160"/>
      <c r="VYQ34" s="160"/>
      <c r="VYR34" s="160"/>
      <c r="VYS34" s="160"/>
      <c r="VYT34" s="160"/>
      <c r="VYU34" s="160"/>
      <c r="VYV34" s="160"/>
      <c r="VYW34" s="160"/>
      <c r="VYX34" s="160"/>
      <c r="VYY34" s="160"/>
      <c r="VYZ34" s="160"/>
      <c r="VZA34" s="160"/>
      <c r="VZB34" s="160"/>
      <c r="VZC34" s="160"/>
      <c r="VZD34" s="160"/>
      <c r="VZE34" s="160"/>
      <c r="VZF34" s="160"/>
      <c r="VZG34" s="160"/>
      <c r="VZH34" s="160"/>
      <c r="VZI34" s="160"/>
      <c r="VZJ34" s="160"/>
      <c r="VZK34" s="160"/>
      <c r="VZL34" s="160"/>
      <c r="VZM34" s="160"/>
      <c r="VZN34" s="160"/>
      <c r="VZO34" s="160"/>
      <c r="VZP34" s="160"/>
      <c r="VZQ34" s="160"/>
      <c r="VZR34" s="160"/>
      <c r="VZS34" s="160"/>
      <c r="VZT34" s="160"/>
      <c r="VZU34" s="160"/>
      <c r="VZV34" s="160"/>
      <c r="VZW34" s="160"/>
      <c r="VZX34" s="160"/>
      <c r="VZY34" s="160"/>
      <c r="VZZ34" s="160"/>
      <c r="WAA34" s="160"/>
      <c r="WAB34" s="160"/>
      <c r="WAC34" s="160"/>
      <c r="WAD34" s="160"/>
      <c r="WAE34" s="160"/>
      <c r="WAF34" s="160"/>
      <c r="WAG34" s="160"/>
      <c r="WAH34" s="160"/>
      <c r="WAI34" s="160"/>
      <c r="WAJ34" s="160"/>
      <c r="WAK34" s="160"/>
      <c r="WAL34" s="160"/>
      <c r="WAM34" s="160"/>
      <c r="WAN34" s="160"/>
      <c r="WAO34" s="160"/>
      <c r="WAP34" s="160"/>
      <c r="WAQ34" s="160"/>
      <c r="WAR34" s="160"/>
      <c r="WAS34" s="160"/>
      <c r="WAT34" s="160"/>
      <c r="WAU34" s="160"/>
      <c r="WAV34" s="160"/>
      <c r="WAW34" s="160"/>
      <c r="WAX34" s="160"/>
      <c r="WAY34" s="160"/>
      <c r="WAZ34" s="160"/>
      <c r="WBA34" s="160"/>
      <c r="WBB34" s="160"/>
      <c r="WBC34" s="160"/>
      <c r="WBD34" s="160"/>
      <c r="WBE34" s="160"/>
      <c r="WBF34" s="160"/>
      <c r="WBG34" s="160"/>
      <c r="WBH34" s="160"/>
      <c r="WBI34" s="160"/>
      <c r="WBJ34" s="160"/>
      <c r="WBK34" s="160"/>
      <c r="WBL34" s="160"/>
      <c r="WBM34" s="160"/>
      <c r="WBN34" s="160"/>
      <c r="WBO34" s="160"/>
      <c r="WBP34" s="160"/>
      <c r="WBQ34" s="160"/>
      <c r="WBR34" s="160"/>
      <c r="WBS34" s="160"/>
      <c r="WBY34" s="160"/>
      <c r="WBZ34" s="160"/>
      <c r="WCA34" s="160"/>
      <c r="WCB34" s="160"/>
      <c r="WCC34" s="160"/>
      <c r="WCD34" s="160"/>
      <c r="WCE34" s="160"/>
      <c r="WCF34" s="160"/>
      <c r="WCG34" s="160"/>
      <c r="WCH34" s="160"/>
      <c r="WCI34" s="160"/>
      <c r="WCJ34" s="160"/>
      <c r="WCK34" s="160"/>
      <c r="WCL34" s="160"/>
      <c r="WCM34" s="160"/>
      <c r="WCN34" s="160"/>
      <c r="WCO34" s="160"/>
      <c r="WCP34" s="160"/>
      <c r="WCQ34" s="160"/>
      <c r="WCR34" s="160"/>
      <c r="WCS34" s="160"/>
      <c r="WCT34" s="160"/>
      <c r="WCU34" s="160"/>
      <c r="WCV34" s="160"/>
      <c r="WCW34" s="160"/>
      <c r="WCX34" s="160"/>
      <c r="WCY34" s="160"/>
      <c r="WCZ34" s="160"/>
      <c r="WDA34" s="160"/>
      <c r="WDB34" s="160"/>
      <c r="WDC34" s="160"/>
      <c r="WDD34" s="160"/>
      <c r="WDE34" s="160"/>
      <c r="WDF34" s="160"/>
      <c r="WDG34" s="160"/>
      <c r="WDH34" s="160"/>
      <c r="WDI34" s="160"/>
      <c r="WDJ34" s="160"/>
      <c r="WDK34" s="160"/>
      <c r="WDL34" s="160"/>
      <c r="WDM34" s="160"/>
      <c r="WDN34" s="160"/>
      <c r="WDO34" s="160"/>
      <c r="WDP34" s="160"/>
      <c r="WDQ34" s="160"/>
      <c r="WDR34" s="160"/>
      <c r="WDS34" s="160"/>
      <c r="WDT34" s="160"/>
      <c r="WDU34" s="160"/>
      <c r="WDV34" s="160"/>
      <c r="WDW34" s="160"/>
      <c r="WDX34" s="160"/>
      <c r="WDY34" s="160"/>
      <c r="WDZ34" s="160"/>
      <c r="WEA34" s="160"/>
      <c r="WEB34" s="160"/>
      <c r="WEC34" s="160"/>
      <c r="WED34" s="160"/>
      <c r="WEE34" s="160"/>
      <c r="WEF34" s="160"/>
      <c r="WEG34" s="160"/>
      <c r="WEH34" s="160"/>
      <c r="WEI34" s="160"/>
      <c r="WEJ34" s="160"/>
      <c r="WEK34" s="160"/>
      <c r="WEL34" s="160"/>
      <c r="WEM34" s="160"/>
      <c r="WEN34" s="160"/>
      <c r="WEO34" s="160"/>
      <c r="WEP34" s="160"/>
      <c r="WEQ34" s="160"/>
      <c r="WER34" s="160"/>
      <c r="WES34" s="160"/>
      <c r="WET34" s="160"/>
      <c r="WEU34" s="160"/>
      <c r="WEV34" s="160"/>
      <c r="WEW34" s="160"/>
      <c r="WEX34" s="160"/>
      <c r="WEY34" s="160"/>
      <c r="WEZ34" s="160"/>
      <c r="WFA34" s="160"/>
      <c r="WFB34" s="160"/>
      <c r="WFC34" s="160"/>
      <c r="WFD34" s="160"/>
      <c r="WFE34" s="160"/>
      <c r="WFF34" s="160"/>
      <c r="WFG34" s="160"/>
      <c r="WFH34" s="160"/>
      <c r="WFI34" s="160"/>
      <c r="WFJ34" s="160"/>
      <c r="WFK34" s="160"/>
      <c r="WFL34" s="160"/>
      <c r="WFM34" s="160"/>
      <c r="WFN34" s="160"/>
      <c r="WFO34" s="160"/>
      <c r="WFP34" s="160"/>
      <c r="WFQ34" s="160"/>
      <c r="WFR34" s="160"/>
      <c r="WFS34" s="160"/>
      <c r="WFT34" s="160"/>
      <c r="WFU34" s="160"/>
      <c r="WFV34" s="160"/>
      <c r="WFW34" s="160"/>
      <c r="WFX34" s="160"/>
      <c r="WFY34" s="160"/>
      <c r="WFZ34" s="160"/>
      <c r="WGA34" s="160"/>
      <c r="WGB34" s="160"/>
      <c r="WGC34" s="160"/>
      <c r="WGD34" s="160"/>
      <c r="WGE34" s="160"/>
      <c r="WGF34" s="160"/>
      <c r="WGG34" s="160"/>
      <c r="WGH34" s="160"/>
      <c r="WGI34" s="160"/>
      <c r="WGJ34" s="160"/>
      <c r="WGK34" s="160"/>
      <c r="WGL34" s="160"/>
      <c r="WGM34" s="160"/>
      <c r="WGN34" s="160"/>
      <c r="WGO34" s="160"/>
      <c r="WGP34" s="160"/>
      <c r="WGQ34" s="160"/>
      <c r="WGR34" s="160"/>
      <c r="WGS34" s="160"/>
      <c r="WGT34" s="160"/>
      <c r="WGU34" s="160"/>
      <c r="WGV34" s="160"/>
      <c r="WGW34" s="160"/>
      <c r="WGX34" s="160"/>
      <c r="WGY34" s="160"/>
      <c r="WGZ34" s="160"/>
      <c r="WHA34" s="160"/>
      <c r="WHB34" s="160"/>
      <c r="WHC34" s="160"/>
      <c r="WHD34" s="160"/>
      <c r="WHE34" s="160"/>
      <c r="WHF34" s="160"/>
      <c r="WHG34" s="160"/>
      <c r="WHH34" s="160"/>
      <c r="WHI34" s="160"/>
      <c r="WHJ34" s="160"/>
      <c r="WHK34" s="160"/>
      <c r="WHL34" s="160"/>
      <c r="WHM34" s="160"/>
      <c r="WHN34" s="160"/>
      <c r="WHO34" s="160"/>
      <c r="WHP34" s="160"/>
      <c r="WHQ34" s="160"/>
      <c r="WHR34" s="160"/>
      <c r="WHS34" s="160"/>
      <c r="WHT34" s="160"/>
      <c r="WHU34" s="160"/>
      <c r="WHV34" s="160"/>
      <c r="WHW34" s="160"/>
      <c r="WHX34" s="160"/>
      <c r="WHY34" s="160"/>
      <c r="WHZ34" s="160"/>
      <c r="WIA34" s="160"/>
      <c r="WIB34" s="160"/>
      <c r="WIC34" s="160"/>
      <c r="WID34" s="160"/>
      <c r="WIE34" s="160"/>
      <c r="WIF34" s="160"/>
      <c r="WIG34" s="160"/>
      <c r="WIH34" s="160"/>
      <c r="WII34" s="160"/>
      <c r="WIJ34" s="160"/>
      <c r="WIK34" s="160"/>
      <c r="WIL34" s="160"/>
      <c r="WIM34" s="160"/>
      <c r="WIN34" s="160"/>
      <c r="WIO34" s="160"/>
      <c r="WIP34" s="160"/>
      <c r="WIQ34" s="160"/>
      <c r="WIR34" s="160"/>
      <c r="WIS34" s="160"/>
      <c r="WIT34" s="160"/>
      <c r="WIU34" s="160"/>
      <c r="WIV34" s="160"/>
      <c r="WIW34" s="160"/>
      <c r="WIX34" s="160"/>
      <c r="WIY34" s="160"/>
      <c r="WIZ34" s="160"/>
      <c r="WJA34" s="160"/>
      <c r="WJB34" s="160"/>
      <c r="WJC34" s="160"/>
      <c r="WJD34" s="160"/>
      <c r="WJE34" s="160"/>
      <c r="WJF34" s="160"/>
      <c r="WJG34" s="160"/>
      <c r="WJH34" s="160"/>
      <c r="WJI34" s="160"/>
      <c r="WJJ34" s="160"/>
      <c r="WJK34" s="160"/>
      <c r="WJL34" s="160"/>
      <c r="WJM34" s="160"/>
      <c r="WJN34" s="160"/>
      <c r="WJO34" s="160"/>
      <c r="WJP34" s="160"/>
      <c r="WJQ34" s="160"/>
      <c r="WJR34" s="160"/>
      <c r="WJS34" s="160"/>
      <c r="WJT34" s="160"/>
      <c r="WJU34" s="160"/>
      <c r="WJV34" s="160"/>
      <c r="WJW34" s="160"/>
      <c r="WJX34" s="160"/>
      <c r="WJY34" s="160"/>
      <c r="WJZ34" s="160"/>
      <c r="WKA34" s="160"/>
      <c r="WKB34" s="160"/>
      <c r="WKC34" s="160"/>
      <c r="WKD34" s="160"/>
      <c r="WKE34" s="160"/>
      <c r="WKF34" s="160"/>
      <c r="WKG34" s="160"/>
      <c r="WKH34" s="160"/>
      <c r="WKI34" s="160"/>
      <c r="WKJ34" s="160"/>
      <c r="WKK34" s="160"/>
      <c r="WKL34" s="160"/>
      <c r="WKM34" s="160"/>
      <c r="WKN34" s="160"/>
      <c r="WKO34" s="160"/>
      <c r="WKP34" s="160"/>
      <c r="WKQ34" s="160"/>
      <c r="WKR34" s="160"/>
      <c r="WKS34" s="160"/>
      <c r="WKT34" s="160"/>
      <c r="WKU34" s="160"/>
      <c r="WKV34" s="160"/>
      <c r="WKW34" s="160"/>
      <c r="WKX34" s="160"/>
      <c r="WKY34" s="160"/>
      <c r="WKZ34" s="160"/>
      <c r="WLA34" s="160"/>
      <c r="WLB34" s="160"/>
      <c r="WLC34" s="160"/>
      <c r="WLD34" s="160"/>
      <c r="WLE34" s="160"/>
      <c r="WLF34" s="160"/>
      <c r="WLG34" s="160"/>
      <c r="WLH34" s="160"/>
      <c r="WLI34" s="160"/>
      <c r="WLJ34" s="160"/>
      <c r="WLK34" s="160"/>
      <c r="WLL34" s="160"/>
      <c r="WLM34" s="160"/>
      <c r="WLN34" s="160"/>
      <c r="WLO34" s="160"/>
      <c r="WLU34" s="160"/>
      <c r="WLV34" s="160"/>
      <c r="WLW34" s="160"/>
      <c r="WLX34" s="160"/>
      <c r="WLY34" s="160"/>
      <c r="WLZ34" s="160"/>
      <c r="WMA34" s="160"/>
      <c r="WMB34" s="160"/>
      <c r="WMC34" s="160"/>
      <c r="WMD34" s="160"/>
      <c r="WME34" s="160"/>
      <c r="WMF34" s="160"/>
      <c r="WMG34" s="160"/>
      <c r="WMH34" s="160"/>
      <c r="WMI34" s="160"/>
      <c r="WMJ34" s="160"/>
      <c r="WMK34" s="160"/>
      <c r="WML34" s="160"/>
      <c r="WMM34" s="160"/>
      <c r="WMN34" s="160"/>
      <c r="WMO34" s="160"/>
      <c r="WMP34" s="160"/>
      <c r="WMQ34" s="160"/>
      <c r="WMR34" s="160"/>
      <c r="WMS34" s="160"/>
      <c r="WMT34" s="160"/>
      <c r="WMU34" s="160"/>
      <c r="WMV34" s="160"/>
      <c r="WMW34" s="160"/>
      <c r="WMX34" s="160"/>
      <c r="WMY34" s="160"/>
      <c r="WMZ34" s="160"/>
      <c r="WNA34" s="160"/>
      <c r="WNB34" s="160"/>
      <c r="WNC34" s="160"/>
      <c r="WND34" s="160"/>
      <c r="WNE34" s="160"/>
      <c r="WNF34" s="160"/>
      <c r="WNG34" s="160"/>
      <c r="WNH34" s="160"/>
      <c r="WNI34" s="160"/>
      <c r="WNJ34" s="160"/>
      <c r="WNK34" s="160"/>
      <c r="WNL34" s="160"/>
      <c r="WNM34" s="160"/>
      <c r="WNN34" s="160"/>
      <c r="WNO34" s="160"/>
      <c r="WNP34" s="160"/>
      <c r="WNQ34" s="160"/>
      <c r="WNR34" s="160"/>
      <c r="WNS34" s="160"/>
      <c r="WNT34" s="160"/>
      <c r="WNU34" s="160"/>
      <c r="WNV34" s="160"/>
      <c r="WNW34" s="160"/>
      <c r="WNX34" s="160"/>
      <c r="WNY34" s="160"/>
      <c r="WNZ34" s="160"/>
      <c r="WOA34" s="160"/>
      <c r="WOB34" s="160"/>
      <c r="WOC34" s="160"/>
      <c r="WOD34" s="160"/>
      <c r="WOE34" s="160"/>
      <c r="WOF34" s="160"/>
      <c r="WOG34" s="160"/>
      <c r="WOH34" s="160"/>
      <c r="WOI34" s="160"/>
      <c r="WOJ34" s="160"/>
      <c r="WOK34" s="160"/>
      <c r="WOL34" s="160"/>
      <c r="WOM34" s="160"/>
      <c r="WON34" s="160"/>
      <c r="WOO34" s="160"/>
      <c r="WOP34" s="160"/>
      <c r="WOQ34" s="160"/>
      <c r="WOR34" s="160"/>
      <c r="WOS34" s="160"/>
      <c r="WOT34" s="160"/>
      <c r="WOU34" s="160"/>
      <c r="WOV34" s="160"/>
      <c r="WOW34" s="160"/>
      <c r="WOX34" s="160"/>
      <c r="WOY34" s="160"/>
      <c r="WOZ34" s="160"/>
      <c r="WPA34" s="160"/>
      <c r="WPB34" s="160"/>
      <c r="WPC34" s="160"/>
      <c r="WPD34" s="160"/>
      <c r="WPE34" s="160"/>
      <c r="WPF34" s="160"/>
      <c r="WPG34" s="160"/>
      <c r="WPH34" s="160"/>
      <c r="WPI34" s="160"/>
      <c r="WPJ34" s="160"/>
      <c r="WPK34" s="160"/>
      <c r="WPL34" s="160"/>
      <c r="WPM34" s="160"/>
      <c r="WPN34" s="160"/>
      <c r="WPO34" s="160"/>
      <c r="WPP34" s="160"/>
      <c r="WPQ34" s="160"/>
      <c r="WPR34" s="160"/>
      <c r="WPS34" s="160"/>
      <c r="WPT34" s="160"/>
      <c r="WPU34" s="160"/>
      <c r="WPV34" s="160"/>
      <c r="WPW34" s="160"/>
      <c r="WPX34" s="160"/>
      <c r="WPY34" s="160"/>
      <c r="WPZ34" s="160"/>
      <c r="WQA34" s="160"/>
      <c r="WQB34" s="160"/>
      <c r="WQC34" s="160"/>
      <c r="WQD34" s="160"/>
      <c r="WQE34" s="160"/>
      <c r="WQF34" s="160"/>
      <c r="WQG34" s="160"/>
      <c r="WQH34" s="160"/>
      <c r="WQI34" s="160"/>
      <c r="WQJ34" s="160"/>
      <c r="WQK34" s="160"/>
      <c r="WQL34" s="160"/>
      <c r="WQM34" s="160"/>
      <c r="WQN34" s="160"/>
      <c r="WQO34" s="160"/>
      <c r="WQP34" s="160"/>
      <c r="WQQ34" s="160"/>
      <c r="WQR34" s="160"/>
      <c r="WQS34" s="160"/>
      <c r="WQT34" s="160"/>
      <c r="WQU34" s="160"/>
      <c r="WQV34" s="160"/>
      <c r="WQW34" s="160"/>
      <c r="WQX34" s="160"/>
      <c r="WQY34" s="160"/>
      <c r="WQZ34" s="160"/>
      <c r="WRA34" s="160"/>
      <c r="WRB34" s="160"/>
      <c r="WRC34" s="160"/>
      <c r="WRD34" s="160"/>
      <c r="WRE34" s="160"/>
      <c r="WRF34" s="160"/>
      <c r="WRG34" s="160"/>
      <c r="WRH34" s="160"/>
      <c r="WRI34" s="160"/>
      <c r="WRJ34" s="160"/>
      <c r="WRK34" s="160"/>
      <c r="WRL34" s="160"/>
      <c r="WRM34" s="160"/>
      <c r="WRN34" s="160"/>
      <c r="WRO34" s="160"/>
      <c r="WRP34" s="160"/>
      <c r="WRQ34" s="160"/>
      <c r="WRR34" s="160"/>
      <c r="WRS34" s="160"/>
      <c r="WRT34" s="160"/>
      <c r="WRU34" s="160"/>
      <c r="WRV34" s="160"/>
      <c r="WRW34" s="160"/>
      <c r="WRX34" s="160"/>
      <c r="WRY34" s="160"/>
      <c r="WRZ34" s="160"/>
      <c r="WSA34" s="160"/>
      <c r="WSB34" s="160"/>
      <c r="WSC34" s="160"/>
      <c r="WSD34" s="160"/>
      <c r="WSE34" s="160"/>
      <c r="WSF34" s="160"/>
      <c r="WSG34" s="160"/>
      <c r="WSH34" s="160"/>
      <c r="WSI34" s="160"/>
      <c r="WSJ34" s="160"/>
      <c r="WSK34" s="160"/>
      <c r="WSL34" s="160"/>
      <c r="WSM34" s="160"/>
      <c r="WSN34" s="160"/>
      <c r="WSO34" s="160"/>
      <c r="WSP34" s="160"/>
      <c r="WSQ34" s="160"/>
      <c r="WSR34" s="160"/>
      <c r="WSS34" s="160"/>
      <c r="WST34" s="160"/>
      <c r="WSU34" s="160"/>
      <c r="WSV34" s="160"/>
      <c r="WSW34" s="160"/>
      <c r="WSX34" s="160"/>
      <c r="WSY34" s="160"/>
      <c r="WSZ34" s="160"/>
      <c r="WTA34" s="160"/>
      <c r="WTB34" s="160"/>
      <c r="WTC34" s="160"/>
      <c r="WTD34" s="160"/>
      <c r="WTE34" s="160"/>
      <c r="WTF34" s="160"/>
      <c r="WTG34" s="160"/>
      <c r="WTH34" s="160"/>
      <c r="WTI34" s="160"/>
      <c r="WTJ34" s="160"/>
      <c r="WTK34" s="160"/>
      <c r="WTL34" s="160"/>
      <c r="WTM34" s="160"/>
      <c r="WTN34" s="160"/>
      <c r="WTO34" s="160"/>
      <c r="WTP34" s="160"/>
      <c r="WTQ34" s="160"/>
      <c r="WTR34" s="160"/>
      <c r="WTS34" s="160"/>
      <c r="WTT34" s="160"/>
      <c r="WTU34" s="160"/>
      <c r="WTV34" s="160"/>
      <c r="WTW34" s="160"/>
      <c r="WTX34" s="160"/>
      <c r="WTY34" s="160"/>
      <c r="WTZ34" s="160"/>
      <c r="WUA34" s="160"/>
      <c r="WUB34" s="160"/>
      <c r="WUC34" s="160"/>
      <c r="WUD34" s="160"/>
      <c r="WUE34" s="160"/>
      <c r="WUF34" s="160"/>
      <c r="WUG34" s="160"/>
      <c r="WUH34" s="160"/>
      <c r="WUI34" s="160"/>
      <c r="WUJ34" s="160"/>
      <c r="WUK34" s="160"/>
      <c r="WUL34" s="160"/>
      <c r="WUM34" s="160"/>
      <c r="WUN34" s="160"/>
      <c r="WUO34" s="160"/>
      <c r="WUP34" s="160"/>
      <c r="WUQ34" s="160"/>
      <c r="WUR34" s="160"/>
      <c r="WUS34" s="160"/>
      <c r="WUT34" s="160"/>
      <c r="WUU34" s="160"/>
      <c r="WUV34" s="160"/>
      <c r="WUW34" s="160"/>
      <c r="WUX34" s="160"/>
      <c r="WUY34" s="160"/>
      <c r="WUZ34" s="160"/>
      <c r="WVA34" s="160"/>
      <c r="WVB34" s="160"/>
      <c r="WVC34" s="160"/>
      <c r="WVD34" s="160"/>
      <c r="WVE34" s="160"/>
      <c r="WVF34" s="160"/>
      <c r="WVG34" s="160"/>
      <c r="WVH34" s="160"/>
      <c r="WVI34" s="160"/>
      <c r="WVJ34" s="160"/>
      <c r="WVK34" s="160"/>
      <c r="WVQ34" s="160"/>
      <c r="WVR34" s="160"/>
      <c r="WVS34" s="160"/>
      <c r="WVT34" s="160"/>
      <c r="WVU34" s="160"/>
      <c r="WVV34" s="160"/>
      <c r="WVW34" s="160"/>
      <c r="WVX34" s="160"/>
      <c r="WVY34" s="160"/>
      <c r="WVZ34" s="160"/>
      <c r="WWA34" s="160"/>
      <c r="WWB34" s="160"/>
      <c r="WWC34" s="160"/>
      <c r="WWD34" s="160"/>
      <c r="WWE34" s="160"/>
      <c r="WWF34" s="160"/>
      <c r="WWG34" s="160"/>
      <c r="WWH34" s="160"/>
      <c r="WWI34" s="160"/>
      <c r="WWJ34" s="160"/>
      <c r="WWK34" s="160"/>
      <c r="WWL34" s="160"/>
      <c r="WWM34" s="160"/>
      <c r="WWN34" s="160"/>
      <c r="WWO34" s="160"/>
      <c r="WWP34" s="160"/>
      <c r="WWQ34" s="160"/>
      <c r="WWR34" s="160"/>
      <c r="WWS34" s="160"/>
      <c r="WWT34" s="160"/>
      <c r="WWU34" s="160"/>
      <c r="WWV34" s="160"/>
      <c r="WWW34" s="160"/>
      <c r="WWX34" s="160"/>
      <c r="WWY34" s="160"/>
      <c r="WWZ34" s="160"/>
      <c r="WXA34" s="160"/>
      <c r="WXB34" s="160"/>
      <c r="WXC34" s="160"/>
      <c r="WXD34" s="160"/>
      <c r="WXE34" s="160"/>
      <c r="WXF34" s="160"/>
      <c r="WXG34" s="160"/>
      <c r="WXH34" s="160"/>
      <c r="WXI34" s="160"/>
      <c r="WXJ34" s="160"/>
      <c r="WXK34" s="160"/>
      <c r="WXL34" s="160"/>
      <c r="WXM34" s="160"/>
      <c r="WXN34" s="160"/>
      <c r="WXO34" s="160"/>
      <c r="WXP34" s="160"/>
      <c r="WXQ34" s="160"/>
      <c r="WXR34" s="160"/>
      <c r="WXS34" s="160"/>
      <c r="WXT34" s="160"/>
      <c r="WXU34" s="160"/>
      <c r="WXV34" s="160"/>
      <c r="WXW34" s="160"/>
      <c r="WXX34" s="160"/>
      <c r="WXY34" s="160"/>
      <c r="WXZ34" s="160"/>
      <c r="WYA34" s="160"/>
      <c r="WYB34" s="160"/>
      <c r="WYC34" s="160"/>
      <c r="WYD34" s="160"/>
      <c r="WYE34" s="160"/>
      <c r="WYF34" s="160"/>
      <c r="WYG34" s="160"/>
      <c r="WYH34" s="160"/>
      <c r="WYI34" s="160"/>
      <c r="WYJ34" s="160"/>
      <c r="WYK34" s="160"/>
      <c r="WYL34" s="160"/>
      <c r="WYM34" s="160"/>
      <c r="WYN34" s="160"/>
      <c r="WYO34" s="160"/>
      <c r="WYP34" s="160"/>
      <c r="WYQ34" s="160"/>
      <c r="WYR34" s="160"/>
      <c r="WYS34" s="160"/>
      <c r="WYT34" s="160"/>
      <c r="WYU34" s="160"/>
      <c r="WYV34" s="160"/>
      <c r="WYW34" s="160"/>
      <c r="WYX34" s="160"/>
      <c r="WYY34" s="160"/>
      <c r="WYZ34" s="160"/>
      <c r="WZA34" s="160"/>
      <c r="WZB34" s="160"/>
      <c r="WZC34" s="160"/>
      <c r="WZD34" s="160"/>
      <c r="WZE34" s="160"/>
      <c r="WZF34" s="160"/>
      <c r="WZG34" s="160"/>
      <c r="WZH34" s="160"/>
      <c r="WZI34" s="160"/>
      <c r="WZJ34" s="160"/>
      <c r="WZK34" s="160"/>
      <c r="WZL34" s="160"/>
      <c r="WZM34" s="160"/>
      <c r="WZN34" s="160"/>
      <c r="WZO34" s="160"/>
      <c r="WZP34" s="160"/>
      <c r="WZQ34" s="160"/>
      <c r="WZR34" s="160"/>
      <c r="WZS34" s="160"/>
      <c r="WZT34" s="160"/>
      <c r="WZU34" s="160"/>
      <c r="WZV34" s="160"/>
      <c r="WZW34" s="160"/>
      <c r="WZX34" s="160"/>
      <c r="WZY34" s="160"/>
      <c r="WZZ34" s="160"/>
      <c r="XAA34" s="160"/>
      <c r="XAB34" s="160"/>
      <c r="XAC34" s="160"/>
      <c r="XAD34" s="160"/>
      <c r="XAE34" s="160"/>
      <c r="XAF34" s="160"/>
      <c r="XAG34" s="160"/>
      <c r="XAH34" s="160"/>
      <c r="XAI34" s="160"/>
      <c r="XAJ34" s="160"/>
      <c r="XAK34" s="160"/>
      <c r="XAL34" s="160"/>
      <c r="XAM34" s="160"/>
      <c r="XAN34" s="160"/>
      <c r="XAO34" s="160"/>
      <c r="XAP34" s="160"/>
      <c r="XAQ34" s="160"/>
      <c r="XAR34" s="160"/>
      <c r="XAS34" s="160"/>
      <c r="XAT34" s="160"/>
      <c r="XAU34" s="160"/>
      <c r="XAV34" s="160"/>
      <c r="XAW34" s="160"/>
      <c r="XAX34" s="160"/>
      <c r="XAY34" s="160"/>
      <c r="XAZ34" s="160"/>
      <c r="XBA34" s="160"/>
      <c r="XBB34" s="160"/>
      <c r="XBC34" s="160"/>
      <c r="XBD34" s="160"/>
      <c r="XBE34" s="160"/>
      <c r="XBF34" s="160"/>
      <c r="XBG34" s="160"/>
      <c r="XBH34" s="160"/>
      <c r="XBI34" s="160"/>
      <c r="XBJ34" s="160"/>
      <c r="XBK34" s="160"/>
      <c r="XBL34" s="160"/>
      <c r="XBM34" s="160"/>
      <c r="XBN34" s="160"/>
      <c r="XBO34" s="160"/>
      <c r="XBP34" s="160"/>
      <c r="XBQ34" s="160"/>
      <c r="XBR34" s="160"/>
      <c r="XBS34" s="160"/>
      <c r="XBT34" s="160"/>
      <c r="XBU34" s="160"/>
      <c r="XBV34" s="160"/>
      <c r="XBW34" s="160"/>
      <c r="XBX34" s="160"/>
      <c r="XBY34" s="160"/>
      <c r="XBZ34" s="160"/>
      <c r="XCA34" s="160"/>
      <c r="XCB34" s="160"/>
      <c r="XCC34" s="160"/>
      <c r="XCD34" s="160"/>
      <c r="XCE34" s="160"/>
      <c r="XCF34" s="160"/>
      <c r="XCG34" s="160"/>
      <c r="XCH34" s="160"/>
      <c r="XCI34" s="160"/>
      <c r="XCJ34" s="160"/>
      <c r="XCK34" s="160"/>
      <c r="XCL34" s="160"/>
      <c r="XCM34" s="160"/>
      <c r="XCN34" s="160"/>
      <c r="XCO34" s="160"/>
      <c r="XCP34" s="160"/>
      <c r="XCQ34" s="160"/>
      <c r="XCR34" s="160"/>
      <c r="XCS34" s="160"/>
      <c r="XCT34" s="160"/>
      <c r="XCU34" s="160"/>
      <c r="XCV34" s="160"/>
      <c r="XCW34" s="160"/>
      <c r="XCX34" s="160"/>
      <c r="XCY34" s="160"/>
      <c r="XCZ34" s="160"/>
      <c r="XDA34" s="160"/>
      <c r="XDB34" s="160"/>
      <c r="XDC34" s="160"/>
      <c r="XDD34" s="160"/>
      <c r="XDE34" s="160"/>
      <c r="XDF34" s="160"/>
      <c r="XDG34" s="160"/>
      <c r="XDH34" s="160"/>
      <c r="XDI34" s="160"/>
      <c r="XDJ34" s="160"/>
      <c r="XDK34" s="160"/>
      <c r="XDL34" s="160"/>
      <c r="XDM34" s="160"/>
      <c r="XDN34" s="160"/>
      <c r="XDO34" s="160"/>
      <c r="XDP34" s="160"/>
      <c r="XDQ34" s="160"/>
      <c r="XDR34" s="160"/>
      <c r="XDS34" s="160"/>
      <c r="XDT34" s="160"/>
      <c r="XDU34" s="160"/>
      <c r="XDV34" s="160"/>
      <c r="XDW34" s="160"/>
      <c r="XDX34" s="160"/>
      <c r="XDY34" s="160"/>
      <c r="XDZ34" s="160"/>
      <c r="XEA34" s="160"/>
      <c r="XEB34" s="160"/>
      <c r="XEC34" s="160"/>
      <c r="XED34" s="160"/>
      <c r="XEE34" s="160"/>
      <c r="XEF34" s="160"/>
      <c r="XEG34" s="160"/>
      <c r="XEH34" s="160"/>
      <c r="XEI34" s="160"/>
      <c r="XEJ34" s="160"/>
      <c r="XEK34" s="160"/>
      <c r="XEL34" s="160"/>
      <c r="XEM34" s="160"/>
      <c r="XEN34" s="160"/>
      <c r="XEO34" s="160"/>
      <c r="XEP34" s="160"/>
      <c r="XEQ34" s="160"/>
      <c r="XER34" s="160"/>
      <c r="XES34" s="160"/>
      <c r="XET34" s="160"/>
      <c r="XEU34" s="160"/>
      <c r="XEV34" s="160"/>
      <c r="XEW34" s="160"/>
      <c r="XEX34" s="160"/>
      <c r="XEY34" s="160"/>
      <c r="XEZ34" s="160"/>
      <c r="XFA34" s="160"/>
      <c r="XFB34" s="160"/>
      <c r="XFC34" s="160"/>
      <c r="XFD34" s="160"/>
    </row>
    <row r="35" spans="1:16384" ht="15" customHeight="1" x14ac:dyDescent="0.2">
      <c r="A35" s="102" t="s">
        <v>600</v>
      </c>
      <c r="B35" s="82" t="s">
        <v>845</v>
      </c>
      <c r="C35" s="82" t="s">
        <v>92</v>
      </c>
      <c r="D35" s="82" t="s">
        <v>846</v>
      </c>
      <c r="E35" s="80" t="s">
        <v>1310</v>
      </c>
      <c r="F35" s="80"/>
      <c r="G35" s="80" t="s">
        <v>1311</v>
      </c>
      <c r="H35" s="80" t="s">
        <v>18</v>
      </c>
      <c r="I35" s="80" t="s">
        <v>1312</v>
      </c>
      <c r="J35" s="82" t="s">
        <v>645</v>
      </c>
      <c r="K35" s="82" t="s">
        <v>646</v>
      </c>
      <c r="L35" s="82" t="s">
        <v>847</v>
      </c>
      <c r="M35" s="82" t="s">
        <v>848</v>
      </c>
      <c r="N35" s="82" t="s">
        <v>849</v>
      </c>
      <c r="O35" s="82" t="s">
        <v>850</v>
      </c>
      <c r="P35" s="82"/>
      <c r="Q35" s="82" t="s">
        <v>568</v>
      </c>
      <c r="R35" s="119" t="s">
        <v>1733</v>
      </c>
      <c r="S35" s="119"/>
    </row>
    <row r="36" spans="1:16384" ht="15" customHeight="1" x14ac:dyDescent="0.2">
      <c r="A36" s="102" t="s">
        <v>603</v>
      </c>
      <c r="B36" s="82" t="s">
        <v>851</v>
      </c>
      <c r="C36" s="82" t="s">
        <v>852</v>
      </c>
      <c r="D36" s="82" t="s">
        <v>853</v>
      </c>
      <c r="E36" s="80" t="s">
        <v>1313</v>
      </c>
      <c r="F36" s="80"/>
      <c r="G36" s="80" t="s">
        <v>1280</v>
      </c>
      <c r="H36" s="80" t="s">
        <v>18</v>
      </c>
      <c r="I36" s="80" t="s">
        <v>1314</v>
      </c>
      <c r="J36" s="82" t="s">
        <v>645</v>
      </c>
      <c r="K36" s="82" t="s">
        <v>646</v>
      </c>
      <c r="L36" s="82" t="s">
        <v>854</v>
      </c>
      <c r="M36" s="82" t="s">
        <v>855</v>
      </c>
      <c r="N36" s="82" t="s">
        <v>856</v>
      </c>
      <c r="O36" s="82" t="s">
        <v>857</v>
      </c>
      <c r="P36" s="82" t="s">
        <v>858</v>
      </c>
      <c r="Q36" s="82" t="s">
        <v>568</v>
      </c>
      <c r="R36" s="119" t="s">
        <v>1733</v>
      </c>
      <c r="S36" s="119"/>
    </row>
    <row r="37" spans="1:16384" ht="15" customHeight="1" x14ac:dyDescent="0.2">
      <c r="A37" s="102" t="s">
        <v>605</v>
      </c>
      <c r="B37" s="82" t="s">
        <v>859</v>
      </c>
      <c r="C37" s="82" t="s">
        <v>860</v>
      </c>
      <c r="D37" s="82" t="s">
        <v>861</v>
      </c>
      <c r="E37" s="80"/>
      <c r="F37" s="80"/>
      <c r="G37" s="80" t="s">
        <v>1280</v>
      </c>
      <c r="H37" s="80" t="s">
        <v>18</v>
      </c>
      <c r="I37" s="80" t="s">
        <v>1315</v>
      </c>
      <c r="J37" s="82" t="s">
        <v>709</v>
      </c>
      <c r="K37" s="82" t="s">
        <v>646</v>
      </c>
      <c r="L37" s="82" t="s">
        <v>862</v>
      </c>
      <c r="M37" s="82" t="s">
        <v>863</v>
      </c>
      <c r="N37" s="82" t="s">
        <v>864</v>
      </c>
      <c r="O37" s="82" t="s">
        <v>865</v>
      </c>
      <c r="P37" s="82"/>
      <c r="Q37" s="82" t="s">
        <v>568</v>
      </c>
      <c r="R37" s="119" t="s">
        <v>1733</v>
      </c>
      <c r="S37" s="119"/>
    </row>
    <row r="38" spans="1:16384" ht="15" customHeight="1" x14ac:dyDescent="0.2">
      <c r="A38" s="101" t="s">
        <v>866</v>
      </c>
      <c r="B38" s="80" t="s">
        <v>867</v>
      </c>
      <c r="C38" s="80" t="s">
        <v>868</v>
      </c>
      <c r="D38" s="80" t="s">
        <v>869</v>
      </c>
      <c r="E38" s="80" t="s">
        <v>1316</v>
      </c>
      <c r="F38" s="80"/>
      <c r="G38" s="80" t="s">
        <v>1317</v>
      </c>
      <c r="H38" s="80" t="s">
        <v>18</v>
      </c>
      <c r="I38" s="80" t="s">
        <v>1318</v>
      </c>
      <c r="J38" s="80" t="s">
        <v>645</v>
      </c>
      <c r="K38" s="80" t="s">
        <v>646</v>
      </c>
      <c r="L38" s="80" t="s">
        <v>870</v>
      </c>
      <c r="M38" s="80" t="s">
        <v>871</v>
      </c>
      <c r="N38" s="80"/>
      <c r="O38" s="80" t="s">
        <v>872</v>
      </c>
      <c r="P38" s="80"/>
      <c r="Q38" s="80" t="s">
        <v>568</v>
      </c>
      <c r="R38" s="119"/>
      <c r="S38" s="119"/>
    </row>
    <row r="39" spans="1:16384" ht="15" customHeight="1" x14ac:dyDescent="0.2">
      <c r="A39" s="102" t="s">
        <v>607</v>
      </c>
      <c r="B39" s="82" t="s">
        <v>873</v>
      </c>
      <c r="C39" s="82" t="s">
        <v>874</v>
      </c>
      <c r="D39" s="82" t="s">
        <v>875</v>
      </c>
      <c r="E39" s="80" t="s">
        <v>1319</v>
      </c>
      <c r="F39" s="80"/>
      <c r="G39" s="80" t="s">
        <v>1317</v>
      </c>
      <c r="H39" s="80" t="s">
        <v>18</v>
      </c>
      <c r="I39" s="80" t="s">
        <v>1320</v>
      </c>
      <c r="J39" s="82" t="s">
        <v>655</v>
      </c>
      <c r="K39" s="82" t="s">
        <v>646</v>
      </c>
      <c r="L39" s="82"/>
      <c r="M39" s="82" t="s">
        <v>876</v>
      </c>
      <c r="N39" s="82"/>
      <c r="O39" s="82" t="s">
        <v>876</v>
      </c>
      <c r="P39" s="82"/>
      <c r="Q39" s="82" t="s">
        <v>568</v>
      </c>
      <c r="R39" s="119" t="s">
        <v>1733</v>
      </c>
      <c r="S39" s="119"/>
    </row>
    <row r="40" spans="1:16384" ht="15" customHeight="1" x14ac:dyDescent="0.2">
      <c r="A40" s="102" t="s">
        <v>608</v>
      </c>
      <c r="B40" s="82" t="s">
        <v>877</v>
      </c>
      <c r="C40" s="82" t="s">
        <v>878</v>
      </c>
      <c r="D40" s="82" t="s">
        <v>879</v>
      </c>
      <c r="E40" s="80"/>
      <c r="F40" s="80"/>
      <c r="G40" s="80" t="s">
        <v>1280</v>
      </c>
      <c r="H40" s="80" t="s">
        <v>18</v>
      </c>
      <c r="I40" s="80" t="s">
        <v>1321</v>
      </c>
      <c r="J40" s="82" t="s">
        <v>645</v>
      </c>
      <c r="K40" s="82" t="s">
        <v>739</v>
      </c>
      <c r="L40" s="82" t="s">
        <v>880</v>
      </c>
      <c r="M40" s="82" t="s">
        <v>881</v>
      </c>
      <c r="N40" s="82" t="s">
        <v>882</v>
      </c>
      <c r="O40" s="82" t="s">
        <v>883</v>
      </c>
      <c r="P40" s="82" t="s">
        <v>884</v>
      </c>
      <c r="Q40" s="82" t="s">
        <v>568</v>
      </c>
      <c r="R40" s="119" t="s">
        <v>1733</v>
      </c>
      <c r="S40" s="119"/>
    </row>
    <row r="41" spans="1:16384" ht="15" customHeight="1" x14ac:dyDescent="0.2">
      <c r="A41" s="101" t="s">
        <v>885</v>
      </c>
      <c r="B41" s="80" t="s">
        <v>886</v>
      </c>
      <c r="C41" s="80" t="s">
        <v>887</v>
      </c>
      <c r="D41" s="80" t="s">
        <v>888</v>
      </c>
      <c r="E41" s="80" t="s">
        <v>1322</v>
      </c>
      <c r="F41" s="80"/>
      <c r="G41" s="80" t="s">
        <v>1323</v>
      </c>
      <c r="H41" s="80" t="s">
        <v>18</v>
      </c>
      <c r="I41" s="80" t="s">
        <v>1324</v>
      </c>
      <c r="J41" s="80" t="s">
        <v>645</v>
      </c>
      <c r="K41" s="80" t="s">
        <v>646</v>
      </c>
      <c r="L41" s="80" t="s">
        <v>889</v>
      </c>
      <c r="M41" s="80" t="s">
        <v>890</v>
      </c>
      <c r="N41" s="80" t="s">
        <v>891</v>
      </c>
      <c r="O41" s="80" t="s">
        <v>892</v>
      </c>
      <c r="P41" s="80"/>
      <c r="Q41" s="80" t="s">
        <v>568</v>
      </c>
      <c r="R41" s="119"/>
      <c r="S41" s="119"/>
    </row>
    <row r="42" spans="1:16384" ht="15" customHeight="1" x14ac:dyDescent="0.2">
      <c r="A42" s="102" t="s">
        <v>609</v>
      </c>
      <c r="B42" s="82" t="s">
        <v>893</v>
      </c>
      <c r="C42" s="82" t="s">
        <v>894</v>
      </c>
      <c r="D42" s="82" t="s">
        <v>895</v>
      </c>
      <c r="E42" s="80"/>
      <c r="F42" s="80"/>
      <c r="G42" s="80" t="s">
        <v>1249</v>
      </c>
      <c r="H42" s="80" t="s">
        <v>18</v>
      </c>
      <c r="I42" s="80" t="s">
        <v>1325</v>
      </c>
      <c r="J42" s="82" t="s">
        <v>709</v>
      </c>
      <c r="K42" s="82" t="s">
        <v>646</v>
      </c>
      <c r="L42" s="82" t="s">
        <v>543</v>
      </c>
      <c r="M42" s="82" t="s">
        <v>896</v>
      </c>
      <c r="N42" s="82" t="s">
        <v>897</v>
      </c>
      <c r="O42" s="82" t="s">
        <v>898</v>
      </c>
      <c r="P42" s="82"/>
      <c r="Q42" s="82" t="s">
        <v>568</v>
      </c>
      <c r="R42" s="119" t="s">
        <v>1733</v>
      </c>
      <c r="S42" s="119"/>
    </row>
    <row r="43" spans="1:16384" ht="15" customHeight="1" x14ac:dyDescent="0.2">
      <c r="A43" s="102" t="s">
        <v>610</v>
      </c>
      <c r="B43" s="82" t="s">
        <v>899</v>
      </c>
      <c r="C43" s="82" t="s">
        <v>900</v>
      </c>
      <c r="D43" s="82" t="s">
        <v>901</v>
      </c>
      <c r="E43" s="80"/>
      <c r="F43" s="80"/>
      <c r="G43" s="80" t="s">
        <v>1280</v>
      </c>
      <c r="H43" s="80" t="s">
        <v>18</v>
      </c>
      <c r="I43" s="80" t="s">
        <v>1326</v>
      </c>
      <c r="J43" s="82" t="s">
        <v>645</v>
      </c>
      <c r="K43" s="82" t="s">
        <v>646</v>
      </c>
      <c r="L43" s="82" t="s">
        <v>902</v>
      </c>
      <c r="M43" s="82" t="s">
        <v>903</v>
      </c>
      <c r="N43" s="82" t="s">
        <v>904</v>
      </c>
      <c r="O43" s="82" t="s">
        <v>905</v>
      </c>
      <c r="P43" s="82"/>
      <c r="Q43" s="82" t="s">
        <v>568</v>
      </c>
      <c r="R43" s="119" t="s">
        <v>1733</v>
      </c>
      <c r="S43" s="119"/>
    </row>
    <row r="44" spans="1:16384" ht="15" customHeight="1" x14ac:dyDescent="0.2">
      <c r="A44" s="102" t="s">
        <v>611</v>
      </c>
      <c r="B44" s="82" t="s">
        <v>906</v>
      </c>
      <c r="C44" s="82" t="s">
        <v>907</v>
      </c>
      <c r="D44" s="82" t="s">
        <v>908</v>
      </c>
      <c r="E44" s="80"/>
      <c r="F44" s="80"/>
      <c r="G44" s="80" t="s">
        <v>1280</v>
      </c>
      <c r="H44" s="80" t="s">
        <v>18</v>
      </c>
      <c r="I44" s="80" t="s">
        <v>1327</v>
      </c>
      <c r="J44" s="82" t="s">
        <v>709</v>
      </c>
      <c r="K44" s="82" t="s">
        <v>646</v>
      </c>
      <c r="L44" s="82" t="s">
        <v>909</v>
      </c>
      <c r="M44" s="82" t="s">
        <v>910</v>
      </c>
      <c r="N44" s="82" t="s">
        <v>911</v>
      </c>
      <c r="O44" s="82" t="s">
        <v>912</v>
      </c>
      <c r="P44" s="82"/>
      <c r="Q44" s="82" t="s">
        <v>568</v>
      </c>
      <c r="R44" s="119" t="s">
        <v>1733</v>
      </c>
      <c r="S44" s="119"/>
    </row>
    <row r="45" spans="1:16384" ht="15" customHeight="1" x14ac:dyDescent="0.2">
      <c r="A45" s="102" t="s">
        <v>612</v>
      </c>
      <c r="B45" s="82" t="s">
        <v>913</v>
      </c>
      <c r="C45" s="82" t="s">
        <v>914</v>
      </c>
      <c r="D45" s="82" t="s">
        <v>915</v>
      </c>
      <c r="E45" s="80" t="s">
        <v>1328</v>
      </c>
      <c r="F45" s="80"/>
      <c r="G45" s="80" t="s">
        <v>1280</v>
      </c>
      <c r="H45" s="80" t="s">
        <v>18</v>
      </c>
      <c r="I45" s="80" t="s">
        <v>1329</v>
      </c>
      <c r="J45" s="82" t="s">
        <v>645</v>
      </c>
      <c r="K45" s="82" t="s">
        <v>646</v>
      </c>
      <c r="L45" s="82" t="s">
        <v>916</v>
      </c>
      <c r="M45" s="82" t="s">
        <v>917</v>
      </c>
      <c r="N45" s="82" t="s">
        <v>918</v>
      </c>
      <c r="O45" s="82" t="s">
        <v>919</v>
      </c>
      <c r="P45" s="82"/>
      <c r="Q45" s="82" t="s">
        <v>568</v>
      </c>
      <c r="R45" s="119" t="s">
        <v>1733</v>
      </c>
      <c r="S45" s="119"/>
    </row>
    <row r="46" spans="1:16384" ht="15" customHeight="1" x14ac:dyDescent="0.2">
      <c r="A46" s="101" t="s">
        <v>920</v>
      </c>
      <c r="B46" s="80" t="s">
        <v>921</v>
      </c>
      <c r="C46" s="80" t="s">
        <v>922</v>
      </c>
      <c r="D46" s="80" t="s">
        <v>923</v>
      </c>
      <c r="E46" s="80"/>
      <c r="F46" s="80"/>
      <c r="G46" s="80" t="s">
        <v>1249</v>
      </c>
      <c r="H46" s="80" t="s">
        <v>18</v>
      </c>
      <c r="I46" s="80" t="s">
        <v>1250</v>
      </c>
      <c r="J46" s="80" t="s">
        <v>655</v>
      </c>
      <c r="K46" s="80" t="s">
        <v>646</v>
      </c>
      <c r="L46" s="80" t="s">
        <v>924</v>
      </c>
      <c r="M46" s="80" t="s">
        <v>837</v>
      </c>
      <c r="N46" s="80" t="s">
        <v>925</v>
      </c>
      <c r="O46" s="80" t="s">
        <v>748</v>
      </c>
      <c r="P46" s="80" t="s">
        <v>926</v>
      </c>
      <c r="Q46" s="80" t="s">
        <v>568</v>
      </c>
      <c r="R46" s="119"/>
      <c r="S46" s="119"/>
    </row>
    <row r="47" spans="1:16384" ht="15" customHeight="1" x14ac:dyDescent="0.2">
      <c r="A47" s="102" t="s">
        <v>613</v>
      </c>
      <c r="B47" s="82" t="s">
        <v>927</v>
      </c>
      <c r="C47" s="82" t="s">
        <v>928</v>
      </c>
      <c r="D47" s="82" t="s">
        <v>929</v>
      </c>
      <c r="E47" s="80" t="s">
        <v>1330</v>
      </c>
      <c r="F47" s="80" t="s">
        <v>1331</v>
      </c>
      <c r="G47" s="80" t="s">
        <v>1332</v>
      </c>
      <c r="H47" s="80" t="s">
        <v>18</v>
      </c>
      <c r="I47" s="80" t="s">
        <v>1333</v>
      </c>
      <c r="J47" s="82" t="s">
        <v>655</v>
      </c>
      <c r="K47" s="82" t="s">
        <v>646</v>
      </c>
      <c r="L47" s="82" t="s">
        <v>930</v>
      </c>
      <c r="M47" s="82" t="s">
        <v>931</v>
      </c>
      <c r="N47" s="82" t="s">
        <v>932</v>
      </c>
      <c r="O47" s="82" t="s">
        <v>933</v>
      </c>
      <c r="P47" s="82"/>
      <c r="Q47" s="82" t="s">
        <v>568</v>
      </c>
      <c r="R47" s="119" t="s">
        <v>1733</v>
      </c>
      <c r="S47" s="119"/>
    </row>
    <row r="48" spans="1:16384" ht="15" customHeight="1" x14ac:dyDescent="0.2">
      <c r="A48" s="102" t="s">
        <v>614</v>
      </c>
      <c r="B48" s="82" t="s">
        <v>934</v>
      </c>
      <c r="C48" s="82" t="s">
        <v>935</v>
      </c>
      <c r="D48" s="82" t="s">
        <v>936</v>
      </c>
      <c r="E48" s="80" t="s">
        <v>1334</v>
      </c>
      <c r="F48" s="80"/>
      <c r="G48" s="80" t="s">
        <v>1335</v>
      </c>
      <c r="H48" s="80" t="s">
        <v>18</v>
      </c>
      <c r="I48" s="80" t="s">
        <v>1333</v>
      </c>
      <c r="J48" s="82" t="s">
        <v>655</v>
      </c>
      <c r="K48" s="82" t="s">
        <v>646</v>
      </c>
      <c r="L48" s="82" t="s">
        <v>930</v>
      </c>
      <c r="M48" s="82" t="s">
        <v>931</v>
      </c>
      <c r="N48" s="82" t="s">
        <v>932</v>
      </c>
      <c r="O48" s="82" t="s">
        <v>933</v>
      </c>
      <c r="P48" s="82"/>
      <c r="Q48" s="82" t="s">
        <v>568</v>
      </c>
      <c r="R48" s="119" t="s">
        <v>1733</v>
      </c>
      <c r="S48" s="119"/>
    </row>
    <row r="49" spans="1:19" ht="15" customHeight="1" x14ac:dyDescent="0.2">
      <c r="A49" s="102" t="s">
        <v>615</v>
      </c>
      <c r="B49" s="82" t="s">
        <v>937</v>
      </c>
      <c r="C49" s="82" t="s">
        <v>938</v>
      </c>
      <c r="D49" s="82" t="s">
        <v>775</v>
      </c>
      <c r="E49" s="80" t="s">
        <v>1279</v>
      </c>
      <c r="F49" s="80"/>
      <c r="G49" s="80" t="s">
        <v>1280</v>
      </c>
      <c r="H49" s="80" t="s">
        <v>18</v>
      </c>
      <c r="I49" s="80" t="s">
        <v>1281</v>
      </c>
      <c r="J49" s="82" t="s">
        <v>655</v>
      </c>
      <c r="K49" s="82" t="s">
        <v>646</v>
      </c>
      <c r="L49" s="82" t="s">
        <v>939</v>
      </c>
      <c r="M49" s="82" t="s">
        <v>940</v>
      </c>
      <c r="N49" s="82" t="s">
        <v>941</v>
      </c>
      <c r="O49" s="82" t="s">
        <v>942</v>
      </c>
      <c r="P49" s="82"/>
      <c r="Q49" s="82" t="s">
        <v>568</v>
      </c>
      <c r="R49" s="119" t="s">
        <v>1733</v>
      </c>
      <c r="S49" s="119"/>
    </row>
    <row r="50" spans="1:19" ht="15" customHeight="1" x14ac:dyDescent="0.2">
      <c r="A50" s="101" t="s">
        <v>943</v>
      </c>
      <c r="B50" s="80" t="s">
        <v>944</v>
      </c>
      <c r="C50" s="80" t="s">
        <v>945</v>
      </c>
      <c r="D50" s="80" t="s">
        <v>946</v>
      </c>
      <c r="E50" s="80" t="s">
        <v>1336</v>
      </c>
      <c r="F50" s="80"/>
      <c r="G50" s="80" t="s">
        <v>1337</v>
      </c>
      <c r="H50" s="80" t="s">
        <v>18</v>
      </c>
      <c r="I50" s="80" t="s">
        <v>1338</v>
      </c>
      <c r="J50" s="80" t="s">
        <v>655</v>
      </c>
      <c r="K50" s="80" t="s">
        <v>646</v>
      </c>
      <c r="L50" s="80" t="s">
        <v>947</v>
      </c>
      <c r="M50" s="80" t="s">
        <v>948</v>
      </c>
      <c r="N50" s="80" t="s">
        <v>949</v>
      </c>
      <c r="O50" s="80" t="s">
        <v>950</v>
      </c>
      <c r="P50" s="80" t="s">
        <v>951</v>
      </c>
      <c r="Q50" s="80" t="s">
        <v>568</v>
      </c>
      <c r="R50" s="119"/>
      <c r="S50" s="119"/>
    </row>
    <row r="51" spans="1:19" ht="15" customHeight="1" x14ac:dyDescent="0.2">
      <c r="A51" s="102" t="s">
        <v>952</v>
      </c>
      <c r="B51" s="82" t="s">
        <v>953</v>
      </c>
      <c r="C51" s="82" t="s">
        <v>954</v>
      </c>
      <c r="D51" s="82" t="s">
        <v>955</v>
      </c>
      <c r="E51" s="82" t="s">
        <v>1310</v>
      </c>
      <c r="F51" s="82"/>
      <c r="G51" s="82" t="s">
        <v>1254</v>
      </c>
      <c r="H51" s="82" t="s">
        <v>18</v>
      </c>
      <c r="I51" s="82" t="s">
        <v>1339</v>
      </c>
      <c r="J51" s="82" t="s">
        <v>693</v>
      </c>
      <c r="K51" s="82" t="s">
        <v>646</v>
      </c>
      <c r="L51" s="82" t="s">
        <v>956</v>
      </c>
      <c r="M51" s="82" t="s">
        <v>957</v>
      </c>
      <c r="N51" s="82" t="s">
        <v>958</v>
      </c>
      <c r="O51" s="82" t="s">
        <v>959</v>
      </c>
      <c r="P51" s="82"/>
      <c r="Q51" s="82" t="s">
        <v>568</v>
      </c>
      <c r="R51" s="119" t="s">
        <v>1733</v>
      </c>
      <c r="S51" s="119"/>
    </row>
    <row r="52" spans="1:19" ht="15" customHeight="1" x14ac:dyDescent="0.2">
      <c r="A52" s="102" t="s">
        <v>1340</v>
      </c>
      <c r="B52" s="82" t="s">
        <v>1341</v>
      </c>
      <c r="C52" s="82" t="s">
        <v>1342</v>
      </c>
      <c r="D52" s="82" t="s">
        <v>1343</v>
      </c>
      <c r="E52" s="80" t="s">
        <v>280</v>
      </c>
      <c r="F52" s="80" t="s">
        <v>1344</v>
      </c>
      <c r="G52" s="80" t="s">
        <v>1280</v>
      </c>
      <c r="H52" s="80" t="s">
        <v>18</v>
      </c>
      <c r="I52" s="80" t="s">
        <v>1345</v>
      </c>
      <c r="J52" s="82" t="s">
        <v>645</v>
      </c>
      <c r="K52" s="82" t="s">
        <v>646</v>
      </c>
      <c r="L52" s="82" t="s">
        <v>671</v>
      </c>
      <c r="M52" s="82" t="s">
        <v>1346</v>
      </c>
      <c r="N52" s="82" t="s">
        <v>1347</v>
      </c>
      <c r="O52" s="82" t="s">
        <v>1348</v>
      </c>
      <c r="P52" s="82"/>
      <c r="Q52" s="82" t="s">
        <v>1349</v>
      </c>
      <c r="R52" s="119" t="s">
        <v>1733</v>
      </c>
      <c r="S52" s="119"/>
    </row>
    <row r="53" spans="1:19" ht="15" customHeight="1" x14ac:dyDescent="0.2">
      <c r="A53" s="102" t="s">
        <v>616</v>
      </c>
      <c r="B53" s="82" t="s">
        <v>960</v>
      </c>
      <c r="C53" s="82" t="s">
        <v>961</v>
      </c>
      <c r="D53" s="82" t="s">
        <v>962</v>
      </c>
      <c r="E53" s="80"/>
      <c r="F53" s="80"/>
      <c r="G53" s="80" t="s">
        <v>1350</v>
      </c>
      <c r="H53" s="80" t="s">
        <v>18</v>
      </c>
      <c r="I53" s="80" t="s">
        <v>1351</v>
      </c>
      <c r="J53" s="82" t="s">
        <v>645</v>
      </c>
      <c r="K53" s="82" t="s">
        <v>646</v>
      </c>
      <c r="L53" s="82" t="s">
        <v>963</v>
      </c>
      <c r="M53" s="82" t="s">
        <v>964</v>
      </c>
      <c r="N53" s="82" t="s">
        <v>965</v>
      </c>
      <c r="O53" s="82" t="s">
        <v>966</v>
      </c>
      <c r="P53" s="82"/>
      <c r="Q53" s="82" t="s">
        <v>568</v>
      </c>
      <c r="R53" s="119" t="s">
        <v>1733</v>
      </c>
      <c r="S53" s="119"/>
    </row>
    <row r="54" spans="1:19" ht="15" customHeight="1" x14ac:dyDescent="0.2">
      <c r="A54" s="101" t="s">
        <v>967</v>
      </c>
      <c r="B54" s="80" t="s">
        <v>968</v>
      </c>
      <c r="C54" s="80" t="s">
        <v>969</v>
      </c>
      <c r="D54" s="80" t="s">
        <v>970</v>
      </c>
      <c r="E54" s="80" t="s">
        <v>1352</v>
      </c>
      <c r="F54" s="80"/>
      <c r="G54" s="80" t="s">
        <v>1353</v>
      </c>
      <c r="H54" s="80" t="s">
        <v>18</v>
      </c>
      <c r="I54" s="80" t="s">
        <v>1354</v>
      </c>
      <c r="J54" s="80" t="s">
        <v>645</v>
      </c>
      <c r="K54" s="80" t="s">
        <v>646</v>
      </c>
      <c r="L54" s="80" t="s">
        <v>971</v>
      </c>
      <c r="M54" s="80" t="s">
        <v>972</v>
      </c>
      <c r="N54" s="80" t="s">
        <v>973</v>
      </c>
      <c r="O54" s="80" t="s">
        <v>974</v>
      </c>
      <c r="P54" s="80"/>
      <c r="Q54" s="80" t="s">
        <v>568</v>
      </c>
      <c r="R54" s="119"/>
      <c r="S54" s="119"/>
    </row>
    <row r="55" spans="1:19" ht="15" customHeight="1" x14ac:dyDescent="0.2">
      <c r="A55" s="102" t="s">
        <v>617</v>
      </c>
      <c r="B55" s="82" t="s">
        <v>975</v>
      </c>
      <c r="C55" s="82" t="s">
        <v>976</v>
      </c>
      <c r="D55" s="82" t="s">
        <v>977</v>
      </c>
      <c r="E55" s="80" t="s">
        <v>1308</v>
      </c>
      <c r="F55" s="80"/>
      <c r="G55" s="80" t="s">
        <v>1355</v>
      </c>
      <c r="H55" s="80" t="s">
        <v>18</v>
      </c>
      <c r="I55" s="80" t="s">
        <v>1356</v>
      </c>
      <c r="J55" s="82" t="s">
        <v>645</v>
      </c>
      <c r="K55" s="82" t="s">
        <v>646</v>
      </c>
      <c r="L55" s="82" t="s">
        <v>978</v>
      </c>
      <c r="M55" s="82" t="s">
        <v>979</v>
      </c>
      <c r="N55" s="82" t="s">
        <v>980</v>
      </c>
      <c r="O55" s="82" t="s">
        <v>981</v>
      </c>
      <c r="P55" s="82"/>
      <c r="Q55" s="82" t="s">
        <v>568</v>
      </c>
      <c r="R55" s="119" t="s">
        <v>1733</v>
      </c>
      <c r="S55" s="119"/>
    </row>
    <row r="56" spans="1:19" ht="15" customHeight="1" x14ac:dyDescent="0.2">
      <c r="A56" s="102" t="s">
        <v>982</v>
      </c>
      <c r="B56" s="82" t="s">
        <v>983</v>
      </c>
      <c r="C56" s="82" t="s">
        <v>984</v>
      </c>
      <c r="D56" s="82" t="s">
        <v>835</v>
      </c>
      <c r="E56" s="82" t="s">
        <v>1307</v>
      </c>
      <c r="F56" s="82"/>
      <c r="G56" s="82" t="s">
        <v>1249</v>
      </c>
      <c r="H56" s="82" t="s">
        <v>18</v>
      </c>
      <c r="I56" s="82" t="s">
        <v>1250</v>
      </c>
      <c r="J56" s="82" t="s">
        <v>655</v>
      </c>
      <c r="K56" s="82" t="s">
        <v>646</v>
      </c>
      <c r="L56" s="82" t="s">
        <v>836</v>
      </c>
      <c r="M56" s="82" t="s">
        <v>837</v>
      </c>
      <c r="N56" s="82"/>
      <c r="O56" s="82" t="s">
        <v>349</v>
      </c>
      <c r="P56" s="82"/>
      <c r="Q56" s="82" t="s">
        <v>568</v>
      </c>
      <c r="R56" s="119" t="s">
        <v>1733</v>
      </c>
      <c r="S56" s="119"/>
    </row>
    <row r="57" spans="1:19" ht="15" customHeight="1" x14ac:dyDescent="0.2">
      <c r="A57" s="102" t="s">
        <v>618</v>
      </c>
      <c r="B57" s="82" t="s">
        <v>985</v>
      </c>
      <c r="C57" s="82" t="s">
        <v>986</v>
      </c>
      <c r="D57" s="82" t="s">
        <v>987</v>
      </c>
      <c r="E57" s="80" t="s">
        <v>1357</v>
      </c>
      <c r="F57" s="80" t="s">
        <v>1358</v>
      </c>
      <c r="G57" s="80" t="s">
        <v>1249</v>
      </c>
      <c r="H57" s="80" t="s">
        <v>18</v>
      </c>
      <c r="I57" s="80" t="s">
        <v>1359</v>
      </c>
      <c r="J57" s="82" t="s">
        <v>655</v>
      </c>
      <c r="K57" s="82" t="s">
        <v>646</v>
      </c>
      <c r="L57" s="82" t="s">
        <v>988</v>
      </c>
      <c r="M57" s="82" t="s">
        <v>989</v>
      </c>
      <c r="N57" s="82" t="s">
        <v>990</v>
      </c>
      <c r="O57" s="82" t="s">
        <v>991</v>
      </c>
      <c r="P57" s="82"/>
      <c r="Q57" s="82" t="s">
        <v>568</v>
      </c>
      <c r="R57" s="119" t="s">
        <v>1733</v>
      </c>
      <c r="S57" s="119"/>
    </row>
    <row r="58" spans="1:19" ht="15" customHeight="1" x14ac:dyDescent="0.2">
      <c r="A58" s="102" t="s">
        <v>619</v>
      </c>
      <c r="B58" s="82" t="s">
        <v>992</v>
      </c>
      <c r="C58" s="82" t="s">
        <v>993</v>
      </c>
      <c r="D58" s="82" t="s">
        <v>994</v>
      </c>
      <c r="E58" s="80" t="s">
        <v>1360</v>
      </c>
      <c r="F58" s="80"/>
      <c r="G58" s="80" t="s">
        <v>1249</v>
      </c>
      <c r="H58" s="80" t="s">
        <v>18</v>
      </c>
      <c r="I58" s="80" t="s">
        <v>1361</v>
      </c>
      <c r="J58" s="82" t="s">
        <v>655</v>
      </c>
      <c r="K58" s="82" t="s">
        <v>646</v>
      </c>
      <c r="L58" s="82" t="s">
        <v>995</v>
      </c>
      <c r="M58" s="82" t="s">
        <v>996</v>
      </c>
      <c r="N58" s="82" t="s">
        <v>997</v>
      </c>
      <c r="O58" s="82" t="s">
        <v>998</v>
      </c>
      <c r="P58" s="82"/>
      <c r="Q58" s="82" t="s">
        <v>568</v>
      </c>
      <c r="R58" s="119" t="s">
        <v>1733</v>
      </c>
      <c r="S58" s="119"/>
    </row>
    <row r="59" spans="1:19" ht="15" customHeight="1" x14ac:dyDescent="0.2">
      <c r="A59" s="101" t="s">
        <v>999</v>
      </c>
      <c r="B59" s="80" t="s">
        <v>1000</v>
      </c>
      <c r="C59" s="80" t="s">
        <v>1001</v>
      </c>
      <c r="D59" s="80" t="s">
        <v>1002</v>
      </c>
      <c r="E59" s="80"/>
      <c r="F59" s="80"/>
      <c r="G59" s="80" t="s">
        <v>1249</v>
      </c>
      <c r="H59" s="80" t="s">
        <v>18</v>
      </c>
      <c r="I59" s="80" t="s">
        <v>1362</v>
      </c>
      <c r="J59" s="80" t="s">
        <v>655</v>
      </c>
      <c r="K59" s="80" t="s">
        <v>646</v>
      </c>
      <c r="L59" s="80" t="s">
        <v>1003</v>
      </c>
      <c r="M59" s="80" t="s">
        <v>1004</v>
      </c>
      <c r="N59" s="80" t="s">
        <v>1005</v>
      </c>
      <c r="O59" s="80" t="s">
        <v>1006</v>
      </c>
      <c r="P59" s="80"/>
      <c r="Q59" s="80" t="s">
        <v>568</v>
      </c>
      <c r="R59" s="119"/>
      <c r="S59" s="119"/>
    </row>
    <row r="60" spans="1:19" ht="15" customHeight="1" x14ac:dyDescent="0.2">
      <c r="A60" s="102" t="s">
        <v>1007</v>
      </c>
      <c r="B60" s="82" t="s">
        <v>1008</v>
      </c>
      <c r="C60" s="82" t="s">
        <v>1009</v>
      </c>
      <c r="D60" s="82" t="s">
        <v>1010</v>
      </c>
      <c r="E60" s="82" t="s">
        <v>1363</v>
      </c>
      <c r="F60" s="82"/>
      <c r="G60" s="82" t="s">
        <v>1249</v>
      </c>
      <c r="H60" s="82" t="s">
        <v>18</v>
      </c>
      <c r="I60" s="82" t="s">
        <v>1364</v>
      </c>
      <c r="J60" s="82" t="s">
        <v>655</v>
      </c>
      <c r="K60" s="82" t="s">
        <v>646</v>
      </c>
      <c r="L60" s="82" t="s">
        <v>1011</v>
      </c>
      <c r="M60" s="82" t="s">
        <v>1012</v>
      </c>
      <c r="N60" s="82" t="s">
        <v>1013</v>
      </c>
      <c r="O60" s="82" t="s">
        <v>1014</v>
      </c>
      <c r="P60" s="82"/>
      <c r="Q60" s="82" t="s">
        <v>568</v>
      </c>
      <c r="R60" s="119" t="s">
        <v>1733</v>
      </c>
      <c r="S60" s="119"/>
    </row>
    <row r="61" spans="1:19" ht="15" customHeight="1" x14ac:dyDescent="0.2">
      <c r="A61" s="102" t="s">
        <v>620</v>
      </c>
      <c r="B61" s="82" t="s">
        <v>1015</v>
      </c>
      <c r="C61" s="82" t="s">
        <v>1016</v>
      </c>
      <c r="D61" s="82" t="s">
        <v>1017</v>
      </c>
      <c r="E61" s="80" t="s">
        <v>1365</v>
      </c>
      <c r="F61" s="80"/>
      <c r="G61" s="80" t="s">
        <v>1366</v>
      </c>
      <c r="H61" s="80" t="s">
        <v>18</v>
      </c>
      <c r="I61" s="80" t="s">
        <v>1367</v>
      </c>
      <c r="J61" s="82" t="s">
        <v>645</v>
      </c>
      <c r="K61" s="82" t="s">
        <v>646</v>
      </c>
      <c r="L61" s="82" t="s">
        <v>1018</v>
      </c>
      <c r="M61" s="82" t="s">
        <v>1019</v>
      </c>
      <c r="N61" s="82"/>
      <c r="O61" s="82" t="s">
        <v>1020</v>
      </c>
      <c r="P61" s="82"/>
      <c r="Q61" s="82" t="s">
        <v>568</v>
      </c>
      <c r="R61" s="119" t="s">
        <v>1733</v>
      </c>
      <c r="S61" s="119"/>
    </row>
    <row r="62" spans="1:19" ht="15" customHeight="1" x14ac:dyDescent="0.2">
      <c r="A62" s="102" t="s">
        <v>1021</v>
      </c>
      <c r="B62" s="82" t="s">
        <v>1022</v>
      </c>
      <c r="C62" s="82" t="s">
        <v>1023</v>
      </c>
      <c r="D62" s="82" t="s">
        <v>158</v>
      </c>
      <c r="E62" s="82" t="s">
        <v>1368</v>
      </c>
      <c r="F62" s="82"/>
      <c r="G62" s="82" t="s">
        <v>1273</v>
      </c>
      <c r="H62" s="82" t="s">
        <v>18</v>
      </c>
      <c r="I62" s="82" t="s">
        <v>1369</v>
      </c>
      <c r="J62" s="82" t="s">
        <v>655</v>
      </c>
      <c r="K62" s="82" t="s">
        <v>739</v>
      </c>
      <c r="L62" s="82" t="s">
        <v>1024</v>
      </c>
      <c r="M62" s="82" t="s">
        <v>1025</v>
      </c>
      <c r="N62" s="82" t="s">
        <v>1026</v>
      </c>
      <c r="O62" s="82" t="s">
        <v>1027</v>
      </c>
      <c r="P62" s="82"/>
      <c r="Q62" s="82" t="s">
        <v>568</v>
      </c>
      <c r="R62" s="119" t="s">
        <v>1733</v>
      </c>
      <c r="S62" s="119"/>
    </row>
    <row r="63" spans="1:19" ht="15" customHeight="1" x14ac:dyDescent="0.2">
      <c r="A63" s="102" t="s">
        <v>1028</v>
      </c>
      <c r="B63" s="82" t="s">
        <v>1029</v>
      </c>
      <c r="C63" s="82" t="s">
        <v>1030</v>
      </c>
      <c r="D63" s="82" t="s">
        <v>1031</v>
      </c>
      <c r="E63" s="82" t="s">
        <v>1370</v>
      </c>
      <c r="F63" s="82"/>
      <c r="G63" s="82" t="s">
        <v>1371</v>
      </c>
      <c r="H63" s="82" t="s">
        <v>1239</v>
      </c>
      <c r="I63" s="82" t="s">
        <v>1372</v>
      </c>
      <c r="J63" s="82" t="s">
        <v>655</v>
      </c>
      <c r="K63" s="82" t="s">
        <v>646</v>
      </c>
      <c r="L63" s="82" t="s">
        <v>1032</v>
      </c>
      <c r="M63" s="82" t="s">
        <v>1033</v>
      </c>
      <c r="N63" s="82" t="s">
        <v>1034</v>
      </c>
      <c r="O63" s="82" t="s">
        <v>1035</v>
      </c>
      <c r="P63" s="82"/>
      <c r="Q63" s="82" t="s">
        <v>568</v>
      </c>
      <c r="R63" s="119" t="s">
        <v>1733</v>
      </c>
      <c r="S63" s="119"/>
    </row>
    <row r="64" spans="1:19" ht="15" customHeight="1" x14ac:dyDescent="0.2">
      <c r="A64" s="102" t="s">
        <v>1036</v>
      </c>
      <c r="B64" s="82" t="s">
        <v>1037</v>
      </c>
      <c r="C64" s="82" t="s">
        <v>1038</v>
      </c>
      <c r="D64" s="82" t="s">
        <v>987</v>
      </c>
      <c r="E64" s="82" t="s">
        <v>1293</v>
      </c>
      <c r="F64" s="82"/>
      <c r="G64" s="82" t="s">
        <v>1249</v>
      </c>
      <c r="H64" s="82" t="s">
        <v>18</v>
      </c>
      <c r="I64" s="82" t="s">
        <v>1294</v>
      </c>
      <c r="J64" s="82" t="s">
        <v>655</v>
      </c>
      <c r="K64" s="82" t="s">
        <v>646</v>
      </c>
      <c r="L64" s="82" t="s">
        <v>756</v>
      </c>
      <c r="M64" s="82" t="s">
        <v>822</v>
      </c>
      <c r="N64" s="82" t="s">
        <v>823</v>
      </c>
      <c r="O64" s="82" t="s">
        <v>1039</v>
      </c>
      <c r="P64" s="82"/>
      <c r="Q64" s="82" t="s">
        <v>568</v>
      </c>
      <c r="R64" s="119" t="s">
        <v>1733</v>
      </c>
      <c r="S64" s="119"/>
    </row>
    <row r="65" spans="1:19" ht="15" customHeight="1" x14ac:dyDescent="0.2">
      <c r="A65" s="102" t="s">
        <v>1040</v>
      </c>
      <c r="B65" s="82" t="s">
        <v>1041</v>
      </c>
      <c r="C65" s="82" t="s">
        <v>1042</v>
      </c>
      <c r="D65" s="82" t="s">
        <v>987</v>
      </c>
      <c r="E65" s="82" t="s">
        <v>1293</v>
      </c>
      <c r="F65" s="82"/>
      <c r="G65" s="82" t="s">
        <v>1249</v>
      </c>
      <c r="H65" s="82" t="s">
        <v>18</v>
      </c>
      <c r="I65" s="82" t="s">
        <v>1294</v>
      </c>
      <c r="J65" s="82" t="s">
        <v>655</v>
      </c>
      <c r="K65" s="82" t="s">
        <v>646</v>
      </c>
      <c r="L65" s="82" t="s">
        <v>756</v>
      </c>
      <c r="M65" s="82" t="s">
        <v>822</v>
      </c>
      <c r="N65" s="82" t="s">
        <v>823</v>
      </c>
      <c r="O65" s="82" t="s">
        <v>1039</v>
      </c>
      <c r="P65" s="82"/>
      <c r="Q65" s="82" t="s">
        <v>568</v>
      </c>
      <c r="R65" s="119" t="s">
        <v>1733</v>
      </c>
      <c r="S65" s="119"/>
    </row>
    <row r="66" spans="1:19" ht="15" customHeight="1" x14ac:dyDescent="0.2">
      <c r="A66" s="102" t="s">
        <v>621</v>
      </c>
      <c r="B66" s="82" t="s">
        <v>1043</v>
      </c>
      <c r="C66" s="82" t="s">
        <v>1044</v>
      </c>
      <c r="D66" s="82" t="s">
        <v>1045</v>
      </c>
      <c r="E66" s="80" t="s">
        <v>1373</v>
      </c>
      <c r="F66" s="80"/>
      <c r="G66" s="80" t="s">
        <v>1280</v>
      </c>
      <c r="H66" s="80" t="s">
        <v>18</v>
      </c>
      <c r="I66" s="80" t="s">
        <v>1374</v>
      </c>
      <c r="J66" s="82" t="s">
        <v>645</v>
      </c>
      <c r="K66" s="82" t="s">
        <v>646</v>
      </c>
      <c r="L66" s="82" t="s">
        <v>1046</v>
      </c>
      <c r="M66" s="82" t="s">
        <v>1047</v>
      </c>
      <c r="N66" s="82" t="s">
        <v>1048</v>
      </c>
      <c r="O66" s="82" t="s">
        <v>1049</v>
      </c>
      <c r="P66" s="82"/>
      <c r="Q66" s="82" t="s">
        <v>568</v>
      </c>
      <c r="R66" s="119" t="s">
        <v>1733</v>
      </c>
      <c r="S66" s="119"/>
    </row>
    <row r="67" spans="1:19" ht="15" customHeight="1" x14ac:dyDescent="0.2">
      <c r="A67" s="102" t="s">
        <v>622</v>
      </c>
      <c r="B67" s="82" t="s">
        <v>1050</v>
      </c>
      <c r="C67" s="82" t="s">
        <v>1051</v>
      </c>
      <c r="D67" s="82" t="s">
        <v>1052</v>
      </c>
      <c r="E67" s="80"/>
      <c r="F67" s="80"/>
      <c r="G67" s="80" t="s">
        <v>1375</v>
      </c>
      <c r="H67" s="80" t="s">
        <v>18</v>
      </c>
      <c r="I67" s="80" t="s">
        <v>1376</v>
      </c>
      <c r="J67" s="82" t="s">
        <v>655</v>
      </c>
      <c r="K67" s="82" t="s">
        <v>646</v>
      </c>
      <c r="L67" s="82" t="s">
        <v>1053</v>
      </c>
      <c r="M67" s="82" t="s">
        <v>1054</v>
      </c>
      <c r="N67" s="82" t="s">
        <v>1055</v>
      </c>
      <c r="O67" s="82" t="s">
        <v>1056</v>
      </c>
      <c r="P67" s="82"/>
      <c r="Q67" s="82" t="s">
        <v>568</v>
      </c>
      <c r="R67" s="119" t="s">
        <v>1733</v>
      </c>
      <c r="S67" s="119"/>
    </row>
    <row r="68" spans="1:19" ht="15" customHeight="1" x14ac:dyDescent="0.2">
      <c r="A68" s="102" t="s">
        <v>1057</v>
      </c>
      <c r="B68" s="82" t="s">
        <v>1058</v>
      </c>
      <c r="C68" s="82" t="s">
        <v>1059</v>
      </c>
      <c r="D68" s="82" t="s">
        <v>1060</v>
      </c>
      <c r="E68" s="82"/>
      <c r="F68" s="82"/>
      <c r="G68" s="82" t="s">
        <v>1311</v>
      </c>
      <c r="H68" s="82" t="s">
        <v>18</v>
      </c>
      <c r="I68" s="82" t="s">
        <v>1377</v>
      </c>
      <c r="J68" s="82" t="s">
        <v>645</v>
      </c>
      <c r="K68" s="82" t="s">
        <v>646</v>
      </c>
      <c r="L68" s="82" t="s">
        <v>1061</v>
      </c>
      <c r="M68" s="82" t="s">
        <v>1062</v>
      </c>
      <c r="N68" s="82"/>
      <c r="O68" s="82" t="s">
        <v>1063</v>
      </c>
      <c r="P68" s="82"/>
      <c r="Q68" s="82" t="s">
        <v>568</v>
      </c>
      <c r="R68" s="119" t="s">
        <v>1733</v>
      </c>
      <c r="S68" s="119"/>
    </row>
    <row r="69" spans="1:19" ht="15" customHeight="1" x14ac:dyDescent="0.2">
      <c r="A69" s="101" t="s">
        <v>1064</v>
      </c>
      <c r="B69" s="80" t="s">
        <v>1065</v>
      </c>
      <c r="C69" s="80" t="s">
        <v>1066</v>
      </c>
      <c r="D69" s="80" t="s">
        <v>1067</v>
      </c>
      <c r="E69" s="80" t="s">
        <v>1378</v>
      </c>
      <c r="F69" s="80"/>
      <c r="G69" s="80" t="s">
        <v>1280</v>
      </c>
      <c r="H69" s="80" t="s">
        <v>18</v>
      </c>
      <c r="I69" s="80" t="s">
        <v>1379</v>
      </c>
      <c r="J69" s="80" t="s">
        <v>709</v>
      </c>
      <c r="K69" s="80" t="s">
        <v>646</v>
      </c>
      <c r="L69" s="80" t="s">
        <v>1068</v>
      </c>
      <c r="M69" s="80" t="s">
        <v>1069</v>
      </c>
      <c r="N69" s="80" t="s">
        <v>1070</v>
      </c>
      <c r="O69" s="80" t="s">
        <v>1071</v>
      </c>
      <c r="P69" s="80"/>
      <c r="Q69" s="80" t="s">
        <v>568</v>
      </c>
      <c r="R69" s="119"/>
      <c r="S69" s="119"/>
    </row>
    <row r="70" spans="1:19" ht="14.25" x14ac:dyDescent="0.2">
      <c r="A70" s="102" t="s">
        <v>623</v>
      </c>
      <c r="B70" s="82" t="s">
        <v>1072</v>
      </c>
      <c r="C70" s="82" t="s">
        <v>1073</v>
      </c>
      <c r="D70" s="82" t="s">
        <v>875</v>
      </c>
      <c r="E70" s="80" t="s">
        <v>1319</v>
      </c>
      <c r="F70" s="80"/>
      <c r="G70" s="80" t="s">
        <v>1317</v>
      </c>
      <c r="H70" s="80" t="s">
        <v>18</v>
      </c>
      <c r="I70" s="80" t="s">
        <v>1320</v>
      </c>
      <c r="J70" s="82" t="s">
        <v>709</v>
      </c>
      <c r="K70" s="82" t="s">
        <v>646</v>
      </c>
      <c r="L70" s="82" t="s">
        <v>1074</v>
      </c>
      <c r="M70" s="82" t="s">
        <v>1075</v>
      </c>
      <c r="N70" s="82" t="s">
        <v>1076</v>
      </c>
      <c r="O70" s="82" t="s">
        <v>1077</v>
      </c>
      <c r="P70" s="82" t="s">
        <v>1078</v>
      </c>
      <c r="Q70" s="82" t="s">
        <v>568</v>
      </c>
      <c r="R70" s="119" t="s">
        <v>1733</v>
      </c>
      <c r="S70" s="119"/>
    </row>
    <row r="71" spans="1:19" ht="14.25" x14ac:dyDescent="0.2">
      <c r="A71" s="103" t="s">
        <v>1380</v>
      </c>
      <c r="B71" s="83" t="s">
        <v>668</v>
      </c>
      <c r="C71" s="83" t="s">
        <v>1381</v>
      </c>
      <c r="D71" s="83" t="s">
        <v>1382</v>
      </c>
      <c r="E71" s="83" t="s">
        <v>1383</v>
      </c>
      <c r="F71" s="83"/>
      <c r="G71" s="83" t="s">
        <v>1252</v>
      </c>
      <c r="H71" s="83" t="s">
        <v>18</v>
      </c>
      <c r="I71" s="83" t="s">
        <v>1384</v>
      </c>
      <c r="J71" s="83" t="s">
        <v>645</v>
      </c>
      <c r="K71" s="83" t="s">
        <v>646</v>
      </c>
      <c r="L71" s="83" t="s">
        <v>1385</v>
      </c>
      <c r="M71" s="83" t="s">
        <v>1386</v>
      </c>
      <c r="N71" s="83" t="s">
        <v>1387</v>
      </c>
      <c r="O71" s="83" t="s">
        <v>1388</v>
      </c>
      <c r="P71" s="83" t="s">
        <v>1389</v>
      </c>
      <c r="Q71" s="83" t="s">
        <v>1390</v>
      </c>
      <c r="R71" s="123"/>
      <c r="S71" s="123"/>
    </row>
    <row r="72" spans="1:19" ht="15" customHeight="1" x14ac:dyDescent="0.2">
      <c r="A72" s="103" t="s">
        <v>1391</v>
      </c>
      <c r="B72" s="83" t="s">
        <v>1392</v>
      </c>
      <c r="C72" s="83" t="s">
        <v>1393</v>
      </c>
      <c r="D72" s="83" t="s">
        <v>1394</v>
      </c>
      <c r="E72" s="83"/>
      <c r="F72" s="83"/>
      <c r="G72" s="83" t="s">
        <v>1395</v>
      </c>
      <c r="H72" s="83" t="s">
        <v>20</v>
      </c>
      <c r="I72" s="83" t="s">
        <v>1396</v>
      </c>
      <c r="J72" s="83" t="s">
        <v>645</v>
      </c>
      <c r="K72" s="83" t="s">
        <v>646</v>
      </c>
      <c r="L72" s="83" t="s">
        <v>862</v>
      </c>
      <c r="M72" s="83" t="s">
        <v>1397</v>
      </c>
      <c r="N72" s="83" t="s">
        <v>1398</v>
      </c>
      <c r="O72" s="83" t="s">
        <v>1399</v>
      </c>
      <c r="P72" s="83"/>
      <c r="Q72" s="83" t="s">
        <v>1390</v>
      </c>
      <c r="R72" s="123"/>
      <c r="S72" s="123"/>
    </row>
    <row r="73" spans="1:19" ht="15" customHeight="1" x14ac:dyDescent="0.2">
      <c r="A73" s="101" t="s">
        <v>1079</v>
      </c>
      <c r="B73" s="80" t="s">
        <v>1080</v>
      </c>
      <c r="C73" s="80" t="s">
        <v>1081</v>
      </c>
      <c r="D73" s="80" t="s">
        <v>946</v>
      </c>
      <c r="E73" s="80" t="s">
        <v>1336</v>
      </c>
      <c r="F73" s="80"/>
      <c r="G73" s="80" t="s">
        <v>1337</v>
      </c>
      <c r="H73" s="80" t="s">
        <v>18</v>
      </c>
      <c r="I73" s="80" t="s">
        <v>1338</v>
      </c>
      <c r="J73" s="80" t="s">
        <v>655</v>
      </c>
      <c r="K73" s="80" t="s">
        <v>646</v>
      </c>
      <c r="L73" s="80" t="s">
        <v>947</v>
      </c>
      <c r="M73" s="80" t="s">
        <v>948</v>
      </c>
      <c r="N73" s="80" t="s">
        <v>1082</v>
      </c>
      <c r="O73" s="80" t="s">
        <v>950</v>
      </c>
      <c r="P73" s="80" t="s">
        <v>951</v>
      </c>
      <c r="Q73" s="80" t="s">
        <v>568</v>
      </c>
      <c r="R73" s="119"/>
      <c r="S73" s="119"/>
    </row>
    <row r="74" spans="1:19" ht="15" customHeight="1" x14ac:dyDescent="0.2">
      <c r="A74" s="102" t="s">
        <v>1083</v>
      </c>
      <c r="B74" s="82" t="s">
        <v>1084</v>
      </c>
      <c r="C74" s="82" t="s">
        <v>1085</v>
      </c>
      <c r="D74" s="82" t="s">
        <v>1086</v>
      </c>
      <c r="E74" s="82" t="s">
        <v>1400</v>
      </c>
      <c r="F74" s="82" t="s">
        <v>1293</v>
      </c>
      <c r="G74" s="82" t="s">
        <v>1249</v>
      </c>
      <c r="H74" s="82" t="s">
        <v>18</v>
      </c>
      <c r="I74" s="82" t="s">
        <v>1401</v>
      </c>
      <c r="J74" s="82" t="s">
        <v>645</v>
      </c>
      <c r="K74" s="82" t="s">
        <v>646</v>
      </c>
      <c r="L74" s="82" t="s">
        <v>1087</v>
      </c>
      <c r="M74" s="82" t="s">
        <v>1088</v>
      </c>
      <c r="N74" s="82" t="s">
        <v>1089</v>
      </c>
      <c r="O74" s="82" t="s">
        <v>1090</v>
      </c>
      <c r="P74" s="82"/>
      <c r="Q74" s="82" t="s">
        <v>568</v>
      </c>
      <c r="R74" s="119" t="s">
        <v>1733</v>
      </c>
      <c r="S74" s="119"/>
    </row>
    <row r="75" spans="1:19" ht="15" customHeight="1" x14ac:dyDescent="0.2">
      <c r="A75" s="102" t="s">
        <v>624</v>
      </c>
      <c r="B75" s="82" t="s">
        <v>1091</v>
      </c>
      <c r="C75" s="82" t="s">
        <v>1092</v>
      </c>
      <c r="D75" s="82" t="s">
        <v>786</v>
      </c>
      <c r="E75" s="80" t="s">
        <v>1284</v>
      </c>
      <c r="F75" s="80"/>
      <c r="G75" s="80" t="s">
        <v>1280</v>
      </c>
      <c r="H75" s="80" t="s">
        <v>18</v>
      </c>
      <c r="I75" s="80" t="s">
        <v>1285</v>
      </c>
      <c r="J75" s="82" t="s">
        <v>655</v>
      </c>
      <c r="K75" s="82" t="s">
        <v>646</v>
      </c>
      <c r="L75" s="82" t="s">
        <v>1093</v>
      </c>
      <c r="M75" s="82" t="s">
        <v>1094</v>
      </c>
      <c r="N75" s="82" t="s">
        <v>1095</v>
      </c>
      <c r="O75" s="82" t="s">
        <v>790</v>
      </c>
      <c r="P75" s="82"/>
      <c r="Q75" s="82" t="s">
        <v>568</v>
      </c>
      <c r="R75" s="119" t="s">
        <v>1733</v>
      </c>
      <c r="S75" s="119"/>
    </row>
    <row r="76" spans="1:19" ht="15" customHeight="1" x14ac:dyDescent="0.2">
      <c r="A76" s="101" t="s">
        <v>1096</v>
      </c>
      <c r="B76" s="80" t="s">
        <v>1097</v>
      </c>
      <c r="C76" s="80" t="s">
        <v>1098</v>
      </c>
      <c r="D76" s="80" t="s">
        <v>1099</v>
      </c>
      <c r="E76" s="80" t="s">
        <v>1402</v>
      </c>
      <c r="F76" s="80" t="s">
        <v>1403</v>
      </c>
      <c r="G76" s="80" t="s">
        <v>1404</v>
      </c>
      <c r="H76" s="80" t="s">
        <v>18</v>
      </c>
      <c r="I76" s="80" t="s">
        <v>1405</v>
      </c>
      <c r="J76" s="80" t="s">
        <v>693</v>
      </c>
      <c r="K76" s="80" t="s">
        <v>739</v>
      </c>
      <c r="L76" s="80" t="s">
        <v>1100</v>
      </c>
      <c r="M76" s="80" t="s">
        <v>1101</v>
      </c>
      <c r="N76" s="80"/>
      <c r="O76" s="80" t="s">
        <v>1102</v>
      </c>
      <c r="P76" s="80"/>
      <c r="Q76" s="80" t="s">
        <v>1103</v>
      </c>
      <c r="R76" s="119"/>
      <c r="S76" s="119"/>
    </row>
    <row r="77" spans="1:19" ht="15" customHeight="1" x14ac:dyDescent="0.2">
      <c r="A77" s="102" t="s">
        <v>625</v>
      </c>
      <c r="B77" s="82" t="s">
        <v>1104</v>
      </c>
      <c r="C77" s="82" t="s">
        <v>1105</v>
      </c>
      <c r="D77" s="82" t="s">
        <v>812</v>
      </c>
      <c r="E77" s="80" t="s">
        <v>1291</v>
      </c>
      <c r="F77" s="80"/>
      <c r="G77" s="80" t="s">
        <v>1280</v>
      </c>
      <c r="H77" s="80" t="s">
        <v>18</v>
      </c>
      <c r="I77" s="80" t="s">
        <v>1406</v>
      </c>
      <c r="J77" s="82" t="s">
        <v>655</v>
      </c>
      <c r="K77" s="82" t="s">
        <v>646</v>
      </c>
      <c r="L77" s="82" t="s">
        <v>1106</v>
      </c>
      <c r="M77" s="82" t="s">
        <v>1107</v>
      </c>
      <c r="N77" s="82" t="s">
        <v>1108</v>
      </c>
      <c r="O77" s="82" t="s">
        <v>816</v>
      </c>
      <c r="P77" s="82"/>
      <c r="Q77" s="82" t="s">
        <v>568</v>
      </c>
      <c r="R77" s="119" t="s">
        <v>1733</v>
      </c>
      <c r="S77" s="119"/>
    </row>
    <row r="78" spans="1:19" ht="15" customHeight="1" x14ac:dyDescent="0.2">
      <c r="A78" s="102" t="s">
        <v>1109</v>
      </c>
      <c r="B78" s="82" t="s">
        <v>1110</v>
      </c>
      <c r="C78" s="82" t="s">
        <v>1111</v>
      </c>
      <c r="D78" s="82" t="s">
        <v>1112</v>
      </c>
      <c r="E78" s="82" t="s">
        <v>1407</v>
      </c>
      <c r="F78" s="82"/>
      <c r="G78" s="82" t="s">
        <v>1408</v>
      </c>
      <c r="H78" s="82" t="s">
        <v>18</v>
      </c>
      <c r="I78" s="82" t="s">
        <v>1409</v>
      </c>
      <c r="J78" s="82" t="s">
        <v>693</v>
      </c>
      <c r="K78" s="82" t="s">
        <v>646</v>
      </c>
      <c r="L78" s="82" t="s">
        <v>1113</v>
      </c>
      <c r="M78" s="82" t="s">
        <v>1114</v>
      </c>
      <c r="N78" s="82" t="s">
        <v>1115</v>
      </c>
      <c r="O78" s="82" t="s">
        <v>1116</v>
      </c>
      <c r="P78" s="82"/>
      <c r="Q78" s="82" t="s">
        <v>568</v>
      </c>
      <c r="R78" s="119" t="s">
        <v>1733</v>
      </c>
      <c r="S78" s="119"/>
    </row>
    <row r="79" spans="1:19" ht="15" customHeight="1" x14ac:dyDescent="0.2">
      <c r="A79" s="102" t="s">
        <v>626</v>
      </c>
      <c r="B79" s="82" t="s">
        <v>1117</v>
      </c>
      <c r="C79" s="82" t="s">
        <v>1118</v>
      </c>
      <c r="D79" s="82" t="s">
        <v>1119</v>
      </c>
      <c r="E79" s="80"/>
      <c r="F79" s="80"/>
      <c r="G79" s="80" t="s">
        <v>1410</v>
      </c>
      <c r="H79" s="80" t="s">
        <v>18</v>
      </c>
      <c r="I79" s="80" t="s">
        <v>1411</v>
      </c>
      <c r="J79" s="82" t="s">
        <v>693</v>
      </c>
      <c r="K79" s="82" t="s">
        <v>646</v>
      </c>
      <c r="L79" s="82" t="s">
        <v>1120</v>
      </c>
      <c r="M79" s="82" t="s">
        <v>1121</v>
      </c>
      <c r="N79" s="82" t="s">
        <v>1122</v>
      </c>
      <c r="O79" s="82" t="s">
        <v>1123</v>
      </c>
      <c r="P79" s="82"/>
      <c r="Q79" s="82" t="s">
        <v>568</v>
      </c>
      <c r="R79" s="119" t="s">
        <v>1733</v>
      </c>
      <c r="S79" s="119"/>
    </row>
    <row r="80" spans="1:19" ht="15" customHeight="1" x14ac:dyDescent="0.2">
      <c r="A80" s="102" t="s">
        <v>627</v>
      </c>
      <c r="B80" s="82" t="s">
        <v>1124</v>
      </c>
      <c r="C80" s="82" t="s">
        <v>1125</v>
      </c>
      <c r="D80" s="82" t="s">
        <v>1126</v>
      </c>
      <c r="E80" s="80" t="s">
        <v>1412</v>
      </c>
      <c r="F80" s="80"/>
      <c r="G80" s="80" t="s">
        <v>1249</v>
      </c>
      <c r="H80" s="80" t="s">
        <v>18</v>
      </c>
      <c r="I80" s="80" t="s">
        <v>1413</v>
      </c>
      <c r="J80" s="82" t="s">
        <v>709</v>
      </c>
      <c r="K80" s="82" t="s">
        <v>646</v>
      </c>
      <c r="L80" s="82" t="s">
        <v>916</v>
      </c>
      <c r="M80" s="82" t="s">
        <v>1127</v>
      </c>
      <c r="N80" s="82" t="s">
        <v>1128</v>
      </c>
      <c r="O80" s="82" t="s">
        <v>1129</v>
      </c>
      <c r="P80" s="82"/>
      <c r="Q80" s="82" t="s">
        <v>568</v>
      </c>
      <c r="R80" s="119" t="s">
        <v>1733</v>
      </c>
      <c r="S80" s="119"/>
    </row>
    <row r="81" spans="1:19" ht="15" customHeight="1" x14ac:dyDescent="0.2">
      <c r="A81" s="102" t="s">
        <v>1130</v>
      </c>
      <c r="B81" s="82" t="s">
        <v>1131</v>
      </c>
      <c r="C81" s="82" t="s">
        <v>1132</v>
      </c>
      <c r="D81" s="82" t="s">
        <v>1133</v>
      </c>
      <c r="E81" s="82" t="s">
        <v>1414</v>
      </c>
      <c r="F81" s="82"/>
      <c r="G81" s="82" t="s">
        <v>1249</v>
      </c>
      <c r="H81" s="82" t="s">
        <v>18</v>
      </c>
      <c r="I81" s="82" t="s">
        <v>1415</v>
      </c>
      <c r="J81" s="82" t="s">
        <v>655</v>
      </c>
      <c r="K81" s="82" t="s">
        <v>646</v>
      </c>
      <c r="L81" s="82" t="s">
        <v>1134</v>
      </c>
      <c r="M81" s="82" t="s">
        <v>1135</v>
      </c>
      <c r="N81" s="82" t="s">
        <v>1136</v>
      </c>
      <c r="O81" s="82" t="s">
        <v>1137</v>
      </c>
      <c r="P81" s="82"/>
      <c r="Q81" s="82" t="s">
        <v>568</v>
      </c>
      <c r="R81" s="119" t="s">
        <v>1733</v>
      </c>
      <c r="S81" s="119"/>
    </row>
    <row r="82" spans="1:19" ht="15" customHeight="1" x14ac:dyDescent="0.2">
      <c r="A82" s="102" t="s">
        <v>628</v>
      </c>
      <c r="B82" s="82" t="s">
        <v>1138</v>
      </c>
      <c r="C82" s="82" t="s">
        <v>1139</v>
      </c>
      <c r="D82" s="82" t="s">
        <v>1140</v>
      </c>
      <c r="E82" s="80"/>
      <c r="F82" s="80"/>
      <c r="G82" s="80" t="s">
        <v>1416</v>
      </c>
      <c r="H82" s="80" t="s">
        <v>18</v>
      </c>
      <c r="I82" s="80" t="s">
        <v>1417</v>
      </c>
      <c r="J82" s="82" t="s">
        <v>655</v>
      </c>
      <c r="K82" s="82" t="s">
        <v>646</v>
      </c>
      <c r="L82" s="82" t="s">
        <v>1141</v>
      </c>
      <c r="M82" s="82" t="s">
        <v>1142</v>
      </c>
      <c r="N82" s="82" t="s">
        <v>1143</v>
      </c>
      <c r="O82" s="82" t="s">
        <v>1144</v>
      </c>
      <c r="P82" s="82"/>
      <c r="Q82" s="82" t="s">
        <v>568</v>
      </c>
      <c r="R82" s="119" t="s">
        <v>1733</v>
      </c>
      <c r="S82" s="119"/>
    </row>
    <row r="83" spans="1:19" ht="15" customHeight="1" x14ac:dyDescent="0.2">
      <c r="A83" s="102" t="s">
        <v>629</v>
      </c>
      <c r="B83" s="82" t="s">
        <v>1145</v>
      </c>
      <c r="C83" s="82" t="s">
        <v>1146</v>
      </c>
      <c r="D83" s="82" t="s">
        <v>1147</v>
      </c>
      <c r="E83" s="80" t="s">
        <v>1418</v>
      </c>
      <c r="F83" s="80"/>
      <c r="G83" s="80" t="s">
        <v>1419</v>
      </c>
      <c r="H83" s="80" t="s">
        <v>18</v>
      </c>
      <c r="I83" s="80" t="s">
        <v>1420</v>
      </c>
      <c r="J83" s="82" t="s">
        <v>645</v>
      </c>
      <c r="K83" s="82" t="s">
        <v>739</v>
      </c>
      <c r="L83" s="82" t="s">
        <v>1148</v>
      </c>
      <c r="M83" s="82" t="s">
        <v>1149</v>
      </c>
      <c r="N83" s="82" t="s">
        <v>1150</v>
      </c>
      <c r="O83" s="82" t="s">
        <v>1151</v>
      </c>
      <c r="P83" s="82"/>
      <c r="Q83" s="82" t="s">
        <v>1103</v>
      </c>
      <c r="R83" s="119" t="s">
        <v>1733</v>
      </c>
      <c r="S83" s="119"/>
    </row>
    <row r="84" spans="1:19" ht="15" customHeight="1" x14ac:dyDescent="0.2">
      <c r="A84" s="102" t="s">
        <v>1152</v>
      </c>
      <c r="B84" s="82" t="s">
        <v>1153</v>
      </c>
      <c r="C84" s="82" t="s">
        <v>1154</v>
      </c>
      <c r="D84" s="82" t="s">
        <v>1155</v>
      </c>
      <c r="E84" s="82" t="s">
        <v>1421</v>
      </c>
      <c r="F84" s="82"/>
      <c r="G84" s="82" t="s">
        <v>1249</v>
      </c>
      <c r="H84" s="82" t="s">
        <v>18</v>
      </c>
      <c r="I84" s="82" t="s">
        <v>1422</v>
      </c>
      <c r="J84" s="82" t="s">
        <v>709</v>
      </c>
      <c r="K84" s="82" t="s">
        <v>646</v>
      </c>
      <c r="L84" s="82" t="s">
        <v>910</v>
      </c>
      <c r="M84" s="82" t="s">
        <v>1156</v>
      </c>
      <c r="N84" s="82" t="s">
        <v>1157</v>
      </c>
      <c r="O84" s="82" t="s">
        <v>1158</v>
      </c>
      <c r="P84" s="82"/>
      <c r="Q84" s="82" t="s">
        <v>568</v>
      </c>
      <c r="R84" s="119" t="s">
        <v>1733</v>
      </c>
      <c r="S84" s="119"/>
    </row>
    <row r="85" spans="1:19" ht="15" customHeight="1" x14ac:dyDescent="0.2">
      <c r="A85" s="102" t="s">
        <v>630</v>
      </c>
      <c r="B85" s="82" t="s">
        <v>1159</v>
      </c>
      <c r="C85" s="82" t="s">
        <v>1160</v>
      </c>
      <c r="D85" s="82" t="s">
        <v>1161</v>
      </c>
      <c r="E85" s="80" t="s">
        <v>1423</v>
      </c>
      <c r="F85" s="80"/>
      <c r="G85" s="80" t="s">
        <v>1280</v>
      </c>
      <c r="H85" s="80" t="s">
        <v>18</v>
      </c>
      <c r="I85" s="80" t="s">
        <v>1424</v>
      </c>
      <c r="J85" s="82" t="s">
        <v>709</v>
      </c>
      <c r="K85" s="82" t="s">
        <v>646</v>
      </c>
      <c r="L85" s="82" t="s">
        <v>506</v>
      </c>
      <c r="M85" s="82" t="s">
        <v>1162</v>
      </c>
      <c r="N85" s="82" t="s">
        <v>1163</v>
      </c>
      <c r="O85" s="82" t="s">
        <v>1164</v>
      </c>
      <c r="P85" s="82"/>
      <c r="Q85" s="82" t="s">
        <v>568</v>
      </c>
      <c r="R85" s="119" t="s">
        <v>1733</v>
      </c>
      <c r="S85" s="119"/>
    </row>
    <row r="86" spans="1:19" ht="14.25" x14ac:dyDescent="0.2">
      <c r="A86" s="102" t="s">
        <v>632</v>
      </c>
      <c r="B86" s="82" t="s">
        <v>1165</v>
      </c>
      <c r="C86" s="82" t="s">
        <v>1166</v>
      </c>
      <c r="D86" s="82" t="s">
        <v>1167</v>
      </c>
      <c r="E86" s="80" t="s">
        <v>1425</v>
      </c>
      <c r="F86" s="80"/>
      <c r="G86" s="80" t="s">
        <v>1249</v>
      </c>
      <c r="H86" s="80" t="s">
        <v>18</v>
      </c>
      <c r="I86" s="80" t="s">
        <v>1426</v>
      </c>
      <c r="J86" s="82" t="s">
        <v>655</v>
      </c>
      <c r="K86" s="82" t="s">
        <v>646</v>
      </c>
      <c r="L86" s="82" t="s">
        <v>916</v>
      </c>
      <c r="M86" s="82" t="s">
        <v>1168</v>
      </c>
      <c r="N86" s="82" t="s">
        <v>1169</v>
      </c>
      <c r="O86" s="82" t="s">
        <v>1170</v>
      </c>
      <c r="P86" s="82"/>
      <c r="Q86" s="82" t="s">
        <v>568</v>
      </c>
      <c r="R86" s="119" t="s">
        <v>1733</v>
      </c>
      <c r="S86" s="119"/>
    </row>
    <row r="87" spans="1:19" ht="14.25" x14ac:dyDescent="0.2">
      <c r="A87" s="102" t="s">
        <v>633</v>
      </c>
      <c r="B87" s="82" t="s">
        <v>1171</v>
      </c>
      <c r="C87" s="82" t="s">
        <v>1172</v>
      </c>
      <c r="D87" s="82" t="s">
        <v>1173</v>
      </c>
      <c r="E87" s="80" t="s">
        <v>782</v>
      </c>
      <c r="F87" s="80" t="s">
        <v>1282</v>
      </c>
      <c r="G87" s="80" t="s">
        <v>1249</v>
      </c>
      <c r="H87" s="80" t="s">
        <v>18</v>
      </c>
      <c r="I87" s="80" t="s">
        <v>1283</v>
      </c>
      <c r="J87" s="82" t="s">
        <v>655</v>
      </c>
      <c r="K87" s="82" t="s">
        <v>646</v>
      </c>
      <c r="L87" s="82" t="s">
        <v>477</v>
      </c>
      <c r="M87" s="82" t="s">
        <v>478</v>
      </c>
      <c r="N87" s="82" t="s">
        <v>1174</v>
      </c>
      <c r="O87" s="82" t="s">
        <v>1175</v>
      </c>
      <c r="P87" s="82"/>
      <c r="Q87" s="82" t="s">
        <v>568</v>
      </c>
      <c r="R87" s="119" t="s">
        <v>1733</v>
      </c>
      <c r="S87" s="119"/>
    </row>
    <row r="88" spans="1:19" ht="14.25" x14ac:dyDescent="0.2">
      <c r="A88" s="102" t="s">
        <v>1427</v>
      </c>
      <c r="B88" s="82" t="s">
        <v>1428</v>
      </c>
      <c r="C88" s="82" t="s">
        <v>1429</v>
      </c>
      <c r="D88" s="82" t="s">
        <v>1429</v>
      </c>
      <c r="E88" s="80" t="s">
        <v>1430</v>
      </c>
      <c r="F88" s="80" t="s">
        <v>1431</v>
      </c>
      <c r="G88" s="80" t="s">
        <v>1249</v>
      </c>
      <c r="H88" s="80" t="s">
        <v>18</v>
      </c>
      <c r="I88" s="80" t="s">
        <v>1432</v>
      </c>
      <c r="J88" s="82" t="s">
        <v>655</v>
      </c>
      <c r="K88" s="82" t="s">
        <v>646</v>
      </c>
      <c r="L88" s="82" t="s">
        <v>535</v>
      </c>
      <c r="M88" s="82" t="s">
        <v>536</v>
      </c>
      <c r="N88" s="82" t="s">
        <v>417</v>
      </c>
      <c r="O88" s="82" t="s">
        <v>418</v>
      </c>
      <c r="P88" s="82"/>
      <c r="Q88" s="82" t="s">
        <v>1222</v>
      </c>
      <c r="R88" s="119" t="s">
        <v>1733</v>
      </c>
      <c r="S88" s="119"/>
    </row>
    <row r="89" spans="1:19" ht="14.25" x14ac:dyDescent="0.2">
      <c r="A89" s="103" t="s">
        <v>1433</v>
      </c>
      <c r="B89" s="83" t="s">
        <v>1434</v>
      </c>
      <c r="C89" s="83" t="s">
        <v>1435</v>
      </c>
      <c r="D89" s="83" t="s">
        <v>1435</v>
      </c>
      <c r="E89" s="80" t="s">
        <v>1436</v>
      </c>
      <c r="F89" s="80" t="s">
        <v>1437</v>
      </c>
      <c r="G89" s="80" t="s">
        <v>1249</v>
      </c>
      <c r="H89" s="80" t="s">
        <v>18</v>
      </c>
      <c r="I89" s="80" t="s">
        <v>1438</v>
      </c>
      <c r="J89" s="83" t="s">
        <v>655</v>
      </c>
      <c r="K89" s="83" t="s">
        <v>646</v>
      </c>
      <c r="L89" s="83" t="s">
        <v>1439</v>
      </c>
      <c r="M89" s="83" t="s">
        <v>1440</v>
      </c>
      <c r="N89" s="83" t="s">
        <v>1441</v>
      </c>
      <c r="O89" s="83" t="s">
        <v>1442</v>
      </c>
      <c r="P89" s="83"/>
      <c r="Q89" s="83" t="s">
        <v>1222</v>
      </c>
      <c r="R89" s="119"/>
      <c r="S89" s="119"/>
    </row>
    <row r="90" spans="1:19" ht="14.25" x14ac:dyDescent="0.2">
      <c r="A90" s="102" t="s">
        <v>1443</v>
      </c>
      <c r="B90" s="82" t="s">
        <v>1444</v>
      </c>
      <c r="C90" s="82" t="s">
        <v>1445</v>
      </c>
      <c r="D90" s="82" t="s">
        <v>1446</v>
      </c>
      <c r="E90" s="80" t="s">
        <v>1447</v>
      </c>
      <c r="F90" s="80" t="s">
        <v>1448</v>
      </c>
      <c r="G90" s="80" t="s">
        <v>1249</v>
      </c>
      <c r="H90" s="80" t="s">
        <v>18</v>
      </c>
      <c r="I90" s="80" t="s">
        <v>1449</v>
      </c>
      <c r="J90" s="82" t="s">
        <v>655</v>
      </c>
      <c r="K90" s="82" t="s">
        <v>646</v>
      </c>
      <c r="L90" s="82" t="s">
        <v>1450</v>
      </c>
      <c r="M90" s="82" t="s">
        <v>1451</v>
      </c>
      <c r="N90" s="82" t="s">
        <v>1452</v>
      </c>
      <c r="O90" s="82" t="s">
        <v>1453</v>
      </c>
      <c r="P90" s="82"/>
      <c r="Q90" s="82" t="s">
        <v>1222</v>
      </c>
      <c r="R90" s="119" t="s">
        <v>1733</v>
      </c>
      <c r="S90" s="119"/>
    </row>
    <row r="91" spans="1:19" ht="14.25" x14ac:dyDescent="0.2">
      <c r="A91" s="102" t="s">
        <v>1454</v>
      </c>
      <c r="B91" s="82" t="s">
        <v>540</v>
      </c>
      <c r="C91" s="82" t="s">
        <v>1455</v>
      </c>
      <c r="D91" s="82" t="s">
        <v>1456</v>
      </c>
      <c r="E91" s="80" t="s">
        <v>1457</v>
      </c>
      <c r="F91" s="80" t="s">
        <v>1286</v>
      </c>
      <c r="G91" s="80" t="s">
        <v>1249</v>
      </c>
      <c r="H91" s="80" t="s">
        <v>18</v>
      </c>
      <c r="I91" s="80" t="s">
        <v>1287</v>
      </c>
      <c r="J91" s="82" t="s">
        <v>655</v>
      </c>
      <c r="K91" s="82" t="s">
        <v>646</v>
      </c>
      <c r="L91" s="82" t="s">
        <v>47</v>
      </c>
      <c r="M91" s="82" t="s">
        <v>541</v>
      </c>
      <c r="N91" s="82" t="s">
        <v>423</v>
      </c>
      <c r="O91" s="82" t="s">
        <v>424</v>
      </c>
      <c r="P91" s="82"/>
      <c r="Q91" s="82" t="s">
        <v>1222</v>
      </c>
      <c r="R91" s="119" t="s">
        <v>1733</v>
      </c>
      <c r="S91" s="119"/>
    </row>
    <row r="92" spans="1:19" ht="14.25" x14ac:dyDescent="0.2">
      <c r="A92" s="102" t="s">
        <v>1458</v>
      </c>
      <c r="B92" s="82" t="s">
        <v>1459</v>
      </c>
      <c r="C92" s="82" t="s">
        <v>1460</v>
      </c>
      <c r="D92" s="82" t="s">
        <v>1461</v>
      </c>
      <c r="E92" s="80" t="s">
        <v>1462</v>
      </c>
      <c r="F92" s="80" t="s">
        <v>1368</v>
      </c>
      <c r="G92" s="80" t="s">
        <v>1463</v>
      </c>
      <c r="H92" s="80" t="s">
        <v>18</v>
      </c>
      <c r="I92" s="80" t="s">
        <v>1464</v>
      </c>
      <c r="J92" s="82" t="s">
        <v>709</v>
      </c>
      <c r="K92" s="82" t="s">
        <v>646</v>
      </c>
      <c r="L92" s="82" t="s">
        <v>506</v>
      </c>
      <c r="M92" s="82" t="s">
        <v>507</v>
      </c>
      <c r="N92" s="82" t="s">
        <v>381</v>
      </c>
      <c r="O92" s="82" t="s">
        <v>382</v>
      </c>
      <c r="P92" s="82"/>
      <c r="Q92" s="82" t="s">
        <v>1222</v>
      </c>
      <c r="R92" s="119" t="s">
        <v>1733</v>
      </c>
      <c r="S92" s="119"/>
    </row>
    <row r="93" spans="1:19" ht="14.25" x14ac:dyDescent="0.2">
      <c r="A93" s="102" t="s">
        <v>1465</v>
      </c>
      <c r="B93" s="82" t="s">
        <v>1466</v>
      </c>
      <c r="C93" s="82" t="s">
        <v>1467</v>
      </c>
      <c r="D93" s="82" t="s">
        <v>1468</v>
      </c>
      <c r="E93" s="80" t="s">
        <v>1469</v>
      </c>
      <c r="F93" s="80" t="s">
        <v>1470</v>
      </c>
      <c r="G93" s="80" t="s">
        <v>1254</v>
      </c>
      <c r="H93" s="80" t="s">
        <v>18</v>
      </c>
      <c r="I93" s="80" t="s">
        <v>1471</v>
      </c>
      <c r="J93" s="82" t="s">
        <v>655</v>
      </c>
      <c r="K93" s="82" t="s">
        <v>646</v>
      </c>
      <c r="L93" s="82" t="s">
        <v>531</v>
      </c>
      <c r="M93" s="82" t="s">
        <v>532</v>
      </c>
      <c r="N93" s="82" t="s">
        <v>411</v>
      </c>
      <c r="O93" s="82" t="s">
        <v>412</v>
      </c>
      <c r="P93" s="82"/>
      <c r="Q93" s="82" t="s">
        <v>1222</v>
      </c>
      <c r="R93" s="119" t="s">
        <v>1733</v>
      </c>
      <c r="S93" s="119"/>
    </row>
    <row r="94" spans="1:19" ht="14.25" x14ac:dyDescent="0.2">
      <c r="A94" s="102" t="s">
        <v>1472</v>
      </c>
      <c r="B94" s="82" t="s">
        <v>494</v>
      </c>
      <c r="C94" s="82" t="s">
        <v>1473</v>
      </c>
      <c r="D94" s="82" t="s">
        <v>938</v>
      </c>
      <c r="E94" s="80" t="s">
        <v>1010</v>
      </c>
      <c r="F94" s="80" t="s">
        <v>1470</v>
      </c>
      <c r="G94" s="80" t="s">
        <v>1249</v>
      </c>
      <c r="H94" s="80" t="s">
        <v>18</v>
      </c>
      <c r="I94" s="80" t="s">
        <v>1361</v>
      </c>
      <c r="J94" s="82" t="s">
        <v>655</v>
      </c>
      <c r="K94" s="82" t="s">
        <v>646</v>
      </c>
      <c r="L94" s="82" t="s">
        <v>495</v>
      </c>
      <c r="M94" s="82" t="s">
        <v>496</v>
      </c>
      <c r="N94" s="82" t="s">
        <v>376</v>
      </c>
      <c r="O94" s="82" t="s">
        <v>377</v>
      </c>
      <c r="P94" s="82"/>
      <c r="Q94" s="82" t="s">
        <v>1222</v>
      </c>
      <c r="R94" s="119" t="s">
        <v>1733</v>
      </c>
      <c r="S94" s="119"/>
    </row>
    <row r="95" spans="1:19" ht="14.25" x14ac:dyDescent="0.2">
      <c r="A95" s="102" t="s">
        <v>1474</v>
      </c>
      <c r="B95" s="82" t="s">
        <v>489</v>
      </c>
      <c r="C95" s="82" t="s">
        <v>1475</v>
      </c>
      <c r="D95" s="82" t="s">
        <v>1475</v>
      </c>
      <c r="E95" s="80" t="s">
        <v>1476</v>
      </c>
      <c r="F95" s="80"/>
      <c r="G95" s="80" t="s">
        <v>1249</v>
      </c>
      <c r="H95" s="80" t="s">
        <v>18</v>
      </c>
      <c r="I95" s="80" t="s">
        <v>1477</v>
      </c>
      <c r="J95" s="82" t="s">
        <v>709</v>
      </c>
      <c r="K95" s="82" t="s">
        <v>646</v>
      </c>
      <c r="L95" s="82" t="s">
        <v>490</v>
      </c>
      <c r="M95" s="82" t="s">
        <v>491</v>
      </c>
      <c r="N95" s="82" t="s">
        <v>370</v>
      </c>
      <c r="O95" s="82" t="s">
        <v>371</v>
      </c>
      <c r="P95" s="82"/>
      <c r="Q95" s="82" t="s">
        <v>1222</v>
      </c>
      <c r="R95" s="119" t="s">
        <v>1733</v>
      </c>
      <c r="S95" s="119"/>
    </row>
    <row r="96" spans="1:19" ht="14.25" x14ac:dyDescent="0.2">
      <c r="A96" s="102" t="s">
        <v>1478</v>
      </c>
      <c r="B96" s="82" t="s">
        <v>1479</v>
      </c>
      <c r="C96" s="82" t="s">
        <v>1480</v>
      </c>
      <c r="D96" s="82" t="s">
        <v>1481</v>
      </c>
      <c r="E96" s="80" t="s">
        <v>1482</v>
      </c>
      <c r="F96" s="80" t="s">
        <v>1307</v>
      </c>
      <c r="G96" s="80" t="s">
        <v>1254</v>
      </c>
      <c r="H96" s="80" t="s">
        <v>18</v>
      </c>
      <c r="I96" s="80" t="s">
        <v>1483</v>
      </c>
      <c r="J96" s="82" t="s">
        <v>709</v>
      </c>
      <c r="K96" s="82" t="s">
        <v>646</v>
      </c>
      <c r="L96" s="82" t="s">
        <v>497</v>
      </c>
      <c r="M96" s="82" t="s">
        <v>498</v>
      </c>
      <c r="N96" s="82" t="s">
        <v>379</v>
      </c>
      <c r="O96" s="82" t="s">
        <v>380</v>
      </c>
      <c r="P96" s="82"/>
      <c r="Q96" s="82" t="s">
        <v>1222</v>
      </c>
      <c r="R96" s="119" t="s">
        <v>1733</v>
      </c>
      <c r="S96" s="119"/>
    </row>
    <row r="97" spans="1:19" ht="14.25" x14ac:dyDescent="0.2">
      <c r="A97" s="102" t="s">
        <v>1484</v>
      </c>
      <c r="B97" s="82" t="s">
        <v>563</v>
      </c>
      <c r="C97" s="82" t="s">
        <v>1485</v>
      </c>
      <c r="D97" s="82" t="s">
        <v>1486</v>
      </c>
      <c r="E97" s="80"/>
      <c r="F97" s="80"/>
      <c r="G97" s="80" t="s">
        <v>1487</v>
      </c>
      <c r="H97" s="80" t="s">
        <v>18</v>
      </c>
      <c r="I97" s="80" t="s">
        <v>1488</v>
      </c>
      <c r="J97" s="82" t="s">
        <v>709</v>
      </c>
      <c r="K97" s="82" t="s">
        <v>646</v>
      </c>
      <c r="L97" s="82" t="s">
        <v>564</v>
      </c>
      <c r="M97" s="82" t="s">
        <v>565</v>
      </c>
      <c r="N97" s="82" t="s">
        <v>428</v>
      </c>
      <c r="O97" s="82" t="s">
        <v>429</v>
      </c>
      <c r="P97" s="82"/>
      <c r="Q97" s="82" t="s">
        <v>1222</v>
      </c>
      <c r="R97" s="119" t="s">
        <v>1733</v>
      </c>
      <c r="S97" s="119"/>
    </row>
    <row r="98" spans="1:19" ht="14.25" x14ac:dyDescent="0.2">
      <c r="A98" s="102" t="s">
        <v>1489</v>
      </c>
      <c r="B98" s="82" t="s">
        <v>1490</v>
      </c>
      <c r="C98" s="82" t="s">
        <v>1491</v>
      </c>
      <c r="D98" s="82" t="s">
        <v>1492</v>
      </c>
      <c r="E98" s="80" t="s">
        <v>1493</v>
      </c>
      <c r="F98" s="80"/>
      <c r="G98" s="80" t="s">
        <v>1494</v>
      </c>
      <c r="H98" s="80" t="s">
        <v>18</v>
      </c>
      <c r="I98" s="80" t="s">
        <v>1495</v>
      </c>
      <c r="J98" s="82" t="s">
        <v>655</v>
      </c>
      <c r="K98" s="82" t="s">
        <v>646</v>
      </c>
      <c r="L98" s="82" t="s">
        <v>508</v>
      </c>
      <c r="M98" s="82" t="s">
        <v>509</v>
      </c>
      <c r="N98" s="82" t="s">
        <v>384</v>
      </c>
      <c r="O98" s="82" t="s">
        <v>385</v>
      </c>
      <c r="P98" s="82"/>
      <c r="Q98" s="82" t="s">
        <v>1222</v>
      </c>
      <c r="R98" s="119" t="s">
        <v>1733</v>
      </c>
      <c r="S98" s="119"/>
    </row>
    <row r="99" spans="1:19" ht="14.25" x14ac:dyDescent="0.2">
      <c r="A99" s="102" t="s">
        <v>1496</v>
      </c>
      <c r="B99" s="82" t="s">
        <v>1497</v>
      </c>
      <c r="C99" s="82" t="s">
        <v>1498</v>
      </c>
      <c r="D99" s="82" t="s">
        <v>1499</v>
      </c>
      <c r="E99" s="80" t="s">
        <v>1500</v>
      </c>
      <c r="F99" s="80"/>
      <c r="G99" s="80" t="s">
        <v>1254</v>
      </c>
      <c r="H99" s="80" t="s">
        <v>18</v>
      </c>
      <c r="I99" s="80" t="s">
        <v>1376</v>
      </c>
      <c r="J99" s="82" t="s">
        <v>709</v>
      </c>
      <c r="K99" s="82" t="s">
        <v>646</v>
      </c>
      <c r="L99" s="82" t="s">
        <v>522</v>
      </c>
      <c r="M99" s="82" t="s">
        <v>523</v>
      </c>
      <c r="N99" s="82" t="s">
        <v>402</v>
      </c>
      <c r="O99" s="82" t="s">
        <v>403</v>
      </c>
      <c r="P99" s="82"/>
      <c r="Q99" s="82" t="s">
        <v>1222</v>
      </c>
      <c r="R99" s="119" t="s">
        <v>1733</v>
      </c>
      <c r="S99" s="119"/>
    </row>
    <row r="100" spans="1:19" ht="14.25" x14ac:dyDescent="0.2">
      <c r="A100" s="102" t="s">
        <v>1501</v>
      </c>
      <c r="B100" s="82" t="s">
        <v>99</v>
      </c>
      <c r="C100" s="82" t="s">
        <v>1502</v>
      </c>
      <c r="D100" s="82" t="s">
        <v>1503</v>
      </c>
      <c r="E100" s="80" t="s">
        <v>1504</v>
      </c>
      <c r="F100" s="80" t="s">
        <v>1505</v>
      </c>
      <c r="G100" s="80" t="s">
        <v>1273</v>
      </c>
      <c r="H100" s="80" t="s">
        <v>18</v>
      </c>
      <c r="I100" s="80" t="s">
        <v>1506</v>
      </c>
      <c r="J100" s="82" t="s">
        <v>655</v>
      </c>
      <c r="K100" s="82" t="s">
        <v>646</v>
      </c>
      <c r="L100" s="82" t="s">
        <v>1507</v>
      </c>
      <c r="M100" s="82" t="s">
        <v>1508</v>
      </c>
      <c r="N100" s="82" t="s">
        <v>1509</v>
      </c>
      <c r="O100" s="82" t="s">
        <v>1510</v>
      </c>
      <c r="P100" s="82"/>
      <c r="Q100" s="82" t="s">
        <v>1222</v>
      </c>
      <c r="R100" s="119" t="s">
        <v>1733</v>
      </c>
      <c r="S100" s="119"/>
    </row>
    <row r="101" spans="1:19" ht="14.25" x14ac:dyDescent="0.2">
      <c r="A101" s="102" t="s">
        <v>1511</v>
      </c>
      <c r="B101" s="82" t="s">
        <v>542</v>
      </c>
      <c r="C101" s="82" t="s">
        <v>1512</v>
      </c>
      <c r="D101" s="82" t="s">
        <v>1513</v>
      </c>
      <c r="E101" s="80" t="s">
        <v>1514</v>
      </c>
      <c r="F101" s="80"/>
      <c r="G101" s="80" t="s">
        <v>1515</v>
      </c>
      <c r="H101" s="80" t="s">
        <v>18</v>
      </c>
      <c r="I101" s="80" t="s">
        <v>1516</v>
      </c>
      <c r="J101" s="82" t="s">
        <v>693</v>
      </c>
      <c r="K101" s="82" t="s">
        <v>646</v>
      </c>
      <c r="L101" s="82" t="s">
        <v>543</v>
      </c>
      <c r="M101" s="82" t="s">
        <v>544</v>
      </c>
      <c r="N101" s="82" t="s">
        <v>545</v>
      </c>
      <c r="O101" s="82" t="s">
        <v>546</v>
      </c>
      <c r="P101" s="82"/>
      <c r="Q101" s="82" t="s">
        <v>1222</v>
      </c>
      <c r="R101" s="119" t="s">
        <v>1733</v>
      </c>
      <c r="S101" s="119"/>
    </row>
    <row r="102" spans="1:19" ht="14.25" x14ac:dyDescent="0.2">
      <c r="A102" s="102" t="s">
        <v>1517</v>
      </c>
      <c r="B102" s="82" t="s">
        <v>1518</v>
      </c>
      <c r="C102" s="82" t="s">
        <v>1519</v>
      </c>
      <c r="D102" s="82" t="s">
        <v>1520</v>
      </c>
      <c r="E102" s="80" t="s">
        <v>1521</v>
      </c>
      <c r="F102" s="80"/>
      <c r="G102" s="80" t="s">
        <v>1273</v>
      </c>
      <c r="H102" s="80" t="s">
        <v>18</v>
      </c>
      <c r="I102" s="80" t="s">
        <v>1522</v>
      </c>
      <c r="J102" s="82" t="s">
        <v>709</v>
      </c>
      <c r="K102" s="82" t="s">
        <v>646</v>
      </c>
      <c r="L102" s="82" t="s">
        <v>1523</v>
      </c>
      <c r="M102" s="82" t="s">
        <v>1524</v>
      </c>
      <c r="N102" s="82" t="s">
        <v>1525</v>
      </c>
      <c r="O102" s="82" t="s">
        <v>1526</v>
      </c>
      <c r="P102" s="82"/>
      <c r="Q102" s="82" t="s">
        <v>1222</v>
      </c>
      <c r="R102" s="119" t="s">
        <v>1733</v>
      </c>
      <c r="S102" s="119"/>
    </row>
    <row r="103" spans="1:19" ht="14.25" x14ac:dyDescent="0.2">
      <c r="A103" s="102" t="s">
        <v>1527</v>
      </c>
      <c r="B103" s="82" t="s">
        <v>1528</v>
      </c>
      <c r="C103" s="82" t="s">
        <v>1529</v>
      </c>
      <c r="D103" s="82" t="s">
        <v>1530</v>
      </c>
      <c r="E103" s="80" t="s">
        <v>1531</v>
      </c>
      <c r="F103" s="80" t="s">
        <v>1532</v>
      </c>
      <c r="G103" s="80" t="s">
        <v>1249</v>
      </c>
      <c r="H103" s="80" t="s">
        <v>18</v>
      </c>
      <c r="I103" s="80" t="s">
        <v>1533</v>
      </c>
      <c r="J103" s="82" t="s">
        <v>709</v>
      </c>
      <c r="K103" s="82" t="s">
        <v>646</v>
      </c>
      <c r="L103" s="82" t="s">
        <v>484</v>
      </c>
      <c r="M103" s="82" t="s">
        <v>485</v>
      </c>
      <c r="N103" s="82" t="s">
        <v>363</v>
      </c>
      <c r="O103" s="82" t="s">
        <v>364</v>
      </c>
      <c r="P103" s="82"/>
      <c r="Q103" s="82" t="s">
        <v>1222</v>
      </c>
      <c r="R103" s="119" t="s">
        <v>1733</v>
      </c>
      <c r="S103" s="119"/>
    </row>
    <row r="104" spans="1:19" ht="14.25" x14ac:dyDescent="0.2">
      <c r="A104" s="103" t="s">
        <v>1534</v>
      </c>
      <c r="B104" s="83" t="s">
        <v>1535</v>
      </c>
      <c r="C104" s="83" t="s">
        <v>1536</v>
      </c>
      <c r="D104" s="83" t="s">
        <v>1537</v>
      </c>
      <c r="E104" s="80" t="s">
        <v>1538</v>
      </c>
      <c r="F104" s="80" t="s">
        <v>1363</v>
      </c>
      <c r="G104" s="80" t="s">
        <v>1247</v>
      </c>
      <c r="H104" s="80" t="s">
        <v>18</v>
      </c>
      <c r="I104" s="80" t="s">
        <v>1539</v>
      </c>
      <c r="J104" s="83" t="s">
        <v>709</v>
      </c>
      <c r="K104" s="83" t="s">
        <v>646</v>
      </c>
      <c r="L104" s="83" t="s">
        <v>549</v>
      </c>
      <c r="M104" s="83" t="s">
        <v>550</v>
      </c>
      <c r="N104" s="83" t="s">
        <v>426</v>
      </c>
      <c r="O104" s="83" t="s">
        <v>427</v>
      </c>
      <c r="P104" s="83"/>
      <c r="Q104" s="83" t="s">
        <v>1222</v>
      </c>
      <c r="R104" s="119"/>
      <c r="S104" s="119"/>
    </row>
    <row r="105" spans="1:19" ht="14.25" x14ac:dyDescent="0.2">
      <c r="A105" s="102" t="s">
        <v>1540</v>
      </c>
      <c r="B105" s="82" t="s">
        <v>548</v>
      </c>
      <c r="C105" s="82" t="s">
        <v>77</v>
      </c>
      <c r="D105" s="82" t="s">
        <v>1537</v>
      </c>
      <c r="E105" s="80" t="s">
        <v>1538</v>
      </c>
      <c r="F105" s="80" t="s">
        <v>1363</v>
      </c>
      <c r="G105" s="80" t="s">
        <v>1247</v>
      </c>
      <c r="H105" s="80" t="s">
        <v>18</v>
      </c>
      <c r="I105" s="80" t="s">
        <v>1539</v>
      </c>
      <c r="J105" s="82" t="s">
        <v>709</v>
      </c>
      <c r="K105" s="82" t="s">
        <v>646</v>
      </c>
      <c r="L105" s="82" t="s">
        <v>549</v>
      </c>
      <c r="M105" s="82" t="s">
        <v>550</v>
      </c>
      <c r="N105" s="82" t="s">
        <v>426</v>
      </c>
      <c r="O105" s="82" t="s">
        <v>427</v>
      </c>
      <c r="P105" s="82"/>
      <c r="Q105" s="82" t="s">
        <v>1222</v>
      </c>
      <c r="R105" s="119" t="s">
        <v>1733</v>
      </c>
      <c r="S105" s="119"/>
    </row>
    <row r="106" spans="1:19" ht="14.25" x14ac:dyDescent="0.2">
      <c r="A106" s="102" t="s">
        <v>1541</v>
      </c>
      <c r="B106" s="82" t="s">
        <v>1542</v>
      </c>
      <c r="C106" s="82" t="s">
        <v>1543</v>
      </c>
      <c r="D106" s="82" t="s">
        <v>1544</v>
      </c>
      <c r="E106" s="80" t="s">
        <v>1545</v>
      </c>
      <c r="F106" s="80" t="s">
        <v>1546</v>
      </c>
      <c r="G106" s="80" t="s">
        <v>1252</v>
      </c>
      <c r="H106" s="80" t="s">
        <v>18</v>
      </c>
      <c r="I106" s="80" t="s">
        <v>1547</v>
      </c>
      <c r="J106" s="82" t="s">
        <v>709</v>
      </c>
      <c r="K106" s="82" t="s">
        <v>646</v>
      </c>
      <c r="L106" s="82" t="s">
        <v>524</v>
      </c>
      <c r="M106" s="82" t="s">
        <v>525</v>
      </c>
      <c r="N106" s="82" t="s">
        <v>405</v>
      </c>
      <c r="O106" s="82" t="s">
        <v>406</v>
      </c>
      <c r="P106" s="82"/>
      <c r="Q106" s="82" t="s">
        <v>1222</v>
      </c>
      <c r="R106" s="121" t="s">
        <v>1733</v>
      </c>
      <c r="S106" s="121"/>
    </row>
    <row r="107" spans="1:19" ht="14.25" x14ac:dyDescent="0.2">
      <c r="A107" s="102" t="s">
        <v>1548</v>
      </c>
      <c r="B107" s="82" t="s">
        <v>481</v>
      </c>
      <c r="C107" s="82" t="s">
        <v>1549</v>
      </c>
      <c r="D107" s="82" t="s">
        <v>1550</v>
      </c>
      <c r="E107" s="80" t="s">
        <v>1551</v>
      </c>
      <c r="F107" s="80"/>
      <c r="G107" s="80" t="s">
        <v>1552</v>
      </c>
      <c r="H107" s="80" t="s">
        <v>18</v>
      </c>
      <c r="I107" s="80" t="s">
        <v>1553</v>
      </c>
      <c r="J107" s="82" t="s">
        <v>709</v>
      </c>
      <c r="K107" s="82" t="s">
        <v>646</v>
      </c>
      <c r="L107" s="82" t="s">
        <v>482</v>
      </c>
      <c r="M107" s="82" t="s">
        <v>483</v>
      </c>
      <c r="N107" s="82" t="s">
        <v>360</v>
      </c>
      <c r="O107" s="82" t="s">
        <v>361</v>
      </c>
      <c r="P107" s="82"/>
      <c r="Q107" s="130" t="s">
        <v>1222</v>
      </c>
      <c r="R107" s="132" t="s">
        <v>1733</v>
      </c>
      <c r="S107" s="132"/>
    </row>
    <row r="108" spans="1:19" ht="14.25" x14ac:dyDescent="0.2">
      <c r="A108" s="102" t="s">
        <v>1554</v>
      </c>
      <c r="B108" s="82" t="s">
        <v>551</v>
      </c>
      <c r="C108" s="82" t="s">
        <v>1555</v>
      </c>
      <c r="D108" s="82" t="s">
        <v>1556</v>
      </c>
      <c r="E108" s="80" t="s">
        <v>1557</v>
      </c>
      <c r="F108" s="80" t="s">
        <v>1425</v>
      </c>
      <c r="G108" s="80" t="s">
        <v>1249</v>
      </c>
      <c r="H108" s="80" t="s">
        <v>18</v>
      </c>
      <c r="I108" s="80" t="s">
        <v>1426</v>
      </c>
      <c r="J108" s="82" t="s">
        <v>655</v>
      </c>
      <c r="K108" s="82" t="s">
        <v>646</v>
      </c>
      <c r="L108" s="82" t="s">
        <v>552</v>
      </c>
      <c r="M108" s="82" t="s">
        <v>553</v>
      </c>
      <c r="N108" s="82" t="s">
        <v>554</v>
      </c>
      <c r="O108" s="82" t="s">
        <v>555</v>
      </c>
      <c r="P108" s="82"/>
      <c r="Q108" s="130" t="s">
        <v>1222</v>
      </c>
      <c r="R108" s="132" t="s">
        <v>1733</v>
      </c>
      <c r="S108" s="132"/>
    </row>
    <row r="109" spans="1:19" ht="14.25" x14ac:dyDescent="0.2">
      <c r="A109" s="102" t="s">
        <v>1558</v>
      </c>
      <c r="B109" s="82" t="s">
        <v>1559</v>
      </c>
      <c r="C109" s="82" t="s">
        <v>1560</v>
      </c>
      <c r="D109" s="82" t="s">
        <v>1561</v>
      </c>
      <c r="E109" s="80" t="s">
        <v>1562</v>
      </c>
      <c r="F109" s="80" t="s">
        <v>1563</v>
      </c>
      <c r="G109" s="80" t="s">
        <v>1249</v>
      </c>
      <c r="H109" s="80" t="s">
        <v>18</v>
      </c>
      <c r="I109" s="80" t="s">
        <v>1269</v>
      </c>
      <c r="J109" s="82" t="s">
        <v>655</v>
      </c>
      <c r="K109" s="82" t="s">
        <v>646</v>
      </c>
      <c r="L109" s="82" t="s">
        <v>75</v>
      </c>
      <c r="M109" s="82" t="s">
        <v>537</v>
      </c>
      <c r="N109" s="82" t="s">
        <v>420</v>
      </c>
      <c r="O109" s="82" t="s">
        <v>421</v>
      </c>
      <c r="P109" s="82"/>
      <c r="Q109" s="130" t="s">
        <v>1222</v>
      </c>
      <c r="R109" s="132" t="s">
        <v>1733</v>
      </c>
      <c r="S109" s="132"/>
    </row>
    <row r="110" spans="1:19" ht="14.25" x14ac:dyDescent="0.2">
      <c r="A110" s="102" t="s">
        <v>1564</v>
      </c>
      <c r="B110" s="82" t="s">
        <v>1565</v>
      </c>
      <c r="C110" s="82" t="s">
        <v>1566</v>
      </c>
      <c r="D110" s="82" t="s">
        <v>1566</v>
      </c>
      <c r="E110" s="80" t="s">
        <v>1567</v>
      </c>
      <c r="F110" s="80"/>
      <c r="G110" s="80" t="s">
        <v>1247</v>
      </c>
      <c r="H110" s="80" t="s">
        <v>18</v>
      </c>
      <c r="I110" s="80" t="s">
        <v>1568</v>
      </c>
      <c r="J110" s="82" t="s">
        <v>709</v>
      </c>
      <c r="K110" s="82" t="s">
        <v>646</v>
      </c>
      <c r="L110" s="82" t="s">
        <v>520</v>
      </c>
      <c r="M110" s="82" t="s">
        <v>521</v>
      </c>
      <c r="N110" s="85" t="s">
        <v>399</v>
      </c>
      <c r="O110" s="82" t="s">
        <v>400</v>
      </c>
      <c r="P110" s="82"/>
      <c r="Q110" s="130" t="s">
        <v>1222</v>
      </c>
      <c r="R110" s="132" t="s">
        <v>1733</v>
      </c>
      <c r="S110" s="132"/>
    </row>
    <row r="111" spans="1:19" ht="14.25" x14ac:dyDescent="0.2">
      <c r="A111" s="102" t="s">
        <v>1569</v>
      </c>
      <c r="B111" s="82" t="s">
        <v>1570</v>
      </c>
      <c r="C111" s="82" t="s">
        <v>1571</v>
      </c>
      <c r="D111" s="82" t="s">
        <v>1571</v>
      </c>
      <c r="E111" s="80" t="s">
        <v>1572</v>
      </c>
      <c r="F111" s="80"/>
      <c r="G111" s="80" t="s">
        <v>1254</v>
      </c>
      <c r="H111" s="80" t="s">
        <v>18</v>
      </c>
      <c r="I111" s="80" t="s">
        <v>1573</v>
      </c>
      <c r="J111" s="82" t="s">
        <v>709</v>
      </c>
      <c r="K111" s="82" t="s">
        <v>646</v>
      </c>
      <c r="L111" s="82" t="s">
        <v>479</v>
      </c>
      <c r="M111" s="82" t="s">
        <v>480</v>
      </c>
      <c r="N111" s="82" t="s">
        <v>357</v>
      </c>
      <c r="O111" s="82" t="s">
        <v>358</v>
      </c>
      <c r="P111" s="82"/>
      <c r="Q111" s="130" t="s">
        <v>1222</v>
      </c>
      <c r="R111" s="132" t="s">
        <v>1733</v>
      </c>
      <c r="S111" s="132"/>
    </row>
    <row r="112" spans="1:19" ht="14.25" x14ac:dyDescent="0.2">
      <c r="A112" s="102" t="s">
        <v>1574</v>
      </c>
      <c r="B112" s="82" t="s">
        <v>1575</v>
      </c>
      <c r="C112" s="82" t="s">
        <v>781</v>
      </c>
      <c r="D112" s="82" t="s">
        <v>781</v>
      </c>
      <c r="E112" s="80" t="s">
        <v>1576</v>
      </c>
      <c r="F112" s="80"/>
      <c r="G112" s="80" t="s">
        <v>1249</v>
      </c>
      <c r="H112" s="80" t="s">
        <v>18</v>
      </c>
      <c r="I112" s="80" t="s">
        <v>1577</v>
      </c>
      <c r="J112" s="82" t="s">
        <v>655</v>
      </c>
      <c r="K112" s="82" t="s">
        <v>646</v>
      </c>
      <c r="L112" s="82" t="s">
        <v>477</v>
      </c>
      <c r="M112" s="82" t="s">
        <v>478</v>
      </c>
      <c r="N112" s="82" t="s">
        <v>354</v>
      </c>
      <c r="O112" s="82" t="s">
        <v>355</v>
      </c>
      <c r="P112" s="82"/>
      <c r="Q112" s="130" t="s">
        <v>1222</v>
      </c>
      <c r="R112" s="132" t="s">
        <v>1733</v>
      </c>
      <c r="S112" s="132"/>
    </row>
    <row r="113" spans="1:19" ht="14.25" x14ac:dyDescent="0.2">
      <c r="A113" s="102" t="s">
        <v>1578</v>
      </c>
      <c r="B113" s="84" t="s">
        <v>1579</v>
      </c>
      <c r="C113" s="82" t="s">
        <v>1580</v>
      </c>
      <c r="D113" s="82" t="s">
        <v>1580</v>
      </c>
      <c r="E113" s="80" t="s">
        <v>1581</v>
      </c>
      <c r="F113" s="80" t="s">
        <v>1582</v>
      </c>
      <c r="G113" s="80" t="s">
        <v>1463</v>
      </c>
      <c r="H113" s="80" t="s">
        <v>18</v>
      </c>
      <c r="I113" s="80" t="s">
        <v>1583</v>
      </c>
      <c r="J113" s="82" t="s">
        <v>709</v>
      </c>
      <c r="K113" s="82" t="s">
        <v>646</v>
      </c>
      <c r="L113" s="82" t="s">
        <v>533</v>
      </c>
      <c r="M113" s="82" t="s">
        <v>534</v>
      </c>
      <c r="N113" s="82" t="s">
        <v>414</v>
      </c>
      <c r="O113" s="82" t="s">
        <v>415</v>
      </c>
      <c r="P113" s="82"/>
      <c r="Q113" s="130" t="s">
        <v>1222</v>
      </c>
      <c r="R113" s="132" t="s">
        <v>1733</v>
      </c>
      <c r="S113" s="132"/>
    </row>
    <row r="114" spans="1:19" ht="14.25" x14ac:dyDescent="0.2">
      <c r="A114" s="102" t="s">
        <v>1584</v>
      </c>
      <c r="B114" s="82" t="s">
        <v>1585</v>
      </c>
      <c r="C114" s="82" t="s">
        <v>1586</v>
      </c>
      <c r="D114" s="82" t="s">
        <v>1586</v>
      </c>
      <c r="E114" s="80" t="s">
        <v>1587</v>
      </c>
      <c r="F114" s="80" t="s">
        <v>1307</v>
      </c>
      <c r="G114" s="80" t="s">
        <v>1552</v>
      </c>
      <c r="H114" s="80" t="s">
        <v>18</v>
      </c>
      <c r="I114" s="80" t="s">
        <v>1588</v>
      </c>
      <c r="J114" s="82" t="s">
        <v>655</v>
      </c>
      <c r="K114" s="82" t="s">
        <v>646</v>
      </c>
      <c r="L114" s="82" t="s">
        <v>526</v>
      </c>
      <c r="M114" s="82" t="s">
        <v>527</v>
      </c>
      <c r="N114" s="82"/>
      <c r="O114" s="82" t="s">
        <v>408</v>
      </c>
      <c r="P114" s="82"/>
      <c r="Q114" s="130" t="s">
        <v>1222</v>
      </c>
      <c r="R114" s="132" t="s">
        <v>1733</v>
      </c>
      <c r="S114" s="132"/>
    </row>
    <row r="115" spans="1:19" ht="14.25" x14ac:dyDescent="0.2">
      <c r="A115" s="102" t="s">
        <v>1589</v>
      </c>
      <c r="B115" s="82" t="s">
        <v>1590</v>
      </c>
      <c r="C115" s="82" t="s">
        <v>1591</v>
      </c>
      <c r="D115" s="82" t="s">
        <v>1591</v>
      </c>
      <c r="E115" s="80" t="s">
        <v>1592</v>
      </c>
      <c r="F115" s="80" t="s">
        <v>1251</v>
      </c>
      <c r="G115" s="80" t="s">
        <v>1254</v>
      </c>
      <c r="H115" s="80" t="s">
        <v>18</v>
      </c>
      <c r="I115" s="80" t="s">
        <v>1593</v>
      </c>
      <c r="J115" s="82" t="s">
        <v>655</v>
      </c>
      <c r="K115" s="82" t="s">
        <v>646</v>
      </c>
      <c r="L115" s="82" t="s">
        <v>501</v>
      </c>
      <c r="M115" s="82" t="s">
        <v>502</v>
      </c>
      <c r="N115" s="82" t="s">
        <v>503</v>
      </c>
      <c r="O115" s="82" t="s">
        <v>504</v>
      </c>
      <c r="P115" s="82"/>
      <c r="Q115" s="130" t="s">
        <v>1222</v>
      </c>
      <c r="R115" s="132" t="s">
        <v>1733</v>
      </c>
      <c r="S115" s="132"/>
    </row>
    <row r="116" spans="1:19" ht="14.25" x14ac:dyDescent="0.2">
      <c r="A116" s="102" t="s">
        <v>1594</v>
      </c>
      <c r="B116" s="82" t="s">
        <v>1595</v>
      </c>
      <c r="C116" s="82" t="s">
        <v>1596</v>
      </c>
      <c r="D116" s="82" t="s">
        <v>1596</v>
      </c>
      <c r="E116" s="80" t="s">
        <v>1597</v>
      </c>
      <c r="F116" s="80"/>
      <c r="G116" s="80" t="s">
        <v>1552</v>
      </c>
      <c r="H116" s="80" t="s">
        <v>18</v>
      </c>
      <c r="I116" s="80" t="s">
        <v>1598</v>
      </c>
      <c r="J116" s="82" t="s">
        <v>709</v>
      </c>
      <c r="K116" s="82" t="s">
        <v>646</v>
      </c>
      <c r="L116" s="82" t="s">
        <v>510</v>
      </c>
      <c r="M116" s="82" t="s">
        <v>511</v>
      </c>
      <c r="N116" s="82" t="s">
        <v>388</v>
      </c>
      <c r="O116" s="82" t="s">
        <v>389</v>
      </c>
      <c r="P116" s="82"/>
      <c r="Q116" s="130" t="s">
        <v>1222</v>
      </c>
      <c r="R116" s="132" t="s">
        <v>1733</v>
      </c>
      <c r="S116" s="132"/>
    </row>
    <row r="117" spans="1:19" ht="14.25" x14ac:dyDescent="0.2">
      <c r="A117" s="102" t="s">
        <v>1599</v>
      </c>
      <c r="B117" s="82" t="s">
        <v>1600</v>
      </c>
      <c r="C117" s="82" t="s">
        <v>74</v>
      </c>
      <c r="D117" s="82" t="s">
        <v>74</v>
      </c>
      <c r="E117" s="80" t="s">
        <v>1601</v>
      </c>
      <c r="F117" s="80"/>
      <c r="G117" s="80" t="s">
        <v>1552</v>
      </c>
      <c r="H117" s="80" t="s">
        <v>18</v>
      </c>
      <c r="I117" s="80" t="s">
        <v>1602</v>
      </c>
      <c r="J117" s="82" t="s">
        <v>645</v>
      </c>
      <c r="K117" s="82" t="s">
        <v>646</v>
      </c>
      <c r="L117" s="82" t="s">
        <v>517</v>
      </c>
      <c r="M117" s="82" t="s">
        <v>518</v>
      </c>
      <c r="N117" s="82" t="s">
        <v>395</v>
      </c>
      <c r="O117" s="82" t="s">
        <v>396</v>
      </c>
      <c r="P117" s="82"/>
      <c r="Q117" s="130" t="s">
        <v>1222</v>
      </c>
      <c r="R117" s="132" t="s">
        <v>1733</v>
      </c>
      <c r="S117" s="132"/>
    </row>
    <row r="118" spans="1:19" ht="14.25" x14ac:dyDescent="0.2">
      <c r="A118" s="102" t="s">
        <v>1603</v>
      </c>
      <c r="B118" s="82" t="s">
        <v>1604</v>
      </c>
      <c r="C118" s="82" t="s">
        <v>1605</v>
      </c>
      <c r="D118" s="82" t="s">
        <v>1606</v>
      </c>
      <c r="E118" s="80" t="s">
        <v>1532</v>
      </c>
      <c r="F118" s="80"/>
      <c r="G118" s="80" t="s">
        <v>1607</v>
      </c>
      <c r="H118" s="80" t="s">
        <v>18</v>
      </c>
      <c r="I118" s="80" t="s">
        <v>1608</v>
      </c>
      <c r="J118" s="82" t="s">
        <v>655</v>
      </c>
      <c r="K118" s="82" t="s">
        <v>646</v>
      </c>
      <c r="L118" s="82" t="s">
        <v>475</v>
      </c>
      <c r="M118" s="82" t="s">
        <v>476</v>
      </c>
      <c r="N118" s="82" t="s">
        <v>351</v>
      </c>
      <c r="O118" s="82" t="s">
        <v>352</v>
      </c>
      <c r="P118" s="82"/>
      <c r="Q118" s="130" t="s">
        <v>1222</v>
      </c>
      <c r="R118" s="132" t="s">
        <v>1733</v>
      </c>
      <c r="S118" s="132"/>
    </row>
    <row r="119" spans="1:19" ht="14.25" x14ac:dyDescent="0.2">
      <c r="A119" s="102" t="s">
        <v>1609</v>
      </c>
      <c r="B119" s="82" t="s">
        <v>1610</v>
      </c>
      <c r="C119" s="82" t="s">
        <v>1611</v>
      </c>
      <c r="D119" s="82" t="s">
        <v>1612</v>
      </c>
      <c r="E119" s="80" t="s">
        <v>1613</v>
      </c>
      <c r="F119" s="80"/>
      <c r="G119" s="80" t="s">
        <v>1463</v>
      </c>
      <c r="H119" s="80" t="s">
        <v>18</v>
      </c>
      <c r="I119" s="80" t="s">
        <v>1614</v>
      </c>
      <c r="J119" s="82" t="s">
        <v>655</v>
      </c>
      <c r="K119" s="82" t="s">
        <v>646</v>
      </c>
      <c r="L119" s="82" t="s">
        <v>528</v>
      </c>
      <c r="M119" s="82" t="s">
        <v>529</v>
      </c>
      <c r="N119" s="82"/>
      <c r="O119" s="82" t="s">
        <v>410</v>
      </c>
      <c r="P119" s="82"/>
      <c r="Q119" s="130" t="s">
        <v>1222</v>
      </c>
      <c r="R119" s="132" t="s">
        <v>1733</v>
      </c>
      <c r="S119" s="132"/>
    </row>
    <row r="120" spans="1:19" ht="14.25" x14ac:dyDescent="0.2">
      <c r="A120" s="101" t="s">
        <v>1615</v>
      </c>
      <c r="B120" s="80" t="s">
        <v>1616</v>
      </c>
      <c r="C120" s="80" t="s">
        <v>1617</v>
      </c>
      <c r="D120" s="80" t="s">
        <v>1617</v>
      </c>
      <c r="E120" s="80" t="s">
        <v>1618</v>
      </c>
      <c r="F120" s="80" t="s">
        <v>1619</v>
      </c>
      <c r="G120" s="80" t="s">
        <v>1254</v>
      </c>
      <c r="H120" s="80" t="s">
        <v>18</v>
      </c>
      <c r="I120" s="80" t="s">
        <v>1620</v>
      </c>
      <c r="J120" s="80" t="s">
        <v>1621</v>
      </c>
      <c r="K120" s="80" t="s">
        <v>646</v>
      </c>
      <c r="L120" s="80" t="s">
        <v>1622</v>
      </c>
      <c r="M120" s="80" t="s">
        <v>1623</v>
      </c>
      <c r="N120" s="80" t="s">
        <v>1624</v>
      </c>
      <c r="O120" s="80" t="s">
        <v>1625</v>
      </c>
      <c r="P120" s="80"/>
      <c r="Q120" s="131" t="s">
        <v>1626</v>
      </c>
      <c r="R120" s="132"/>
      <c r="S120" s="132"/>
    </row>
    <row r="121" spans="1:19" ht="14.25" x14ac:dyDescent="0.2">
      <c r="A121" s="102" t="s">
        <v>1627</v>
      </c>
      <c r="B121" s="82" t="s">
        <v>1628</v>
      </c>
      <c r="C121" s="82" t="s">
        <v>1629</v>
      </c>
      <c r="D121" s="82" t="s">
        <v>1630</v>
      </c>
      <c r="E121" s="80" t="s">
        <v>835</v>
      </c>
      <c r="F121" s="80" t="s">
        <v>1307</v>
      </c>
      <c r="G121" s="80" t="s">
        <v>1249</v>
      </c>
      <c r="H121" s="80" t="s">
        <v>18</v>
      </c>
      <c r="I121" s="80" t="s">
        <v>1250</v>
      </c>
      <c r="J121" s="82" t="s">
        <v>655</v>
      </c>
      <c r="K121" s="82" t="s">
        <v>646</v>
      </c>
      <c r="L121" s="82" t="s">
        <v>473</v>
      </c>
      <c r="M121" s="82" t="s">
        <v>474</v>
      </c>
      <c r="N121" s="82" t="s">
        <v>348</v>
      </c>
      <c r="O121" s="82" t="s">
        <v>349</v>
      </c>
      <c r="P121" s="82"/>
      <c r="Q121" s="130" t="s">
        <v>1222</v>
      </c>
      <c r="R121" s="132" t="s">
        <v>1733</v>
      </c>
      <c r="S121" s="132"/>
    </row>
    <row r="122" spans="1:19" ht="14.25" x14ac:dyDescent="0.2">
      <c r="A122" s="102" t="s">
        <v>1221</v>
      </c>
      <c r="B122" s="82" t="s">
        <v>557</v>
      </c>
      <c r="C122" s="82" t="s">
        <v>1631</v>
      </c>
      <c r="D122" s="82" t="s">
        <v>1632</v>
      </c>
      <c r="E122" s="80" t="s">
        <v>1633</v>
      </c>
      <c r="F122" s="80"/>
      <c r="G122" s="80" t="s">
        <v>1254</v>
      </c>
      <c r="H122" s="80" t="s">
        <v>18</v>
      </c>
      <c r="I122" s="80" t="s">
        <v>1634</v>
      </c>
      <c r="J122" s="82" t="s">
        <v>693</v>
      </c>
      <c r="K122" s="82" t="s">
        <v>646</v>
      </c>
      <c r="L122" s="82" t="s">
        <v>558</v>
      </c>
      <c r="M122" s="82" t="s">
        <v>559</v>
      </c>
      <c r="N122" s="82" t="s">
        <v>560</v>
      </c>
      <c r="O122" s="82" t="s">
        <v>561</v>
      </c>
      <c r="P122" s="82"/>
      <c r="Q122" s="130" t="s">
        <v>1222</v>
      </c>
      <c r="R122" s="132" t="s">
        <v>1733</v>
      </c>
      <c r="S122" s="132"/>
    </row>
    <row r="123" spans="1:19" ht="14.25" x14ac:dyDescent="0.2">
      <c r="A123" s="102" t="s">
        <v>1635</v>
      </c>
      <c r="B123" s="82" t="s">
        <v>1636</v>
      </c>
      <c r="C123" s="82" t="s">
        <v>1637</v>
      </c>
      <c r="D123" s="82" t="s">
        <v>1638</v>
      </c>
      <c r="E123" s="80" t="s">
        <v>1639</v>
      </c>
      <c r="F123" s="80" t="s">
        <v>1378</v>
      </c>
      <c r="G123" s="80" t="s">
        <v>1337</v>
      </c>
      <c r="H123" s="80" t="s">
        <v>18</v>
      </c>
      <c r="I123" s="80" t="s">
        <v>1640</v>
      </c>
      <c r="J123" s="82" t="s">
        <v>655</v>
      </c>
      <c r="K123" s="82" t="s">
        <v>646</v>
      </c>
      <c r="L123" s="82" t="s">
        <v>512</v>
      </c>
      <c r="M123" s="82" t="s">
        <v>513</v>
      </c>
      <c r="N123" s="82" t="s">
        <v>1641</v>
      </c>
      <c r="O123" s="82" t="s">
        <v>1642</v>
      </c>
      <c r="P123" s="82"/>
      <c r="Q123" s="130" t="s">
        <v>1222</v>
      </c>
      <c r="R123" s="132" t="s">
        <v>1733</v>
      </c>
      <c r="S123" s="132"/>
    </row>
    <row r="124" spans="1:19" ht="14.25" x14ac:dyDescent="0.2">
      <c r="A124" s="102" t="s">
        <v>1643</v>
      </c>
      <c r="B124" s="82" t="s">
        <v>1644</v>
      </c>
      <c r="C124" s="82" t="s">
        <v>1645</v>
      </c>
      <c r="D124" s="82" t="s">
        <v>1646</v>
      </c>
      <c r="E124" s="80" t="s">
        <v>1647</v>
      </c>
      <c r="F124" s="80" t="s">
        <v>1307</v>
      </c>
      <c r="G124" s="80" t="s">
        <v>1648</v>
      </c>
      <c r="H124" s="80" t="s">
        <v>18</v>
      </c>
      <c r="I124" s="80" t="s">
        <v>1649</v>
      </c>
      <c r="J124" s="82" t="s">
        <v>655</v>
      </c>
      <c r="K124" s="82" t="s">
        <v>646</v>
      </c>
      <c r="L124" s="82" t="s">
        <v>1650</v>
      </c>
      <c r="M124" s="82" t="s">
        <v>519</v>
      </c>
      <c r="N124" s="82" t="s">
        <v>1651</v>
      </c>
      <c r="O124" s="82" t="s">
        <v>1652</v>
      </c>
      <c r="P124" s="82"/>
      <c r="Q124" s="130" t="s">
        <v>1222</v>
      </c>
      <c r="R124" s="132" t="s">
        <v>1733</v>
      </c>
      <c r="S124" s="132"/>
    </row>
    <row r="125" spans="1:19" ht="14.25" x14ac:dyDescent="0.2">
      <c r="A125" s="102" t="s">
        <v>1653</v>
      </c>
      <c r="B125" s="82" t="s">
        <v>1654</v>
      </c>
      <c r="C125" s="82" t="s">
        <v>1655</v>
      </c>
      <c r="D125" s="82" t="s">
        <v>1656</v>
      </c>
      <c r="E125" s="80" t="s">
        <v>1657</v>
      </c>
      <c r="F125" s="80" t="s">
        <v>1658</v>
      </c>
      <c r="G125" s="80" t="s">
        <v>1249</v>
      </c>
      <c r="H125" s="80" t="s">
        <v>18</v>
      </c>
      <c r="I125" s="80" t="s">
        <v>1659</v>
      </c>
      <c r="J125" s="82" t="s">
        <v>655</v>
      </c>
      <c r="K125" s="82" t="s">
        <v>646</v>
      </c>
      <c r="L125" s="82" t="s">
        <v>486</v>
      </c>
      <c r="M125" s="82" t="s">
        <v>487</v>
      </c>
      <c r="N125" s="82" t="s">
        <v>366</v>
      </c>
      <c r="O125" s="82" t="s">
        <v>367</v>
      </c>
      <c r="P125" s="82"/>
      <c r="Q125" s="130" t="s">
        <v>1222</v>
      </c>
      <c r="R125" s="132" t="s">
        <v>1733</v>
      </c>
      <c r="S125" s="132"/>
    </row>
    <row r="126" spans="1:19" ht="14.25" x14ac:dyDescent="0.2">
      <c r="A126" s="158" t="s">
        <v>1176</v>
      </c>
      <c r="B126" s="159" t="s">
        <v>1177</v>
      </c>
      <c r="C126" s="159" t="s">
        <v>1178</v>
      </c>
      <c r="D126" s="159" t="s">
        <v>1178</v>
      </c>
      <c r="E126" s="80" t="s">
        <v>1660</v>
      </c>
      <c r="F126" s="80"/>
      <c r="G126" s="80" t="s">
        <v>1661</v>
      </c>
      <c r="H126" s="80" t="s">
        <v>18</v>
      </c>
      <c r="I126" s="80" t="s">
        <v>1662</v>
      </c>
      <c r="J126" s="159" t="s">
        <v>709</v>
      </c>
      <c r="K126" s="159" t="s">
        <v>646</v>
      </c>
      <c r="L126" s="159" t="s">
        <v>1179</v>
      </c>
      <c r="M126" s="159" t="s">
        <v>1069</v>
      </c>
      <c r="N126" s="159"/>
      <c r="O126" s="159" t="s">
        <v>1180</v>
      </c>
      <c r="P126" s="159"/>
      <c r="Q126" s="161" t="s">
        <v>1181</v>
      </c>
      <c r="R126" s="162"/>
      <c r="S126" s="162"/>
    </row>
    <row r="127" spans="1:19" ht="14.25" x14ac:dyDescent="0.2">
      <c r="A127" s="102" t="s">
        <v>1663</v>
      </c>
      <c r="B127" s="82" t="s">
        <v>1664</v>
      </c>
      <c r="C127" s="82" t="s">
        <v>1665</v>
      </c>
      <c r="D127" s="82" t="s">
        <v>1666</v>
      </c>
      <c r="E127" s="80" t="s">
        <v>1667</v>
      </c>
      <c r="F127" s="80"/>
      <c r="G127" s="80" t="s">
        <v>1249</v>
      </c>
      <c r="H127" s="80" t="s">
        <v>18</v>
      </c>
      <c r="I127" s="80" t="s">
        <v>1668</v>
      </c>
      <c r="J127" s="82" t="s">
        <v>655</v>
      </c>
      <c r="K127" s="82" t="s">
        <v>646</v>
      </c>
      <c r="L127" s="82" t="s">
        <v>492</v>
      </c>
      <c r="M127" s="82" t="s">
        <v>493</v>
      </c>
      <c r="N127" s="82" t="s">
        <v>373</v>
      </c>
      <c r="O127" s="82" t="s">
        <v>374</v>
      </c>
      <c r="P127" s="82"/>
      <c r="Q127" s="130" t="s">
        <v>1222</v>
      </c>
      <c r="R127" s="132" t="s">
        <v>1733</v>
      </c>
      <c r="S127" s="132"/>
    </row>
    <row r="128" spans="1:19" ht="14.25" x14ac:dyDescent="0.2">
      <c r="A128" s="102" t="s">
        <v>1669</v>
      </c>
      <c r="B128" s="82" t="s">
        <v>1670</v>
      </c>
      <c r="C128" s="82" t="s">
        <v>1671</v>
      </c>
      <c r="D128" s="82" t="s">
        <v>1671</v>
      </c>
      <c r="E128" s="80" t="s">
        <v>1672</v>
      </c>
      <c r="F128" s="80"/>
      <c r="G128" s="80" t="s">
        <v>1661</v>
      </c>
      <c r="H128" s="80" t="s">
        <v>18</v>
      </c>
      <c r="I128" s="80" t="s">
        <v>1673</v>
      </c>
      <c r="J128" s="82" t="s">
        <v>709</v>
      </c>
      <c r="K128" s="82" t="s">
        <v>646</v>
      </c>
      <c r="L128" s="82" t="s">
        <v>1674</v>
      </c>
      <c r="M128" s="82" t="s">
        <v>488</v>
      </c>
      <c r="N128" s="82" t="s">
        <v>1675</v>
      </c>
      <c r="O128" s="82" t="s">
        <v>1676</v>
      </c>
      <c r="P128" s="82"/>
      <c r="Q128" s="130" t="s">
        <v>1222</v>
      </c>
      <c r="R128" s="132" t="s">
        <v>1733</v>
      </c>
      <c r="S128" s="132"/>
    </row>
    <row r="129" spans="1:19" ht="14.25" x14ac:dyDescent="0.2">
      <c r="A129" s="102" t="s">
        <v>1677</v>
      </c>
      <c r="B129" s="82" t="s">
        <v>1678</v>
      </c>
      <c r="C129" s="82" t="s">
        <v>1679</v>
      </c>
      <c r="D129" s="82" t="s">
        <v>1680</v>
      </c>
      <c r="E129" s="80" t="s">
        <v>1681</v>
      </c>
      <c r="F129" s="80" t="s">
        <v>1532</v>
      </c>
      <c r="G129" s="80" t="s">
        <v>1247</v>
      </c>
      <c r="H129" s="80" t="s">
        <v>18</v>
      </c>
      <c r="I129" s="80" t="s">
        <v>1682</v>
      </c>
      <c r="J129" s="82" t="s">
        <v>709</v>
      </c>
      <c r="K129" s="82" t="s">
        <v>646</v>
      </c>
      <c r="L129" s="82" t="s">
        <v>514</v>
      </c>
      <c r="M129" s="82" t="s">
        <v>515</v>
      </c>
      <c r="N129" s="82" t="s">
        <v>392</v>
      </c>
      <c r="O129" s="82" t="s">
        <v>393</v>
      </c>
      <c r="P129" s="82"/>
      <c r="Q129" s="130" t="s">
        <v>1222</v>
      </c>
      <c r="R129" s="132" t="s">
        <v>1733</v>
      </c>
      <c r="S129" s="132"/>
    </row>
    <row r="130" spans="1:19" ht="14.25" x14ac:dyDescent="0.2">
      <c r="A130" s="102" t="s">
        <v>1683</v>
      </c>
      <c r="B130" s="82" t="s">
        <v>1684</v>
      </c>
      <c r="C130" s="82" t="s">
        <v>1685</v>
      </c>
      <c r="D130" s="82" t="s">
        <v>1686</v>
      </c>
      <c r="E130" s="82" t="s">
        <v>1687</v>
      </c>
      <c r="F130" s="82"/>
      <c r="G130" s="82" t="s">
        <v>1254</v>
      </c>
      <c r="H130" s="82" t="s">
        <v>18</v>
      </c>
      <c r="I130" s="82" t="s">
        <v>1688</v>
      </c>
      <c r="J130" s="82" t="s">
        <v>1621</v>
      </c>
      <c r="K130" s="82" t="s">
        <v>646</v>
      </c>
      <c r="L130" s="82" t="s">
        <v>1087</v>
      </c>
      <c r="M130" s="82" t="s">
        <v>1689</v>
      </c>
      <c r="N130" s="82" t="s">
        <v>1690</v>
      </c>
      <c r="O130" s="82" t="s">
        <v>1691</v>
      </c>
      <c r="P130" s="82"/>
      <c r="Q130" s="130" t="s">
        <v>1626</v>
      </c>
      <c r="R130" s="132" t="s">
        <v>1733</v>
      </c>
      <c r="S130" s="132"/>
    </row>
    <row r="131" spans="1:19" ht="14.25" x14ac:dyDescent="0.2">
      <c r="A131" s="103" t="s">
        <v>1692</v>
      </c>
      <c r="B131" s="83" t="s">
        <v>1693</v>
      </c>
      <c r="C131" s="83" t="s">
        <v>1694</v>
      </c>
      <c r="D131" s="83" t="s">
        <v>1695</v>
      </c>
      <c r="E131" s="83" t="s">
        <v>1696</v>
      </c>
      <c r="F131" s="83"/>
      <c r="G131" s="83" t="s">
        <v>1249</v>
      </c>
      <c r="H131" s="83" t="s">
        <v>18</v>
      </c>
      <c r="I131" s="83" t="s">
        <v>1697</v>
      </c>
      <c r="J131" s="83" t="s">
        <v>655</v>
      </c>
      <c r="K131" s="83" t="s">
        <v>646</v>
      </c>
      <c r="L131" s="83" t="s">
        <v>1698</v>
      </c>
      <c r="M131" s="83" t="s">
        <v>1699</v>
      </c>
      <c r="N131" s="83" t="s">
        <v>1700</v>
      </c>
      <c r="O131" s="83" t="s">
        <v>1701</v>
      </c>
      <c r="P131" s="83"/>
      <c r="Q131" s="144" t="s">
        <v>1702</v>
      </c>
      <c r="R131" s="145"/>
      <c r="S131" s="145"/>
    </row>
    <row r="132" spans="1:19" ht="14.25" x14ac:dyDescent="0.2">
      <c r="A132" s="102" t="s">
        <v>634</v>
      </c>
      <c r="B132" s="82" t="s">
        <v>1182</v>
      </c>
      <c r="C132" s="82" t="s">
        <v>1183</v>
      </c>
      <c r="D132" s="82" t="s">
        <v>1184</v>
      </c>
      <c r="E132" s="80" t="s">
        <v>1703</v>
      </c>
      <c r="F132" s="80"/>
      <c r="G132" s="80" t="s">
        <v>1704</v>
      </c>
      <c r="H132" s="80" t="s">
        <v>18</v>
      </c>
      <c r="I132" s="80" t="s">
        <v>1705</v>
      </c>
      <c r="J132" s="82" t="s">
        <v>709</v>
      </c>
      <c r="K132" s="82" t="s">
        <v>646</v>
      </c>
      <c r="L132" s="82" t="s">
        <v>1185</v>
      </c>
      <c r="M132" s="82" t="s">
        <v>1186</v>
      </c>
      <c r="N132" s="82" t="s">
        <v>1187</v>
      </c>
      <c r="O132" s="82" t="s">
        <v>1188</v>
      </c>
      <c r="P132" s="82"/>
      <c r="Q132" s="130" t="s">
        <v>568</v>
      </c>
      <c r="R132" s="132" t="s">
        <v>1733</v>
      </c>
      <c r="S132" s="132"/>
    </row>
    <row r="133" spans="1:19" ht="14.25" x14ac:dyDescent="0.2">
      <c r="A133" s="101" t="s">
        <v>1189</v>
      </c>
      <c r="B133" s="80" t="s">
        <v>1190</v>
      </c>
      <c r="C133" s="80" t="s">
        <v>1191</v>
      </c>
      <c r="D133" s="80" t="s">
        <v>1192</v>
      </c>
      <c r="E133" s="80" t="s">
        <v>1706</v>
      </c>
      <c r="F133" s="80"/>
      <c r="G133" s="80" t="s">
        <v>1280</v>
      </c>
      <c r="H133" s="80" t="s">
        <v>18</v>
      </c>
      <c r="I133" s="80" t="s">
        <v>1707</v>
      </c>
      <c r="J133" s="80" t="s">
        <v>655</v>
      </c>
      <c r="K133" s="80" t="s">
        <v>646</v>
      </c>
      <c r="L133" s="80" t="s">
        <v>58</v>
      </c>
      <c r="M133" s="80" t="s">
        <v>485</v>
      </c>
      <c r="N133" s="80"/>
      <c r="O133" s="80" t="s">
        <v>1193</v>
      </c>
      <c r="P133" s="80"/>
      <c r="Q133" s="131" t="s">
        <v>568</v>
      </c>
      <c r="R133" s="132"/>
      <c r="S133" s="132"/>
    </row>
    <row r="134" spans="1:19" ht="14.25" x14ac:dyDescent="0.2">
      <c r="A134" s="101" t="s">
        <v>1194</v>
      </c>
      <c r="B134" s="101" t="s">
        <v>1195</v>
      </c>
      <c r="C134" s="80" t="s">
        <v>1196</v>
      </c>
      <c r="D134" s="131" t="s">
        <v>1197</v>
      </c>
      <c r="E134" s="80"/>
      <c r="F134" s="80"/>
      <c r="G134" s="80" t="s">
        <v>1249</v>
      </c>
      <c r="H134" s="80" t="s">
        <v>20</v>
      </c>
      <c r="I134" s="80" t="s">
        <v>1708</v>
      </c>
      <c r="J134" s="80" t="s">
        <v>655</v>
      </c>
      <c r="K134" s="101" t="s">
        <v>646</v>
      </c>
      <c r="L134" s="80"/>
      <c r="M134" s="80" t="s">
        <v>876</v>
      </c>
      <c r="N134" s="80" t="s">
        <v>1758</v>
      </c>
      <c r="O134" s="131" t="s">
        <v>876</v>
      </c>
      <c r="P134" s="80"/>
      <c r="Q134" s="157" t="s">
        <v>568</v>
      </c>
      <c r="R134" s="132"/>
      <c r="S134" s="132"/>
    </row>
    <row r="135" spans="1:19" ht="14.25" x14ac:dyDescent="0.2">
      <c r="A135" s="82" t="s">
        <v>1198</v>
      </c>
      <c r="B135" s="82" t="s">
        <v>1199</v>
      </c>
      <c r="C135" s="82" t="s">
        <v>1200</v>
      </c>
      <c r="D135" s="82" t="s">
        <v>1201</v>
      </c>
      <c r="E135" s="82" t="s">
        <v>1310</v>
      </c>
      <c r="F135" s="82"/>
      <c r="G135" s="82" t="s">
        <v>1245</v>
      </c>
      <c r="H135" s="82" t="s">
        <v>18</v>
      </c>
      <c r="I135" s="82" t="s">
        <v>1709</v>
      </c>
      <c r="J135" s="82" t="s">
        <v>709</v>
      </c>
      <c r="K135" s="82" t="s">
        <v>646</v>
      </c>
      <c r="L135" s="82" t="s">
        <v>1202</v>
      </c>
      <c r="M135" s="82" t="s">
        <v>1203</v>
      </c>
      <c r="N135" s="82" t="s">
        <v>1204</v>
      </c>
      <c r="O135" s="82" t="s">
        <v>1205</v>
      </c>
      <c r="P135" s="82"/>
      <c r="Q135" s="82" t="s">
        <v>568</v>
      </c>
      <c r="R135" s="119" t="s">
        <v>1733</v>
      </c>
      <c r="S135" s="119"/>
    </row>
    <row r="136" spans="1:19" ht="14.25" x14ac:dyDescent="0.2">
      <c r="A136" s="82" t="s">
        <v>635</v>
      </c>
      <c r="B136" s="82" t="s">
        <v>1206</v>
      </c>
      <c r="C136" s="82" t="s">
        <v>1207</v>
      </c>
      <c r="D136" s="82" t="s">
        <v>1208</v>
      </c>
      <c r="E136" s="80" t="s">
        <v>1710</v>
      </c>
      <c r="F136" s="80" t="s">
        <v>1711</v>
      </c>
      <c r="G136" s="80" t="s">
        <v>1249</v>
      </c>
      <c r="H136" s="80" t="s">
        <v>18</v>
      </c>
      <c r="I136" s="80" t="s">
        <v>1712</v>
      </c>
      <c r="J136" s="82" t="s">
        <v>709</v>
      </c>
      <c r="K136" s="82" t="s">
        <v>646</v>
      </c>
      <c r="L136" s="82" t="s">
        <v>1209</v>
      </c>
      <c r="M136" s="82" t="s">
        <v>1210</v>
      </c>
      <c r="N136" s="82" t="s">
        <v>1211</v>
      </c>
      <c r="O136" s="82" t="s">
        <v>1212</v>
      </c>
      <c r="P136" s="82"/>
      <c r="Q136" s="82" t="s">
        <v>568</v>
      </c>
      <c r="R136" s="119" t="s">
        <v>1733</v>
      </c>
      <c r="S136" s="119"/>
    </row>
    <row r="137" spans="1:19" ht="14.25" x14ac:dyDescent="0.2">
      <c r="A137" s="83" t="s">
        <v>1713</v>
      </c>
      <c r="B137" s="83" t="s">
        <v>1714</v>
      </c>
      <c r="C137" s="83" t="s">
        <v>1617</v>
      </c>
      <c r="D137" s="83" t="s">
        <v>1617</v>
      </c>
      <c r="E137" s="83" t="s">
        <v>1618</v>
      </c>
      <c r="F137" s="83" t="s">
        <v>1619</v>
      </c>
      <c r="G137" s="83" t="s">
        <v>1254</v>
      </c>
      <c r="H137" s="83" t="s">
        <v>18</v>
      </c>
      <c r="I137" s="83" t="s">
        <v>1620</v>
      </c>
      <c r="J137" s="83" t="s">
        <v>709</v>
      </c>
      <c r="K137" s="83" t="s">
        <v>646</v>
      </c>
      <c r="L137" s="83" t="s">
        <v>1715</v>
      </c>
      <c r="M137" s="83" t="s">
        <v>1716</v>
      </c>
      <c r="N137" s="83" t="s">
        <v>1717</v>
      </c>
      <c r="O137" s="83" t="s">
        <v>1718</v>
      </c>
      <c r="P137" s="83"/>
      <c r="Q137" s="83" t="s">
        <v>1702</v>
      </c>
      <c r="R137" s="123"/>
      <c r="S137" s="123"/>
    </row>
    <row r="138" spans="1:19" ht="14.25" x14ac:dyDescent="0.2">
      <c r="A138" s="82" t="s">
        <v>1213</v>
      </c>
      <c r="B138" s="82" t="s">
        <v>1214</v>
      </c>
      <c r="C138" s="82" t="s">
        <v>1215</v>
      </c>
      <c r="D138" s="82" t="s">
        <v>1216</v>
      </c>
      <c r="E138" s="82" t="s">
        <v>1703</v>
      </c>
      <c r="F138" s="82"/>
      <c r="G138" s="82" t="s">
        <v>1280</v>
      </c>
      <c r="H138" s="82" t="s">
        <v>18</v>
      </c>
      <c r="I138" s="82" t="s">
        <v>1719</v>
      </c>
      <c r="J138" s="82" t="s">
        <v>655</v>
      </c>
      <c r="K138" s="82" t="s">
        <v>646</v>
      </c>
      <c r="L138" s="82" t="s">
        <v>1217</v>
      </c>
      <c r="M138" s="82" t="s">
        <v>1218</v>
      </c>
      <c r="N138" s="82" t="s">
        <v>1219</v>
      </c>
      <c r="O138" s="82" t="s">
        <v>1220</v>
      </c>
      <c r="P138" s="82"/>
      <c r="Q138" s="82" t="s">
        <v>568</v>
      </c>
      <c r="R138" s="119" t="s">
        <v>1733</v>
      </c>
      <c r="S138" s="119"/>
    </row>
    <row r="139" spans="1:19" ht="14.25" x14ac:dyDescent="0.2">
      <c r="A139" s="82" t="s">
        <v>1720</v>
      </c>
      <c r="B139" s="77" t="s">
        <v>1223</v>
      </c>
      <c r="C139" s="77" t="s">
        <v>86</v>
      </c>
      <c r="D139" s="77" t="s">
        <v>1224</v>
      </c>
      <c r="E139" s="80"/>
      <c r="F139" s="80"/>
      <c r="G139" s="80"/>
      <c r="H139" s="80"/>
      <c r="I139" s="80"/>
      <c r="J139" s="82"/>
      <c r="K139" s="77" t="s">
        <v>739</v>
      </c>
      <c r="L139" s="77" t="s">
        <v>1225</v>
      </c>
      <c r="M139" s="77" t="s">
        <v>485</v>
      </c>
      <c r="N139" s="77" t="s">
        <v>1226</v>
      </c>
      <c r="O139" s="77" t="s">
        <v>1227</v>
      </c>
      <c r="P139" s="82"/>
      <c r="Q139" s="77" t="s">
        <v>568</v>
      </c>
      <c r="R139" s="119" t="s">
        <v>1733</v>
      </c>
      <c r="S139" s="119"/>
    </row>
    <row r="140" spans="1:19" ht="14.25" x14ac:dyDescent="0.2">
      <c r="A140" s="133" t="s">
        <v>1721</v>
      </c>
      <c r="B140" s="133" t="s">
        <v>1722</v>
      </c>
      <c r="C140" s="133" t="s">
        <v>1723</v>
      </c>
      <c r="D140" s="133" t="s">
        <v>1722</v>
      </c>
      <c r="E140" s="133"/>
      <c r="F140" s="133"/>
      <c r="G140" s="133"/>
      <c r="H140" s="133"/>
      <c r="I140" s="133"/>
      <c r="J140" s="133" t="s">
        <v>1621</v>
      </c>
      <c r="K140" s="133" t="s">
        <v>646</v>
      </c>
      <c r="L140" s="133" t="s">
        <v>1087</v>
      </c>
      <c r="M140" s="133" t="s">
        <v>1689</v>
      </c>
      <c r="N140" s="133" t="s">
        <v>1690</v>
      </c>
      <c r="O140" s="133" t="s">
        <v>1691</v>
      </c>
      <c r="P140" s="133"/>
      <c r="Q140" s="133" t="s">
        <v>1626</v>
      </c>
      <c r="R140" s="119" t="s">
        <v>1733</v>
      </c>
      <c r="S140" s="119"/>
    </row>
    <row r="141" spans="1:19" ht="14.25" x14ac:dyDescent="0.2">
      <c r="A141" s="150" t="s">
        <v>1771</v>
      </c>
      <c r="B141" s="150" t="s">
        <v>1772</v>
      </c>
      <c r="C141" s="150" t="s">
        <v>1773</v>
      </c>
      <c r="D141" s="150" t="s">
        <v>1774</v>
      </c>
      <c r="E141" s="119"/>
      <c r="F141" s="119"/>
      <c r="G141" s="119" t="s">
        <v>1775</v>
      </c>
      <c r="H141" s="119" t="s">
        <v>20</v>
      </c>
      <c r="I141" s="119" t="s">
        <v>1776</v>
      </c>
      <c r="J141" s="150" t="s">
        <v>655</v>
      </c>
      <c r="K141" s="150" t="s">
        <v>646</v>
      </c>
      <c r="L141" s="150" t="s">
        <v>1777</v>
      </c>
      <c r="M141" s="150" t="s">
        <v>1778</v>
      </c>
      <c r="N141" s="150" t="s">
        <v>1779</v>
      </c>
      <c r="O141" s="150" t="s">
        <v>1780</v>
      </c>
      <c r="P141" s="150"/>
      <c r="Q141" s="150" t="s">
        <v>568</v>
      </c>
      <c r="R141" s="150"/>
      <c r="S141" s="152" t="s">
        <v>3823</v>
      </c>
    </row>
    <row r="142" spans="1:19" ht="14.25" x14ac:dyDescent="0.2">
      <c r="A142" s="119" t="s">
        <v>1781</v>
      </c>
      <c r="B142" s="119" t="s">
        <v>1782</v>
      </c>
      <c r="C142" s="119" t="s">
        <v>1783</v>
      </c>
      <c r="D142" s="119" t="s">
        <v>1782</v>
      </c>
      <c r="E142" s="119"/>
      <c r="F142" s="119"/>
      <c r="G142" s="119" t="s">
        <v>1784</v>
      </c>
      <c r="H142" s="119" t="s">
        <v>20</v>
      </c>
      <c r="I142" s="119" t="s">
        <v>1785</v>
      </c>
      <c r="J142" s="119" t="s">
        <v>645</v>
      </c>
      <c r="K142" s="119" t="s">
        <v>646</v>
      </c>
      <c r="L142" s="119" t="s">
        <v>1786</v>
      </c>
      <c r="M142" s="119" t="s">
        <v>1787</v>
      </c>
      <c r="N142" s="119" t="s">
        <v>3645</v>
      </c>
      <c r="O142" s="119" t="s">
        <v>1788</v>
      </c>
      <c r="P142" s="119"/>
      <c r="Q142" s="119" t="s">
        <v>568</v>
      </c>
      <c r="R142" s="119"/>
      <c r="S142" s="119"/>
    </row>
    <row r="143" spans="1:19" ht="14.25" x14ac:dyDescent="0.2">
      <c r="A143" s="123" t="s">
        <v>1789</v>
      </c>
      <c r="B143" s="123" t="s">
        <v>1790</v>
      </c>
      <c r="C143" s="123" t="s">
        <v>1791</v>
      </c>
      <c r="D143" s="123" t="s">
        <v>1792</v>
      </c>
      <c r="E143" s="119" t="s">
        <v>1793</v>
      </c>
      <c r="F143" s="119" t="s">
        <v>1794</v>
      </c>
      <c r="G143" s="119" t="s">
        <v>1795</v>
      </c>
      <c r="H143" s="119" t="s">
        <v>20</v>
      </c>
      <c r="I143" s="119" t="s">
        <v>1796</v>
      </c>
      <c r="J143" s="123" t="s">
        <v>645</v>
      </c>
      <c r="K143" s="123" t="s">
        <v>646</v>
      </c>
      <c r="L143" s="123" t="s">
        <v>1797</v>
      </c>
      <c r="M143" s="123" t="s">
        <v>1798</v>
      </c>
      <c r="N143" s="123" t="s">
        <v>1799</v>
      </c>
      <c r="O143" s="123" t="s">
        <v>1800</v>
      </c>
      <c r="P143" s="123"/>
      <c r="Q143" s="123" t="s">
        <v>568</v>
      </c>
      <c r="R143" s="123"/>
      <c r="S143" s="80" t="s">
        <v>3885</v>
      </c>
    </row>
    <row r="144" spans="1:19" ht="14.25" x14ac:dyDescent="0.2">
      <c r="A144" s="119" t="s">
        <v>1801</v>
      </c>
      <c r="B144" s="119" t="s">
        <v>1802</v>
      </c>
      <c r="C144" s="119" t="s">
        <v>1803</v>
      </c>
      <c r="D144" s="119" t="s">
        <v>1804</v>
      </c>
      <c r="E144" s="119"/>
      <c r="F144" s="119"/>
      <c r="G144" s="119" t="s">
        <v>1805</v>
      </c>
      <c r="H144" s="119" t="s">
        <v>20</v>
      </c>
      <c r="I144" s="119" t="s">
        <v>1806</v>
      </c>
      <c r="J144" s="119" t="s">
        <v>655</v>
      </c>
      <c r="K144" s="119" t="s">
        <v>646</v>
      </c>
      <c r="L144" s="119" t="s">
        <v>1807</v>
      </c>
      <c r="M144" s="119" t="s">
        <v>1808</v>
      </c>
      <c r="N144" s="119"/>
      <c r="O144" s="119" t="s">
        <v>1809</v>
      </c>
      <c r="P144" s="119"/>
      <c r="Q144" s="119" t="s">
        <v>568</v>
      </c>
      <c r="R144" s="119"/>
      <c r="S144" s="119"/>
    </row>
    <row r="145" spans="1:19" ht="14.25" x14ac:dyDescent="0.2">
      <c r="A145" s="119" t="s">
        <v>1810</v>
      </c>
      <c r="B145" s="119" t="s">
        <v>1811</v>
      </c>
      <c r="C145" s="119" t="s">
        <v>1812</v>
      </c>
      <c r="D145" s="119" t="s">
        <v>1813</v>
      </c>
      <c r="E145" s="119" t="s">
        <v>1814</v>
      </c>
      <c r="F145" s="119"/>
      <c r="G145" s="119" t="s">
        <v>1815</v>
      </c>
      <c r="H145" s="119" t="s">
        <v>20</v>
      </c>
      <c r="I145" s="119" t="s">
        <v>1816</v>
      </c>
      <c r="J145" s="119" t="s">
        <v>645</v>
      </c>
      <c r="K145" s="119" t="s">
        <v>646</v>
      </c>
      <c r="L145" s="119" t="s">
        <v>533</v>
      </c>
      <c r="M145" s="119" t="s">
        <v>1817</v>
      </c>
      <c r="N145" s="119"/>
      <c r="O145" s="119" t="s">
        <v>1818</v>
      </c>
      <c r="P145" s="119"/>
      <c r="Q145" s="119" t="s">
        <v>568</v>
      </c>
      <c r="R145" s="119"/>
      <c r="S145" s="119"/>
    </row>
    <row r="146" spans="1:19" ht="14.25" x14ac:dyDescent="0.2">
      <c r="A146" s="119" t="s">
        <v>1819</v>
      </c>
      <c r="B146" s="119" t="s">
        <v>1820</v>
      </c>
      <c r="C146" s="119" t="s">
        <v>1821</v>
      </c>
      <c r="D146" s="119" t="s">
        <v>1822</v>
      </c>
      <c r="E146" s="119" t="s">
        <v>1823</v>
      </c>
      <c r="F146" s="119"/>
      <c r="G146" s="119" t="s">
        <v>1395</v>
      </c>
      <c r="H146" s="119" t="s">
        <v>20</v>
      </c>
      <c r="I146" s="119" t="s">
        <v>1824</v>
      </c>
      <c r="J146" s="119" t="s">
        <v>655</v>
      </c>
      <c r="K146" s="119" t="s">
        <v>646</v>
      </c>
      <c r="L146" s="119" t="s">
        <v>1825</v>
      </c>
      <c r="M146" s="119" t="s">
        <v>1826</v>
      </c>
      <c r="N146" s="119" t="s">
        <v>1827</v>
      </c>
      <c r="O146" s="119" t="s">
        <v>1828</v>
      </c>
      <c r="P146" s="119"/>
      <c r="Q146" s="119" t="s">
        <v>568</v>
      </c>
      <c r="R146" s="119"/>
      <c r="S146" s="119"/>
    </row>
    <row r="147" spans="1:19" ht="14.25" x14ac:dyDescent="0.2">
      <c r="A147" s="119" t="s">
        <v>1836</v>
      </c>
      <c r="B147" s="119" t="s">
        <v>1837</v>
      </c>
      <c r="C147" s="119" t="s">
        <v>1838</v>
      </c>
      <c r="D147" s="119" t="s">
        <v>1839</v>
      </c>
      <c r="E147" s="119"/>
      <c r="F147" s="119"/>
      <c r="G147" s="119" t="s">
        <v>1840</v>
      </c>
      <c r="H147" s="119" t="s">
        <v>20</v>
      </c>
      <c r="I147" s="119" t="s">
        <v>1841</v>
      </c>
      <c r="J147" s="119" t="s">
        <v>645</v>
      </c>
      <c r="K147" s="119" t="s">
        <v>646</v>
      </c>
      <c r="L147" s="119" t="s">
        <v>1842</v>
      </c>
      <c r="M147" s="119" t="s">
        <v>1843</v>
      </c>
      <c r="N147" s="119" t="s">
        <v>1844</v>
      </c>
      <c r="O147" s="119" t="s">
        <v>1845</v>
      </c>
      <c r="P147" s="119"/>
      <c r="Q147" s="119" t="s">
        <v>568</v>
      </c>
      <c r="R147" s="119"/>
      <c r="S147" s="119"/>
    </row>
    <row r="148" spans="1:19" ht="14.25" x14ac:dyDescent="0.2">
      <c r="A148" s="133" t="s">
        <v>1846</v>
      </c>
      <c r="B148" s="133" t="s">
        <v>1847</v>
      </c>
      <c r="C148" s="133" t="s">
        <v>1848</v>
      </c>
      <c r="D148" s="133" t="s">
        <v>1849</v>
      </c>
      <c r="E148" s="133" t="s">
        <v>1850</v>
      </c>
      <c r="F148" s="133"/>
      <c r="G148" s="133" t="s">
        <v>1395</v>
      </c>
      <c r="H148" s="133" t="s">
        <v>20</v>
      </c>
      <c r="I148" s="133" t="s">
        <v>1851</v>
      </c>
      <c r="J148" s="133" t="s">
        <v>655</v>
      </c>
      <c r="K148" s="133" t="s">
        <v>646</v>
      </c>
      <c r="L148" s="133" t="s">
        <v>1852</v>
      </c>
      <c r="M148" s="133" t="s">
        <v>1853</v>
      </c>
      <c r="N148" s="133"/>
      <c r="O148" s="133" t="s">
        <v>1854</v>
      </c>
      <c r="P148" s="133" t="s">
        <v>1855</v>
      </c>
      <c r="Q148" s="133" t="s">
        <v>568</v>
      </c>
      <c r="R148" s="119" t="s">
        <v>1733</v>
      </c>
      <c r="S148" s="119"/>
    </row>
    <row r="149" spans="1:19" ht="14.25" x14ac:dyDescent="0.2">
      <c r="A149" s="119" t="s">
        <v>1856</v>
      </c>
      <c r="B149" s="119" t="s">
        <v>1857</v>
      </c>
      <c r="C149" s="119" t="s">
        <v>1858</v>
      </c>
      <c r="D149" s="119" t="s">
        <v>1831</v>
      </c>
      <c r="E149" s="119" t="s">
        <v>1551</v>
      </c>
      <c r="F149" s="119"/>
      <c r="G149" s="119" t="s">
        <v>1395</v>
      </c>
      <c r="H149" s="119" t="s">
        <v>20</v>
      </c>
      <c r="I149" s="119" t="s">
        <v>1832</v>
      </c>
      <c r="J149" s="119" t="s">
        <v>655</v>
      </c>
      <c r="K149" s="119" t="s">
        <v>646</v>
      </c>
      <c r="L149" s="119" t="s">
        <v>1859</v>
      </c>
      <c r="M149" s="119" t="s">
        <v>550</v>
      </c>
      <c r="N149" s="119" t="s">
        <v>1860</v>
      </c>
      <c r="O149" s="119" t="s">
        <v>1834</v>
      </c>
      <c r="P149" s="119" t="s">
        <v>1861</v>
      </c>
      <c r="Q149" s="119" t="s">
        <v>568</v>
      </c>
      <c r="R149" s="119"/>
      <c r="S149" s="119"/>
    </row>
    <row r="150" spans="1:19" ht="14.25" x14ac:dyDescent="0.2">
      <c r="A150" s="119" t="s">
        <v>1862</v>
      </c>
      <c r="B150" s="119" t="s">
        <v>1863</v>
      </c>
      <c r="C150" s="119" t="s">
        <v>1864</v>
      </c>
      <c r="D150" s="119" t="s">
        <v>1865</v>
      </c>
      <c r="E150" s="119" t="s">
        <v>1866</v>
      </c>
      <c r="F150" s="119"/>
      <c r="G150" s="119" t="s">
        <v>1395</v>
      </c>
      <c r="H150" s="119" t="s">
        <v>20</v>
      </c>
      <c r="I150" s="119" t="s">
        <v>1867</v>
      </c>
      <c r="J150" s="119" t="s">
        <v>655</v>
      </c>
      <c r="K150" s="119" t="s">
        <v>646</v>
      </c>
      <c r="L150" s="119" t="s">
        <v>1868</v>
      </c>
      <c r="M150" s="119" t="s">
        <v>1869</v>
      </c>
      <c r="N150" s="119" t="s">
        <v>1870</v>
      </c>
      <c r="O150" s="119" t="s">
        <v>1871</v>
      </c>
      <c r="P150" s="119"/>
      <c r="Q150" s="119" t="s">
        <v>568</v>
      </c>
      <c r="R150" s="119"/>
      <c r="S150" s="119"/>
    </row>
    <row r="151" spans="1:19" ht="28.5" x14ac:dyDescent="0.2">
      <c r="A151" s="133" t="s">
        <v>1872</v>
      </c>
      <c r="B151" s="133" t="s">
        <v>1873</v>
      </c>
      <c r="C151" s="133" t="s">
        <v>1874</v>
      </c>
      <c r="D151" s="133" t="s">
        <v>1849</v>
      </c>
      <c r="E151" s="133" t="s">
        <v>1850</v>
      </c>
      <c r="F151" s="133"/>
      <c r="G151" s="133" t="s">
        <v>1395</v>
      </c>
      <c r="H151" s="133" t="s">
        <v>20</v>
      </c>
      <c r="I151" s="133" t="s">
        <v>1851</v>
      </c>
      <c r="J151" s="133" t="s">
        <v>645</v>
      </c>
      <c r="K151" s="133" t="s">
        <v>646</v>
      </c>
      <c r="L151" s="133" t="s">
        <v>3722</v>
      </c>
      <c r="M151" s="133" t="s">
        <v>3723</v>
      </c>
      <c r="N151" s="143" t="s">
        <v>3724</v>
      </c>
      <c r="O151" s="143" t="s">
        <v>3720</v>
      </c>
      <c r="P151" s="143" t="s">
        <v>3725</v>
      </c>
      <c r="Q151" s="133" t="s">
        <v>568</v>
      </c>
      <c r="R151" s="119" t="s">
        <v>1733</v>
      </c>
      <c r="S151" s="119"/>
    </row>
    <row r="152" spans="1:19" ht="28.5" x14ac:dyDescent="0.2">
      <c r="A152" s="119" t="s">
        <v>1879</v>
      </c>
      <c r="B152" s="119" t="s">
        <v>1880</v>
      </c>
      <c r="C152" s="119" t="s">
        <v>1881</v>
      </c>
      <c r="D152" s="119" t="s">
        <v>1882</v>
      </c>
      <c r="E152" s="119" t="s">
        <v>1849</v>
      </c>
      <c r="F152" s="119" t="s">
        <v>1850</v>
      </c>
      <c r="G152" s="119" t="s">
        <v>1395</v>
      </c>
      <c r="H152" s="119" t="s">
        <v>20</v>
      </c>
      <c r="I152" s="119" t="s">
        <v>1851</v>
      </c>
      <c r="J152" s="119" t="s">
        <v>645</v>
      </c>
      <c r="K152" s="119" t="s">
        <v>646</v>
      </c>
      <c r="L152" s="119" t="s">
        <v>3717</v>
      </c>
      <c r="M152" s="119" t="s">
        <v>3718</v>
      </c>
      <c r="N152" s="134" t="s">
        <v>3719</v>
      </c>
      <c r="O152" s="134" t="s">
        <v>3720</v>
      </c>
      <c r="P152" s="134" t="s">
        <v>3721</v>
      </c>
      <c r="Q152" s="119" t="s">
        <v>568</v>
      </c>
      <c r="R152" s="119"/>
      <c r="S152" s="119"/>
    </row>
    <row r="153" spans="1:19" ht="14.25" x14ac:dyDescent="0.2">
      <c r="A153" s="119" t="s">
        <v>1883</v>
      </c>
      <c r="B153" s="119" t="s">
        <v>1884</v>
      </c>
      <c r="C153" s="119" t="s">
        <v>1885</v>
      </c>
      <c r="D153" s="119" t="s">
        <v>1831</v>
      </c>
      <c r="E153" s="119" t="s">
        <v>1551</v>
      </c>
      <c r="F153" s="119"/>
      <c r="G153" s="119" t="s">
        <v>1395</v>
      </c>
      <c r="H153" s="119" t="s">
        <v>20</v>
      </c>
      <c r="I153" s="119" t="s">
        <v>1832</v>
      </c>
      <c r="J153" s="119" t="s">
        <v>655</v>
      </c>
      <c r="K153" s="119" t="s">
        <v>646</v>
      </c>
      <c r="L153" s="119" t="s">
        <v>1886</v>
      </c>
      <c r="M153" s="119" t="s">
        <v>1887</v>
      </c>
      <c r="N153" s="119" t="s">
        <v>1888</v>
      </c>
      <c r="O153" s="119" t="s">
        <v>1834</v>
      </c>
      <c r="P153" s="119" t="s">
        <v>1889</v>
      </c>
      <c r="Q153" s="119" t="s">
        <v>568</v>
      </c>
      <c r="R153" s="119"/>
      <c r="S153" s="119"/>
    </row>
    <row r="154" spans="1:19" ht="14.25" x14ac:dyDescent="0.2">
      <c r="A154" s="119" t="s">
        <v>3579</v>
      </c>
      <c r="B154" s="119" t="s">
        <v>3580</v>
      </c>
      <c r="C154" s="119" t="s">
        <v>3581</v>
      </c>
      <c r="D154" s="119" t="s">
        <v>3582</v>
      </c>
      <c r="E154" s="119" t="s">
        <v>3583</v>
      </c>
      <c r="F154" s="119"/>
      <c r="G154" s="119" t="s">
        <v>3584</v>
      </c>
      <c r="H154" s="119" t="s">
        <v>3585</v>
      </c>
      <c r="I154" s="119" t="s">
        <v>3586</v>
      </c>
      <c r="J154" s="119" t="s">
        <v>655</v>
      </c>
      <c r="K154" s="119" t="s">
        <v>646</v>
      </c>
      <c r="L154" s="119" t="s">
        <v>510</v>
      </c>
      <c r="M154" s="119" t="s">
        <v>3587</v>
      </c>
      <c r="N154" s="119" t="s">
        <v>3588</v>
      </c>
      <c r="O154" s="119" t="s">
        <v>3589</v>
      </c>
      <c r="P154" s="119"/>
      <c r="Q154" s="119" t="s">
        <v>651</v>
      </c>
      <c r="R154" s="119"/>
      <c r="S154" s="119"/>
    </row>
    <row r="155" spans="1:19" ht="14.25" x14ac:dyDescent="0.2">
      <c r="A155" s="119" t="s">
        <v>1890</v>
      </c>
      <c r="B155" s="119" t="s">
        <v>1891</v>
      </c>
      <c r="C155" s="119" t="s">
        <v>1892</v>
      </c>
      <c r="D155" s="119" t="s">
        <v>1831</v>
      </c>
      <c r="E155" s="119" t="s">
        <v>1551</v>
      </c>
      <c r="F155" s="119"/>
      <c r="G155" s="119" t="s">
        <v>1395</v>
      </c>
      <c r="H155" s="119" t="s">
        <v>20</v>
      </c>
      <c r="I155" s="119" t="s">
        <v>1832</v>
      </c>
      <c r="J155" s="119" t="s">
        <v>655</v>
      </c>
      <c r="K155" s="119" t="s">
        <v>646</v>
      </c>
      <c r="L155" s="119" t="s">
        <v>1886</v>
      </c>
      <c r="M155" s="119" t="s">
        <v>1887</v>
      </c>
      <c r="N155" s="119" t="s">
        <v>1888</v>
      </c>
      <c r="O155" s="119" t="s">
        <v>1834</v>
      </c>
      <c r="P155" s="119" t="s">
        <v>1889</v>
      </c>
      <c r="Q155" s="119" t="s">
        <v>568</v>
      </c>
      <c r="R155" s="119"/>
      <c r="S155" s="119"/>
    </row>
    <row r="156" spans="1:19" ht="14.25" x14ac:dyDescent="0.2">
      <c r="A156" s="133" t="s">
        <v>1893</v>
      </c>
      <c r="B156" s="133" t="s">
        <v>1894</v>
      </c>
      <c r="C156" s="133" t="s">
        <v>1895</v>
      </c>
      <c r="D156" s="133" t="s">
        <v>1896</v>
      </c>
      <c r="E156" s="133" t="s">
        <v>1897</v>
      </c>
      <c r="F156" s="133"/>
      <c r="G156" s="133" t="s">
        <v>1395</v>
      </c>
      <c r="H156" s="133" t="s">
        <v>20</v>
      </c>
      <c r="I156" s="133" t="s">
        <v>1898</v>
      </c>
      <c r="J156" s="133" t="s">
        <v>655</v>
      </c>
      <c r="K156" s="133" t="s">
        <v>646</v>
      </c>
      <c r="L156" s="133" t="s">
        <v>1899</v>
      </c>
      <c r="M156" s="133" t="s">
        <v>1900</v>
      </c>
      <c r="N156" s="133" t="s">
        <v>1901</v>
      </c>
      <c r="O156" s="133" t="s">
        <v>1902</v>
      </c>
      <c r="P156" s="133"/>
      <c r="Q156" s="133" t="s">
        <v>568</v>
      </c>
      <c r="R156" s="119" t="s">
        <v>1733</v>
      </c>
      <c r="S156" s="119"/>
    </row>
    <row r="157" spans="1:19" ht="14.25" x14ac:dyDescent="0.2">
      <c r="A157" s="119" t="s">
        <v>1903</v>
      </c>
      <c r="B157" s="119" t="s">
        <v>1904</v>
      </c>
      <c r="C157" s="119" t="s">
        <v>1905</v>
      </c>
      <c r="D157" s="119" t="s">
        <v>1882</v>
      </c>
      <c r="E157" s="119" t="s">
        <v>1849</v>
      </c>
      <c r="F157" s="119" t="s">
        <v>1850</v>
      </c>
      <c r="G157" s="119" t="s">
        <v>1395</v>
      </c>
      <c r="H157" s="119" t="s">
        <v>20</v>
      </c>
      <c r="I157" s="119" t="s">
        <v>1851</v>
      </c>
      <c r="J157" s="119" t="s">
        <v>645</v>
      </c>
      <c r="K157" s="119" t="s">
        <v>646</v>
      </c>
      <c r="L157" s="119" t="s">
        <v>1875</v>
      </c>
      <c r="M157" s="119" t="s">
        <v>1876</v>
      </c>
      <c r="N157" s="119" t="s">
        <v>1877</v>
      </c>
      <c r="O157" s="119" t="s">
        <v>1854</v>
      </c>
      <c r="P157" s="119" t="s">
        <v>1878</v>
      </c>
      <c r="Q157" s="119" t="s">
        <v>568</v>
      </c>
      <c r="R157" s="119"/>
      <c r="S157" s="119"/>
    </row>
    <row r="158" spans="1:19" ht="14.25" x14ac:dyDescent="0.2">
      <c r="A158" s="133" t="s">
        <v>1906</v>
      </c>
      <c r="B158" s="133" t="s">
        <v>1907</v>
      </c>
      <c r="C158" s="133" t="s">
        <v>1908</v>
      </c>
      <c r="D158" s="133" t="s">
        <v>1909</v>
      </c>
      <c r="E158" s="133" t="s">
        <v>1910</v>
      </c>
      <c r="F158" s="133"/>
      <c r="G158" s="133" t="s">
        <v>1395</v>
      </c>
      <c r="H158" s="133" t="s">
        <v>20</v>
      </c>
      <c r="I158" s="133" t="s">
        <v>1911</v>
      </c>
      <c r="J158" s="133" t="s">
        <v>645</v>
      </c>
      <c r="K158" s="133" t="s">
        <v>646</v>
      </c>
      <c r="L158" s="133" t="s">
        <v>1912</v>
      </c>
      <c r="M158" s="133" t="s">
        <v>1913</v>
      </c>
      <c r="N158" s="133"/>
      <c r="O158" s="133" t="s">
        <v>1914</v>
      </c>
      <c r="P158" s="133" t="s">
        <v>1915</v>
      </c>
      <c r="Q158" s="133" t="s">
        <v>568</v>
      </c>
      <c r="R158" s="119" t="s">
        <v>1733</v>
      </c>
      <c r="S158" s="119"/>
    </row>
    <row r="159" spans="1:19" ht="14.25" x14ac:dyDescent="0.2">
      <c r="A159" s="119" t="s">
        <v>1916</v>
      </c>
      <c r="B159" s="119" t="s">
        <v>1917</v>
      </c>
      <c r="C159" s="119" t="s">
        <v>1918</v>
      </c>
      <c r="D159" s="119" t="s">
        <v>1831</v>
      </c>
      <c r="E159" s="119" t="s">
        <v>1551</v>
      </c>
      <c r="F159" s="119"/>
      <c r="G159" s="119" t="s">
        <v>1395</v>
      </c>
      <c r="H159" s="119" t="s">
        <v>20</v>
      </c>
      <c r="I159" s="119" t="s">
        <v>1832</v>
      </c>
      <c r="J159" s="119" t="s">
        <v>655</v>
      </c>
      <c r="K159" s="119" t="s">
        <v>646</v>
      </c>
      <c r="L159" s="119" t="s">
        <v>1886</v>
      </c>
      <c r="M159" s="119" t="s">
        <v>1887</v>
      </c>
      <c r="N159" s="119" t="s">
        <v>1888</v>
      </c>
      <c r="O159" s="119" t="s">
        <v>1834</v>
      </c>
      <c r="P159" s="119" t="s">
        <v>1889</v>
      </c>
      <c r="Q159" s="119" t="s">
        <v>568</v>
      </c>
      <c r="R159" s="119"/>
      <c r="S159" s="119"/>
    </row>
    <row r="160" spans="1:19" ht="14.25" x14ac:dyDescent="0.2">
      <c r="A160" s="119" t="s">
        <v>1919</v>
      </c>
      <c r="B160" s="119" t="s">
        <v>1920</v>
      </c>
      <c r="C160" s="119" t="s">
        <v>1921</v>
      </c>
      <c r="D160" s="119" t="s">
        <v>1922</v>
      </c>
      <c r="E160" s="119" t="s">
        <v>1923</v>
      </c>
      <c r="F160" s="119"/>
      <c r="G160" s="119" t="s">
        <v>1395</v>
      </c>
      <c r="H160" s="119" t="s">
        <v>20</v>
      </c>
      <c r="I160" s="119" t="s">
        <v>1924</v>
      </c>
      <c r="J160" s="119" t="s">
        <v>655</v>
      </c>
      <c r="K160" s="119" t="s">
        <v>646</v>
      </c>
      <c r="L160" s="119" t="s">
        <v>1925</v>
      </c>
      <c r="M160" s="119" t="s">
        <v>1926</v>
      </c>
      <c r="N160" s="119" t="s">
        <v>1927</v>
      </c>
      <c r="O160" s="119" t="s">
        <v>1928</v>
      </c>
      <c r="P160" s="119"/>
      <c r="Q160" s="119" t="s">
        <v>568</v>
      </c>
      <c r="R160" s="119"/>
      <c r="S160" s="119"/>
    </row>
    <row r="161" spans="1:19" ht="14.25" x14ac:dyDescent="0.2">
      <c r="A161" s="119" t="s">
        <v>1929</v>
      </c>
      <c r="B161" s="119" t="s">
        <v>1930</v>
      </c>
      <c r="C161" s="119" t="s">
        <v>1931</v>
      </c>
      <c r="D161" s="119" t="s">
        <v>1932</v>
      </c>
      <c r="E161" s="119"/>
      <c r="F161" s="119"/>
      <c r="G161" s="119" t="s">
        <v>1395</v>
      </c>
      <c r="H161" s="119" t="s">
        <v>20</v>
      </c>
      <c r="I161" s="119" t="s">
        <v>1933</v>
      </c>
      <c r="J161" s="119" t="s">
        <v>655</v>
      </c>
      <c r="K161" s="119" t="s">
        <v>646</v>
      </c>
      <c r="L161" s="119" t="s">
        <v>1934</v>
      </c>
      <c r="M161" s="119" t="s">
        <v>1935</v>
      </c>
      <c r="N161" s="119" t="s">
        <v>1936</v>
      </c>
      <c r="O161" s="119" t="s">
        <v>1937</v>
      </c>
      <c r="P161" s="119" t="s">
        <v>1938</v>
      </c>
      <c r="Q161" s="119" t="s">
        <v>568</v>
      </c>
      <c r="R161" s="119"/>
      <c r="S161" s="119"/>
    </row>
    <row r="162" spans="1:19" ht="14.25" x14ac:dyDescent="0.2">
      <c r="A162" s="119" t="s">
        <v>1939</v>
      </c>
      <c r="B162" s="119" t="s">
        <v>1940</v>
      </c>
      <c r="C162" s="119" t="s">
        <v>1941</v>
      </c>
      <c r="D162" s="119" t="s">
        <v>1865</v>
      </c>
      <c r="E162" s="119" t="s">
        <v>1866</v>
      </c>
      <c r="F162" s="119"/>
      <c r="G162" s="119" t="s">
        <v>1395</v>
      </c>
      <c r="H162" s="119" t="s">
        <v>20</v>
      </c>
      <c r="I162" s="119" t="s">
        <v>1867</v>
      </c>
      <c r="J162" s="119" t="s">
        <v>655</v>
      </c>
      <c r="K162" s="119" t="s">
        <v>646</v>
      </c>
      <c r="L162" s="119" t="s">
        <v>1942</v>
      </c>
      <c r="M162" s="119" t="s">
        <v>1943</v>
      </c>
      <c r="N162" s="119" t="s">
        <v>1944</v>
      </c>
      <c r="O162" s="119" t="s">
        <v>1945</v>
      </c>
      <c r="P162" s="119" t="s">
        <v>1946</v>
      </c>
      <c r="Q162" s="119" t="s">
        <v>568</v>
      </c>
      <c r="R162" s="119"/>
      <c r="S162" s="119"/>
    </row>
    <row r="163" spans="1:19" ht="14.25" x14ac:dyDescent="0.2">
      <c r="A163" s="119" t="s">
        <v>1947</v>
      </c>
      <c r="B163" s="119" t="s">
        <v>1948</v>
      </c>
      <c r="C163" s="119" t="s">
        <v>1949</v>
      </c>
      <c r="D163" s="119" t="s">
        <v>1950</v>
      </c>
      <c r="E163" s="119"/>
      <c r="F163" s="119"/>
      <c r="G163" s="119" t="s">
        <v>1951</v>
      </c>
      <c r="H163" s="119" t="s">
        <v>20</v>
      </c>
      <c r="I163" s="119" t="s">
        <v>1952</v>
      </c>
      <c r="J163" s="119" t="s">
        <v>655</v>
      </c>
      <c r="K163" s="119" t="s">
        <v>646</v>
      </c>
      <c r="L163" s="119" t="s">
        <v>1953</v>
      </c>
      <c r="M163" s="119" t="s">
        <v>1954</v>
      </c>
      <c r="N163" s="119" t="s">
        <v>1955</v>
      </c>
      <c r="O163" s="119" t="s">
        <v>1956</v>
      </c>
      <c r="P163" s="119"/>
      <c r="Q163" s="119" t="s">
        <v>568</v>
      </c>
      <c r="R163" s="119"/>
      <c r="S163" s="119"/>
    </row>
    <row r="164" spans="1:19" ht="14.25" x14ac:dyDescent="0.2">
      <c r="A164" s="133" t="s">
        <v>1957</v>
      </c>
      <c r="B164" s="133" t="s">
        <v>1958</v>
      </c>
      <c r="C164" s="133" t="s">
        <v>1959</v>
      </c>
      <c r="D164" s="133" t="s">
        <v>1960</v>
      </c>
      <c r="E164" s="133"/>
      <c r="F164" s="133"/>
      <c r="G164" s="133" t="s">
        <v>1961</v>
      </c>
      <c r="H164" s="133" t="s">
        <v>20</v>
      </c>
      <c r="I164" s="133" t="s">
        <v>1962</v>
      </c>
      <c r="J164" s="133" t="s">
        <v>645</v>
      </c>
      <c r="K164" s="133" t="s">
        <v>646</v>
      </c>
      <c r="L164" s="133" t="s">
        <v>3712</v>
      </c>
      <c r="M164" s="133" t="s">
        <v>3713</v>
      </c>
      <c r="N164" s="133" t="s">
        <v>3714</v>
      </c>
      <c r="O164" s="133" t="s">
        <v>3715</v>
      </c>
      <c r="P164" s="133" t="s">
        <v>3716</v>
      </c>
      <c r="Q164" s="133" t="s">
        <v>568</v>
      </c>
      <c r="R164" s="119" t="s">
        <v>1733</v>
      </c>
      <c r="S164" s="119"/>
    </row>
    <row r="165" spans="1:19" ht="14.25" x14ac:dyDescent="0.2">
      <c r="A165" s="133" t="s">
        <v>1964</v>
      </c>
      <c r="B165" s="133" t="s">
        <v>1965</v>
      </c>
      <c r="C165" s="133" t="s">
        <v>1966</v>
      </c>
      <c r="D165" s="133" t="s">
        <v>1967</v>
      </c>
      <c r="E165" s="133" t="s">
        <v>1968</v>
      </c>
      <c r="F165" s="133" t="s">
        <v>1969</v>
      </c>
      <c r="G165" s="133" t="s">
        <v>1970</v>
      </c>
      <c r="H165" s="133" t="s">
        <v>20</v>
      </c>
      <c r="I165" s="133" t="s">
        <v>1971</v>
      </c>
      <c r="J165" s="133" t="s">
        <v>655</v>
      </c>
      <c r="K165" s="133" t="s">
        <v>646</v>
      </c>
      <c r="L165" s="133" t="s">
        <v>854</v>
      </c>
      <c r="M165" s="133" t="s">
        <v>1972</v>
      </c>
      <c r="N165" s="133" t="s">
        <v>1973</v>
      </c>
      <c r="O165" s="133" t="s">
        <v>1974</v>
      </c>
      <c r="P165" s="133"/>
      <c r="Q165" s="133" t="s">
        <v>568</v>
      </c>
      <c r="R165" s="119" t="s">
        <v>1733</v>
      </c>
      <c r="S165" s="119"/>
    </row>
    <row r="166" spans="1:19" ht="14.25" x14ac:dyDescent="0.2">
      <c r="A166" s="119" t="s">
        <v>1975</v>
      </c>
      <c r="B166" s="119" t="s">
        <v>1976</v>
      </c>
      <c r="C166" s="119" t="s">
        <v>1977</v>
      </c>
      <c r="D166" s="119" t="s">
        <v>1978</v>
      </c>
      <c r="E166" s="119"/>
      <c r="F166" s="119"/>
      <c r="G166" s="119" t="s">
        <v>1979</v>
      </c>
      <c r="H166" s="119" t="s">
        <v>20</v>
      </c>
      <c r="I166" s="119" t="s">
        <v>1980</v>
      </c>
      <c r="J166" s="119" t="s">
        <v>645</v>
      </c>
      <c r="K166" s="119" t="s">
        <v>646</v>
      </c>
      <c r="L166" s="119" t="s">
        <v>3707</v>
      </c>
      <c r="M166" s="119" t="s">
        <v>3708</v>
      </c>
      <c r="N166" s="119" t="s">
        <v>3709</v>
      </c>
      <c r="O166" s="119" t="s">
        <v>3710</v>
      </c>
      <c r="P166" s="119" t="s">
        <v>3711</v>
      </c>
      <c r="Q166" s="119" t="s">
        <v>568</v>
      </c>
      <c r="R166" s="119"/>
      <c r="S166" s="119"/>
    </row>
    <row r="167" spans="1:19" ht="14.25" x14ac:dyDescent="0.2">
      <c r="A167" s="133" t="s">
        <v>1981</v>
      </c>
      <c r="B167" s="133" t="s">
        <v>1982</v>
      </c>
      <c r="C167" s="133" t="s">
        <v>1983</v>
      </c>
      <c r="D167" s="133" t="s">
        <v>1984</v>
      </c>
      <c r="E167" s="133"/>
      <c r="F167" s="133"/>
      <c r="G167" s="133" t="s">
        <v>1985</v>
      </c>
      <c r="H167" s="133" t="s">
        <v>20</v>
      </c>
      <c r="I167" s="133" t="s">
        <v>1986</v>
      </c>
      <c r="J167" s="133" t="s">
        <v>645</v>
      </c>
      <c r="K167" s="133" t="s">
        <v>646</v>
      </c>
      <c r="L167" s="133" t="s">
        <v>479</v>
      </c>
      <c r="M167" s="133" t="s">
        <v>1987</v>
      </c>
      <c r="N167" s="133" t="s">
        <v>1988</v>
      </c>
      <c r="O167" s="133" t="s">
        <v>1989</v>
      </c>
      <c r="P167" s="133"/>
      <c r="Q167" s="133" t="s">
        <v>568</v>
      </c>
      <c r="R167" s="119" t="s">
        <v>1733</v>
      </c>
      <c r="S167" s="119"/>
    </row>
    <row r="168" spans="1:19" ht="14.25" x14ac:dyDescent="0.2">
      <c r="A168" s="119" t="s">
        <v>1990</v>
      </c>
      <c r="B168" s="119" t="s">
        <v>1991</v>
      </c>
      <c r="C168" s="119" t="s">
        <v>1992</v>
      </c>
      <c r="D168" s="119" t="s">
        <v>1993</v>
      </c>
      <c r="E168" s="119"/>
      <c r="F168" s="119"/>
      <c r="G168" s="119" t="s">
        <v>1395</v>
      </c>
      <c r="H168" s="119" t="s">
        <v>20</v>
      </c>
      <c r="I168" s="119" t="s">
        <v>1994</v>
      </c>
      <c r="J168" s="119" t="s">
        <v>709</v>
      </c>
      <c r="K168" s="119" t="s">
        <v>646</v>
      </c>
      <c r="L168" s="119" t="s">
        <v>3704</v>
      </c>
      <c r="M168" s="119" t="s">
        <v>3705</v>
      </c>
      <c r="N168" s="119" t="s">
        <v>1995</v>
      </c>
      <c r="O168" s="119" t="s">
        <v>3706</v>
      </c>
      <c r="P168" s="119"/>
      <c r="Q168" s="119" t="s">
        <v>568</v>
      </c>
      <c r="R168" s="119"/>
      <c r="S168" s="119"/>
    </row>
    <row r="169" spans="1:19" ht="14.25" x14ac:dyDescent="0.2">
      <c r="A169" s="119" t="s">
        <v>1996</v>
      </c>
      <c r="B169" s="119" t="s">
        <v>1997</v>
      </c>
      <c r="C169" s="119" t="s">
        <v>1998</v>
      </c>
      <c r="D169" s="119" t="s">
        <v>1999</v>
      </c>
      <c r="E169" s="119" t="s">
        <v>2000</v>
      </c>
      <c r="F169" s="119"/>
      <c r="G169" s="119" t="s">
        <v>2001</v>
      </c>
      <c r="H169" s="119" t="s">
        <v>20</v>
      </c>
      <c r="I169" s="119" t="s">
        <v>2002</v>
      </c>
      <c r="J169" s="119" t="s">
        <v>645</v>
      </c>
      <c r="K169" s="119" t="s">
        <v>646</v>
      </c>
      <c r="L169" s="119" t="s">
        <v>2003</v>
      </c>
      <c r="M169" s="119" t="s">
        <v>2004</v>
      </c>
      <c r="N169" s="119" t="s">
        <v>2005</v>
      </c>
      <c r="O169" s="119" t="s">
        <v>2006</v>
      </c>
      <c r="P169" s="119"/>
      <c r="Q169" s="119" t="s">
        <v>568</v>
      </c>
      <c r="R169" s="119"/>
      <c r="S169" s="119"/>
    </row>
    <row r="170" spans="1:19" ht="14.25" x14ac:dyDescent="0.2">
      <c r="A170" s="119" t="s">
        <v>2007</v>
      </c>
      <c r="B170" s="119" t="s">
        <v>2008</v>
      </c>
      <c r="C170" s="119" t="s">
        <v>2009</v>
      </c>
      <c r="D170" s="119" t="s">
        <v>2010</v>
      </c>
      <c r="E170" s="119"/>
      <c r="F170" s="119"/>
      <c r="G170" s="119" t="s">
        <v>2011</v>
      </c>
      <c r="H170" s="119" t="s">
        <v>20</v>
      </c>
      <c r="I170" s="119" t="s">
        <v>2012</v>
      </c>
      <c r="J170" s="119" t="s">
        <v>645</v>
      </c>
      <c r="K170" s="119" t="s">
        <v>646</v>
      </c>
      <c r="L170" s="119" t="s">
        <v>1024</v>
      </c>
      <c r="M170" s="119" t="s">
        <v>2013</v>
      </c>
      <c r="N170" s="119" t="s">
        <v>2014</v>
      </c>
      <c r="O170" s="119" t="s">
        <v>2015</v>
      </c>
      <c r="P170" s="119"/>
      <c r="Q170" s="119" t="s">
        <v>568</v>
      </c>
      <c r="R170" s="119"/>
      <c r="S170" s="119"/>
    </row>
    <row r="171" spans="1:19" ht="14.25" x14ac:dyDescent="0.2">
      <c r="A171" s="119" t="s">
        <v>2016</v>
      </c>
      <c r="B171" s="119" t="s">
        <v>2017</v>
      </c>
      <c r="C171" s="119" t="s">
        <v>2018</v>
      </c>
      <c r="D171" s="119" t="s">
        <v>2019</v>
      </c>
      <c r="E171" s="119" t="s">
        <v>2020</v>
      </c>
      <c r="F171" s="119"/>
      <c r="G171" s="119" t="s">
        <v>1961</v>
      </c>
      <c r="H171" s="119" t="s">
        <v>20</v>
      </c>
      <c r="I171" s="119" t="s">
        <v>2021</v>
      </c>
      <c r="J171" s="119" t="s">
        <v>1621</v>
      </c>
      <c r="K171" s="119" t="s">
        <v>646</v>
      </c>
      <c r="L171" s="119" t="s">
        <v>3701</v>
      </c>
      <c r="M171" s="119" t="s">
        <v>3702</v>
      </c>
      <c r="N171" s="119" t="s">
        <v>3703</v>
      </c>
      <c r="O171" s="119" t="s">
        <v>2022</v>
      </c>
      <c r="P171" s="119" t="s">
        <v>2023</v>
      </c>
      <c r="Q171" s="119" t="s">
        <v>568</v>
      </c>
      <c r="R171" s="119"/>
      <c r="S171" s="119"/>
    </row>
    <row r="172" spans="1:19" ht="14.25" x14ac:dyDescent="0.2">
      <c r="A172" s="119" t="s">
        <v>2024</v>
      </c>
      <c r="B172" s="119" t="s">
        <v>2025</v>
      </c>
      <c r="C172" s="119" t="s">
        <v>2026</v>
      </c>
      <c r="D172" s="119" t="s">
        <v>1831</v>
      </c>
      <c r="E172" s="119" t="s">
        <v>1551</v>
      </c>
      <c r="F172" s="119"/>
      <c r="G172" s="119" t="s">
        <v>1395</v>
      </c>
      <c r="H172" s="119" t="s">
        <v>20</v>
      </c>
      <c r="I172" s="119" t="s">
        <v>1832</v>
      </c>
      <c r="J172" s="119" t="s">
        <v>655</v>
      </c>
      <c r="K172" s="119" t="s">
        <v>646</v>
      </c>
      <c r="L172" s="119" t="s">
        <v>1024</v>
      </c>
      <c r="M172" s="119" t="s">
        <v>2027</v>
      </c>
      <c r="N172" s="119" t="s">
        <v>2028</v>
      </c>
      <c r="O172" s="119" t="s">
        <v>1834</v>
      </c>
      <c r="P172" s="119" t="s">
        <v>2029</v>
      </c>
      <c r="Q172" s="119" t="s">
        <v>568</v>
      </c>
      <c r="R172" s="119"/>
      <c r="S172" s="119"/>
    </row>
    <row r="173" spans="1:19" ht="14.25" x14ac:dyDescent="0.2">
      <c r="A173" s="133" t="s">
        <v>2030</v>
      </c>
      <c r="B173" s="133" t="s">
        <v>2031</v>
      </c>
      <c r="C173" s="133" t="s">
        <v>2032</v>
      </c>
      <c r="D173" s="133" t="s">
        <v>1865</v>
      </c>
      <c r="E173" s="133" t="s">
        <v>1866</v>
      </c>
      <c r="F173" s="133"/>
      <c r="G173" s="133" t="s">
        <v>1395</v>
      </c>
      <c r="H173" s="133" t="s">
        <v>20</v>
      </c>
      <c r="I173" s="133" t="s">
        <v>1867</v>
      </c>
      <c r="J173" s="133" t="s">
        <v>655</v>
      </c>
      <c r="K173" s="133" t="s">
        <v>646</v>
      </c>
      <c r="L173" s="133" t="s">
        <v>2033</v>
      </c>
      <c r="M173" s="133" t="s">
        <v>2034</v>
      </c>
      <c r="N173" s="133" t="s">
        <v>2035</v>
      </c>
      <c r="O173" s="133" t="s">
        <v>2036</v>
      </c>
      <c r="P173" s="133"/>
      <c r="Q173" s="133" t="s">
        <v>568</v>
      </c>
      <c r="R173" s="119" t="s">
        <v>1733</v>
      </c>
      <c r="S173" s="119"/>
    </row>
    <row r="174" spans="1:19" ht="14.25" x14ac:dyDescent="0.2">
      <c r="A174" s="119" t="s">
        <v>2037</v>
      </c>
      <c r="B174" s="119" t="s">
        <v>2038</v>
      </c>
      <c r="C174" s="119" t="s">
        <v>2039</v>
      </c>
      <c r="D174" s="119" t="s">
        <v>2040</v>
      </c>
      <c r="E174" s="119" t="s">
        <v>2041</v>
      </c>
      <c r="F174" s="119"/>
      <c r="G174" s="119" t="s">
        <v>2042</v>
      </c>
      <c r="H174" s="119" t="s">
        <v>20</v>
      </c>
      <c r="I174" s="119" t="s">
        <v>2043</v>
      </c>
      <c r="J174" s="119" t="s">
        <v>645</v>
      </c>
      <c r="K174" s="119" t="s">
        <v>646</v>
      </c>
      <c r="L174" s="119" t="s">
        <v>2044</v>
      </c>
      <c r="M174" s="119" t="s">
        <v>2045</v>
      </c>
      <c r="N174" s="119"/>
      <c r="O174" s="119" t="s">
        <v>2046</v>
      </c>
      <c r="P174" s="119"/>
      <c r="Q174" s="119" t="s">
        <v>568</v>
      </c>
      <c r="R174" s="119"/>
      <c r="S174" s="119"/>
    </row>
    <row r="175" spans="1:19" ht="14.25" x14ac:dyDescent="0.2">
      <c r="A175" s="133" t="s">
        <v>2057</v>
      </c>
      <c r="B175" s="133" t="s">
        <v>2058</v>
      </c>
      <c r="C175" s="133" t="s">
        <v>2059</v>
      </c>
      <c r="D175" s="133" t="s">
        <v>2060</v>
      </c>
      <c r="E175" s="133" t="s">
        <v>1291</v>
      </c>
      <c r="F175" s="133"/>
      <c r="G175" s="133" t="s">
        <v>2061</v>
      </c>
      <c r="H175" s="133" t="s">
        <v>20</v>
      </c>
      <c r="I175" s="133" t="s">
        <v>2062</v>
      </c>
      <c r="J175" s="133" t="s">
        <v>645</v>
      </c>
      <c r="K175" s="133" t="s">
        <v>646</v>
      </c>
      <c r="L175" s="133" t="s">
        <v>495</v>
      </c>
      <c r="M175" s="133" t="s">
        <v>2063</v>
      </c>
      <c r="N175" s="133" t="s">
        <v>2064</v>
      </c>
      <c r="O175" s="133" t="s">
        <v>2065</v>
      </c>
      <c r="P175" s="133" t="s">
        <v>2066</v>
      </c>
      <c r="Q175" s="133" t="s">
        <v>568</v>
      </c>
      <c r="R175" s="119" t="s">
        <v>1733</v>
      </c>
      <c r="S175" s="119"/>
    </row>
    <row r="176" spans="1:19" ht="14.25" x14ac:dyDescent="0.2">
      <c r="A176" s="119" t="s">
        <v>2067</v>
      </c>
      <c r="B176" s="119" t="s">
        <v>2068</v>
      </c>
      <c r="C176" s="119" t="s">
        <v>2069</v>
      </c>
      <c r="D176" s="119" t="s">
        <v>2070</v>
      </c>
      <c r="E176" s="119" t="s">
        <v>1794</v>
      </c>
      <c r="F176" s="119"/>
      <c r="G176" s="119" t="s">
        <v>2071</v>
      </c>
      <c r="H176" s="119" t="s">
        <v>20</v>
      </c>
      <c r="I176" s="119" t="s">
        <v>2072</v>
      </c>
      <c r="J176" s="119" t="s">
        <v>655</v>
      </c>
      <c r="K176" s="119" t="s">
        <v>646</v>
      </c>
      <c r="L176" s="119" t="s">
        <v>475</v>
      </c>
      <c r="M176" s="119" t="s">
        <v>2073</v>
      </c>
      <c r="N176" s="119" t="s">
        <v>2074</v>
      </c>
      <c r="O176" s="119" t="s">
        <v>2075</v>
      </c>
      <c r="P176" s="119"/>
      <c r="Q176" s="119" t="s">
        <v>568</v>
      </c>
      <c r="R176" s="119"/>
      <c r="S176" s="119"/>
    </row>
    <row r="177" spans="1:19" ht="14.25" x14ac:dyDescent="0.2">
      <c r="A177" s="119" t="s">
        <v>2076</v>
      </c>
      <c r="B177" s="119" t="s">
        <v>2077</v>
      </c>
      <c r="C177" s="119" t="s">
        <v>2078</v>
      </c>
      <c r="D177" s="119" t="s">
        <v>1831</v>
      </c>
      <c r="E177" s="119" t="s">
        <v>1551</v>
      </c>
      <c r="F177" s="119"/>
      <c r="G177" s="119" t="s">
        <v>1395</v>
      </c>
      <c r="H177" s="119" t="s">
        <v>20</v>
      </c>
      <c r="I177" s="119" t="s">
        <v>1832</v>
      </c>
      <c r="J177" s="119" t="s">
        <v>655</v>
      </c>
      <c r="K177" s="119" t="s">
        <v>646</v>
      </c>
      <c r="L177" s="119" t="s">
        <v>916</v>
      </c>
      <c r="M177" s="119" t="s">
        <v>1833</v>
      </c>
      <c r="N177" s="119" t="s">
        <v>2079</v>
      </c>
      <c r="O177" s="119" t="s">
        <v>1834</v>
      </c>
      <c r="P177" s="119" t="s">
        <v>1835</v>
      </c>
      <c r="Q177" s="119" t="s">
        <v>568</v>
      </c>
      <c r="R177" s="119"/>
      <c r="S177" s="119"/>
    </row>
    <row r="178" spans="1:19" ht="14.25" x14ac:dyDescent="0.2">
      <c r="A178" s="119" t="s">
        <v>2080</v>
      </c>
      <c r="B178" s="119" t="s">
        <v>2081</v>
      </c>
      <c r="C178" s="119" t="s">
        <v>2082</v>
      </c>
      <c r="D178" s="119" t="s">
        <v>1882</v>
      </c>
      <c r="E178" s="119" t="s">
        <v>1849</v>
      </c>
      <c r="F178" s="119" t="s">
        <v>1850</v>
      </c>
      <c r="G178" s="119" t="s">
        <v>1395</v>
      </c>
      <c r="H178" s="119" t="s">
        <v>20</v>
      </c>
      <c r="I178" s="119" t="s">
        <v>1851</v>
      </c>
      <c r="J178" s="119" t="s">
        <v>645</v>
      </c>
      <c r="K178" s="119" t="s">
        <v>646</v>
      </c>
      <c r="L178" s="119" t="s">
        <v>1875</v>
      </c>
      <c r="M178" s="119" t="s">
        <v>1876</v>
      </c>
      <c r="N178" s="119" t="s">
        <v>1877</v>
      </c>
      <c r="O178" s="119" t="s">
        <v>1854</v>
      </c>
      <c r="P178" s="119" t="s">
        <v>1878</v>
      </c>
      <c r="Q178" s="119" t="s">
        <v>568</v>
      </c>
      <c r="R178" s="119"/>
      <c r="S178" s="119"/>
    </row>
    <row r="179" spans="1:19" ht="14.25" x14ac:dyDescent="0.2">
      <c r="A179" s="119" t="s">
        <v>2083</v>
      </c>
      <c r="B179" s="119" t="s">
        <v>2084</v>
      </c>
      <c r="C179" s="119" t="s">
        <v>2085</v>
      </c>
      <c r="D179" s="119" t="s">
        <v>2086</v>
      </c>
      <c r="E179" s="119"/>
      <c r="F179" s="119"/>
      <c r="G179" s="119" t="s">
        <v>1395</v>
      </c>
      <c r="H179" s="119" t="s">
        <v>20</v>
      </c>
      <c r="I179" s="119" t="s">
        <v>2087</v>
      </c>
      <c r="J179" s="119" t="s">
        <v>645</v>
      </c>
      <c r="K179" s="119" t="s">
        <v>646</v>
      </c>
      <c r="L179" s="119" t="s">
        <v>2088</v>
      </c>
      <c r="M179" s="119" t="s">
        <v>2089</v>
      </c>
      <c r="N179" s="119" t="s">
        <v>2090</v>
      </c>
      <c r="O179" s="119" t="s">
        <v>3700</v>
      </c>
      <c r="P179" s="119" t="s">
        <v>2091</v>
      </c>
      <c r="Q179" s="119" t="s">
        <v>568</v>
      </c>
      <c r="R179" s="119"/>
      <c r="S179" s="119"/>
    </row>
    <row r="180" spans="1:19" ht="14.25" x14ac:dyDescent="0.2">
      <c r="A180" s="119" t="s">
        <v>2092</v>
      </c>
      <c r="B180" s="119" t="s">
        <v>2093</v>
      </c>
      <c r="C180" s="119" t="s">
        <v>2094</v>
      </c>
      <c r="D180" s="119" t="s">
        <v>2095</v>
      </c>
      <c r="E180" s="119"/>
      <c r="F180" s="119"/>
      <c r="G180" s="119" t="s">
        <v>2096</v>
      </c>
      <c r="H180" s="119" t="s">
        <v>20</v>
      </c>
      <c r="I180" s="119" t="s">
        <v>2097</v>
      </c>
      <c r="J180" s="119" t="s">
        <v>645</v>
      </c>
      <c r="K180" s="119" t="s">
        <v>646</v>
      </c>
      <c r="L180" s="119" t="s">
        <v>477</v>
      </c>
      <c r="M180" s="119" t="s">
        <v>2098</v>
      </c>
      <c r="N180" s="119" t="s">
        <v>2099</v>
      </c>
      <c r="O180" s="119" t="s">
        <v>2100</v>
      </c>
      <c r="P180" s="119"/>
      <c r="Q180" s="119" t="s">
        <v>568</v>
      </c>
      <c r="R180" s="119"/>
      <c r="S180" s="119"/>
    </row>
    <row r="181" spans="1:19" ht="14.25" x14ac:dyDescent="0.2">
      <c r="A181" s="119" t="s">
        <v>2101</v>
      </c>
      <c r="B181" s="119" t="s">
        <v>2102</v>
      </c>
      <c r="C181" s="119" t="s">
        <v>2103</v>
      </c>
      <c r="D181" s="119" t="s">
        <v>2104</v>
      </c>
      <c r="E181" s="119"/>
      <c r="F181" s="119"/>
      <c r="G181" s="119" t="s">
        <v>2105</v>
      </c>
      <c r="H181" s="119" t="s">
        <v>20</v>
      </c>
      <c r="I181" s="119" t="s">
        <v>2106</v>
      </c>
      <c r="J181" s="119" t="s">
        <v>1621</v>
      </c>
      <c r="K181" s="119" t="s">
        <v>646</v>
      </c>
      <c r="L181" s="119" t="s">
        <v>533</v>
      </c>
      <c r="M181" s="119" t="s">
        <v>2107</v>
      </c>
      <c r="N181" s="119" t="s">
        <v>2108</v>
      </c>
      <c r="O181" s="119" t="s">
        <v>2109</v>
      </c>
      <c r="P181" s="119"/>
      <c r="Q181" s="119" t="s">
        <v>568</v>
      </c>
      <c r="R181" s="119"/>
      <c r="S181" s="119"/>
    </row>
    <row r="182" spans="1:19" ht="14.25" x14ac:dyDescent="0.2">
      <c r="A182" s="119" t="s">
        <v>2110</v>
      </c>
      <c r="B182" s="119" t="s">
        <v>2111</v>
      </c>
      <c r="C182" s="119" t="s">
        <v>2112</v>
      </c>
      <c r="D182" s="119" t="s">
        <v>2113</v>
      </c>
      <c r="E182" s="119" t="s">
        <v>2114</v>
      </c>
      <c r="F182" s="119"/>
      <c r="G182" s="119" t="s">
        <v>2115</v>
      </c>
      <c r="H182" s="119" t="s">
        <v>20</v>
      </c>
      <c r="I182" s="119" t="s">
        <v>2116</v>
      </c>
      <c r="J182" s="119" t="s">
        <v>645</v>
      </c>
      <c r="K182" s="119" t="s">
        <v>646</v>
      </c>
      <c r="L182" s="119" t="s">
        <v>756</v>
      </c>
      <c r="M182" s="119" t="s">
        <v>2117</v>
      </c>
      <c r="N182" s="119" t="s">
        <v>2118</v>
      </c>
      <c r="O182" s="119" t="s">
        <v>2119</v>
      </c>
      <c r="P182" s="119"/>
      <c r="Q182" s="119" t="s">
        <v>568</v>
      </c>
      <c r="R182" s="119"/>
      <c r="S182" s="119"/>
    </row>
    <row r="183" spans="1:19" ht="14.25" x14ac:dyDescent="0.2">
      <c r="A183" s="133" t="s">
        <v>2120</v>
      </c>
      <c r="B183" s="133" t="s">
        <v>2121</v>
      </c>
      <c r="C183" s="133" t="s">
        <v>2122</v>
      </c>
      <c r="D183" s="133" t="s">
        <v>1882</v>
      </c>
      <c r="E183" s="133" t="s">
        <v>1849</v>
      </c>
      <c r="F183" s="133" t="s">
        <v>1850</v>
      </c>
      <c r="G183" s="133" t="s">
        <v>1395</v>
      </c>
      <c r="H183" s="133" t="s">
        <v>20</v>
      </c>
      <c r="I183" s="133" t="s">
        <v>1851</v>
      </c>
      <c r="J183" s="133" t="s">
        <v>655</v>
      </c>
      <c r="K183" s="133" t="s">
        <v>646</v>
      </c>
      <c r="L183" s="133" t="s">
        <v>1852</v>
      </c>
      <c r="M183" s="133" t="s">
        <v>1853</v>
      </c>
      <c r="N183" s="133"/>
      <c r="O183" s="133" t="s">
        <v>1854</v>
      </c>
      <c r="P183" s="133" t="s">
        <v>1855</v>
      </c>
      <c r="Q183" s="133" t="s">
        <v>568</v>
      </c>
      <c r="R183" s="119" t="s">
        <v>1733</v>
      </c>
      <c r="S183" s="119"/>
    </row>
    <row r="184" spans="1:19" ht="14.25" x14ac:dyDescent="0.2">
      <c r="A184" s="119" t="s">
        <v>2123</v>
      </c>
      <c r="B184" s="119" t="s">
        <v>2124</v>
      </c>
      <c r="C184" s="119" t="s">
        <v>2125</v>
      </c>
      <c r="D184" s="119" t="s">
        <v>2126</v>
      </c>
      <c r="E184" s="119" t="s">
        <v>1310</v>
      </c>
      <c r="F184" s="119"/>
      <c r="G184" s="119" t="s">
        <v>1395</v>
      </c>
      <c r="H184" s="119" t="s">
        <v>20</v>
      </c>
      <c r="I184" s="119" t="s">
        <v>2127</v>
      </c>
      <c r="J184" s="119" t="s">
        <v>645</v>
      </c>
      <c r="K184" s="119" t="s">
        <v>646</v>
      </c>
      <c r="L184" s="119" t="s">
        <v>2128</v>
      </c>
      <c r="M184" s="119" t="s">
        <v>2129</v>
      </c>
      <c r="N184" s="119"/>
      <c r="O184" s="119" t="s">
        <v>2130</v>
      </c>
      <c r="P184" s="119"/>
      <c r="Q184" s="119" t="s">
        <v>568</v>
      </c>
      <c r="R184" s="119"/>
      <c r="S184" s="119"/>
    </row>
    <row r="185" spans="1:19" ht="14.25" x14ac:dyDescent="0.2">
      <c r="A185" s="119" t="s">
        <v>2131</v>
      </c>
      <c r="B185" s="119" t="s">
        <v>2132</v>
      </c>
      <c r="C185" s="119" t="s">
        <v>2133</v>
      </c>
      <c r="D185" s="119" t="s">
        <v>2134</v>
      </c>
      <c r="E185" s="119" t="s">
        <v>2135</v>
      </c>
      <c r="F185" s="119"/>
      <c r="G185" s="119" t="s">
        <v>2105</v>
      </c>
      <c r="H185" s="119" t="s">
        <v>20</v>
      </c>
      <c r="I185" s="119" t="s">
        <v>2136</v>
      </c>
      <c r="J185" s="119" t="s">
        <v>645</v>
      </c>
      <c r="K185" s="119" t="s">
        <v>646</v>
      </c>
      <c r="L185" s="119" t="s">
        <v>2137</v>
      </c>
      <c r="M185" s="119" t="s">
        <v>2138</v>
      </c>
      <c r="N185" s="119" t="s">
        <v>2139</v>
      </c>
      <c r="O185" s="119" t="s">
        <v>2140</v>
      </c>
      <c r="P185" s="119"/>
      <c r="Q185" s="119" t="s">
        <v>568</v>
      </c>
      <c r="R185" s="119"/>
      <c r="S185" s="119"/>
    </row>
    <row r="186" spans="1:19" ht="14.25" x14ac:dyDescent="0.2">
      <c r="A186" s="133" t="s">
        <v>2141</v>
      </c>
      <c r="B186" s="133" t="s">
        <v>2142</v>
      </c>
      <c r="C186" s="133" t="s">
        <v>2143</v>
      </c>
      <c r="D186" s="133" t="s">
        <v>1865</v>
      </c>
      <c r="E186" s="133" t="s">
        <v>1866</v>
      </c>
      <c r="F186" s="133"/>
      <c r="G186" s="133" t="s">
        <v>1395</v>
      </c>
      <c r="H186" s="133" t="s">
        <v>20</v>
      </c>
      <c r="I186" s="133" t="s">
        <v>1867</v>
      </c>
      <c r="J186" s="133" t="s">
        <v>1621</v>
      </c>
      <c r="K186" s="133" t="s">
        <v>646</v>
      </c>
      <c r="L186" s="133" t="s">
        <v>3696</v>
      </c>
      <c r="M186" s="133" t="s">
        <v>3697</v>
      </c>
      <c r="N186" s="133" t="s">
        <v>3698</v>
      </c>
      <c r="O186" s="133" t="s">
        <v>3699</v>
      </c>
      <c r="P186" s="133" t="s">
        <v>2145</v>
      </c>
      <c r="Q186" s="133" t="s">
        <v>568</v>
      </c>
      <c r="R186" s="119" t="s">
        <v>1733</v>
      </c>
      <c r="S186" s="119"/>
    </row>
    <row r="187" spans="1:19" ht="14.25" x14ac:dyDescent="0.2">
      <c r="A187" s="119" t="s">
        <v>2146</v>
      </c>
      <c r="B187" s="119" t="s">
        <v>2147</v>
      </c>
      <c r="C187" s="119" t="s">
        <v>2148</v>
      </c>
      <c r="D187" s="119" t="s">
        <v>2149</v>
      </c>
      <c r="E187" s="119" t="s">
        <v>1823</v>
      </c>
      <c r="F187" s="119"/>
      <c r="G187" s="119" t="s">
        <v>2096</v>
      </c>
      <c r="H187" s="119" t="s">
        <v>20</v>
      </c>
      <c r="I187" s="119" t="s">
        <v>2150</v>
      </c>
      <c r="J187" s="119" t="s">
        <v>655</v>
      </c>
      <c r="K187" s="119" t="s">
        <v>646</v>
      </c>
      <c r="L187" s="119" t="s">
        <v>2151</v>
      </c>
      <c r="M187" s="119" t="s">
        <v>2152</v>
      </c>
      <c r="N187" s="119"/>
      <c r="O187" s="119" t="s">
        <v>2153</v>
      </c>
      <c r="P187" s="119"/>
      <c r="Q187" s="119" t="s">
        <v>568</v>
      </c>
      <c r="R187" s="119"/>
      <c r="S187" s="119"/>
    </row>
    <row r="188" spans="1:19" ht="14.25" x14ac:dyDescent="0.2">
      <c r="A188" s="133" t="s">
        <v>2154</v>
      </c>
      <c r="B188" s="133" t="s">
        <v>2155</v>
      </c>
      <c r="C188" s="133" t="s">
        <v>2156</v>
      </c>
      <c r="D188" s="133" t="s">
        <v>2157</v>
      </c>
      <c r="E188" s="133"/>
      <c r="F188" s="133"/>
      <c r="G188" s="133" t="s">
        <v>2158</v>
      </c>
      <c r="H188" s="133" t="s">
        <v>20</v>
      </c>
      <c r="I188" s="133" t="s">
        <v>2159</v>
      </c>
      <c r="J188" s="133" t="s">
        <v>645</v>
      </c>
      <c r="K188" s="133" t="s">
        <v>646</v>
      </c>
      <c r="L188" s="133" t="s">
        <v>2160</v>
      </c>
      <c r="M188" s="133" t="s">
        <v>948</v>
      </c>
      <c r="N188" s="133" t="s">
        <v>3646</v>
      </c>
      <c r="O188" s="133" t="s">
        <v>2162</v>
      </c>
      <c r="P188" s="133"/>
      <c r="Q188" s="133" t="s">
        <v>2161</v>
      </c>
      <c r="R188" s="119" t="s">
        <v>1733</v>
      </c>
      <c r="S188" s="119"/>
    </row>
    <row r="189" spans="1:19" ht="14.25" x14ac:dyDescent="0.2">
      <c r="A189" s="119" t="s">
        <v>2163</v>
      </c>
      <c r="B189" s="119" t="s">
        <v>2164</v>
      </c>
      <c r="C189" s="119" t="s">
        <v>2165</v>
      </c>
      <c r="D189" s="119" t="s">
        <v>2166</v>
      </c>
      <c r="E189" s="119" t="s">
        <v>2167</v>
      </c>
      <c r="F189" s="119" t="s">
        <v>1794</v>
      </c>
      <c r="G189" s="119" t="s">
        <v>2168</v>
      </c>
      <c r="H189" s="119" t="s">
        <v>20</v>
      </c>
      <c r="I189" s="119" t="s">
        <v>2169</v>
      </c>
      <c r="J189" s="119" t="s">
        <v>645</v>
      </c>
      <c r="K189" s="119" t="s">
        <v>646</v>
      </c>
      <c r="L189" s="119" t="s">
        <v>2170</v>
      </c>
      <c r="M189" s="119" t="s">
        <v>2171</v>
      </c>
      <c r="N189" s="119"/>
      <c r="O189" s="119" t="s">
        <v>2172</v>
      </c>
      <c r="P189" s="119"/>
      <c r="Q189" s="119" t="s">
        <v>568</v>
      </c>
      <c r="R189" s="119"/>
      <c r="S189" s="119"/>
    </row>
    <row r="190" spans="1:19" ht="14.25" x14ac:dyDescent="0.2">
      <c r="A190" s="119" t="s">
        <v>2173</v>
      </c>
      <c r="B190" s="119" t="s">
        <v>2174</v>
      </c>
      <c r="C190" s="119" t="s">
        <v>2175</v>
      </c>
      <c r="D190" s="119" t="s">
        <v>2176</v>
      </c>
      <c r="E190" s="119" t="s">
        <v>2177</v>
      </c>
      <c r="F190" s="119"/>
      <c r="G190" s="119" t="s">
        <v>2178</v>
      </c>
      <c r="H190" s="119" t="s">
        <v>20</v>
      </c>
      <c r="I190" s="119" t="s">
        <v>2179</v>
      </c>
      <c r="J190" s="119" t="s">
        <v>645</v>
      </c>
      <c r="K190" s="119" t="s">
        <v>646</v>
      </c>
      <c r="L190" s="119" t="s">
        <v>2180</v>
      </c>
      <c r="M190" s="119" t="s">
        <v>2181</v>
      </c>
      <c r="N190" s="119" t="s">
        <v>2182</v>
      </c>
      <c r="O190" s="119" t="s">
        <v>2183</v>
      </c>
      <c r="P190" s="119"/>
      <c r="Q190" s="119" t="s">
        <v>2161</v>
      </c>
      <c r="R190" s="119"/>
      <c r="S190" s="119"/>
    </row>
    <row r="191" spans="1:19" ht="14.25" x14ac:dyDescent="0.2">
      <c r="A191" s="119" t="s">
        <v>2184</v>
      </c>
      <c r="B191" s="119" t="s">
        <v>2185</v>
      </c>
      <c r="C191" s="119" t="s">
        <v>2186</v>
      </c>
      <c r="D191" s="119" t="s">
        <v>2187</v>
      </c>
      <c r="E191" s="119"/>
      <c r="F191" s="119"/>
      <c r="G191" s="119" t="s">
        <v>1395</v>
      </c>
      <c r="H191" s="119" t="s">
        <v>20</v>
      </c>
      <c r="I191" s="119" t="s">
        <v>2188</v>
      </c>
      <c r="J191" s="119" t="s">
        <v>655</v>
      </c>
      <c r="K191" s="119" t="s">
        <v>646</v>
      </c>
      <c r="L191" s="119" t="s">
        <v>862</v>
      </c>
      <c r="M191" s="119" t="s">
        <v>2189</v>
      </c>
      <c r="N191" s="119" t="s">
        <v>2190</v>
      </c>
      <c r="O191" s="119" t="s">
        <v>1937</v>
      </c>
      <c r="P191" s="119" t="s">
        <v>2191</v>
      </c>
      <c r="Q191" s="119" t="s">
        <v>568</v>
      </c>
      <c r="R191" s="119"/>
      <c r="S191" s="119"/>
    </row>
    <row r="192" spans="1:19" ht="14.25" x14ac:dyDescent="0.2">
      <c r="A192" s="119" t="s">
        <v>2192</v>
      </c>
      <c r="B192" s="119" t="s">
        <v>2193</v>
      </c>
      <c r="C192" s="119" t="s">
        <v>2194</v>
      </c>
      <c r="D192" s="119" t="s">
        <v>2195</v>
      </c>
      <c r="E192" s="119"/>
      <c r="F192" s="119"/>
      <c r="G192" s="119" t="s">
        <v>2196</v>
      </c>
      <c r="H192" s="119" t="s">
        <v>20</v>
      </c>
      <c r="I192" s="119" t="s">
        <v>2197</v>
      </c>
      <c r="J192" s="119" t="s">
        <v>645</v>
      </c>
      <c r="K192" s="119" t="s">
        <v>646</v>
      </c>
      <c r="L192" s="119" t="s">
        <v>2198</v>
      </c>
      <c r="M192" s="119" t="s">
        <v>2199</v>
      </c>
      <c r="N192" s="119" t="s">
        <v>2200</v>
      </c>
      <c r="O192" s="119" t="s">
        <v>2201</v>
      </c>
      <c r="P192" s="119"/>
      <c r="Q192" s="119" t="s">
        <v>1103</v>
      </c>
      <c r="R192" s="119"/>
      <c r="S192" s="119"/>
    </row>
    <row r="193" spans="1:19" ht="14.25" x14ac:dyDescent="0.2">
      <c r="A193" s="119" t="s">
        <v>2202</v>
      </c>
      <c r="B193" s="119" t="s">
        <v>2203</v>
      </c>
      <c r="C193" s="119" t="s">
        <v>2204</v>
      </c>
      <c r="D193" s="119" t="s">
        <v>2205</v>
      </c>
      <c r="E193" s="119"/>
      <c r="F193" s="119"/>
      <c r="G193" s="119" t="s">
        <v>1395</v>
      </c>
      <c r="H193" s="119" t="s">
        <v>20</v>
      </c>
      <c r="I193" s="119" t="s">
        <v>2206</v>
      </c>
      <c r="J193" s="119" t="s">
        <v>655</v>
      </c>
      <c r="K193" s="119" t="s">
        <v>646</v>
      </c>
      <c r="L193" s="119" t="s">
        <v>3691</v>
      </c>
      <c r="M193" s="119" t="s">
        <v>3692</v>
      </c>
      <c r="N193" s="119" t="s">
        <v>3693</v>
      </c>
      <c r="O193" s="119" t="s">
        <v>3694</v>
      </c>
      <c r="P193" s="119" t="s">
        <v>3695</v>
      </c>
      <c r="Q193" s="119" t="s">
        <v>2161</v>
      </c>
      <c r="R193" s="119"/>
      <c r="S193" s="119"/>
    </row>
    <row r="194" spans="1:19" ht="14.25" x14ac:dyDescent="0.2">
      <c r="A194" s="119" t="s">
        <v>2207</v>
      </c>
      <c r="B194" s="119" t="s">
        <v>2208</v>
      </c>
      <c r="C194" s="119" t="s">
        <v>2209</v>
      </c>
      <c r="D194" s="119" t="s">
        <v>2210</v>
      </c>
      <c r="E194" s="119" t="s">
        <v>2211</v>
      </c>
      <c r="F194" s="119"/>
      <c r="G194" s="119" t="s">
        <v>2168</v>
      </c>
      <c r="H194" s="119" t="s">
        <v>20</v>
      </c>
      <c r="I194" s="119" t="s">
        <v>2212</v>
      </c>
      <c r="J194" s="119" t="s">
        <v>655</v>
      </c>
      <c r="K194" s="119" t="s">
        <v>646</v>
      </c>
      <c r="L194" s="119" t="s">
        <v>2213</v>
      </c>
      <c r="M194" s="119" t="s">
        <v>2214</v>
      </c>
      <c r="N194" s="119"/>
      <c r="O194" s="119" t="s">
        <v>2215</v>
      </c>
      <c r="P194" s="119"/>
      <c r="Q194" s="119" t="s">
        <v>568</v>
      </c>
      <c r="R194" s="119"/>
      <c r="S194" s="119"/>
    </row>
    <row r="195" spans="1:19" ht="14.25" x14ac:dyDescent="0.2">
      <c r="A195" s="133" t="s">
        <v>2216</v>
      </c>
      <c r="B195" s="133" t="s">
        <v>2217</v>
      </c>
      <c r="C195" s="133" t="s">
        <v>2218</v>
      </c>
      <c r="D195" s="133" t="s">
        <v>2219</v>
      </c>
      <c r="E195" s="133" t="s">
        <v>2220</v>
      </c>
      <c r="F195" s="133"/>
      <c r="G195" s="133" t="s">
        <v>2221</v>
      </c>
      <c r="H195" s="133" t="s">
        <v>20</v>
      </c>
      <c r="I195" s="133" t="s">
        <v>2222</v>
      </c>
      <c r="J195" s="133" t="s">
        <v>645</v>
      </c>
      <c r="K195" s="133" t="s">
        <v>646</v>
      </c>
      <c r="L195" s="133" t="s">
        <v>2223</v>
      </c>
      <c r="M195" s="133" t="s">
        <v>2224</v>
      </c>
      <c r="N195" s="133" t="s">
        <v>2225</v>
      </c>
      <c r="O195" s="133" t="s">
        <v>2226</v>
      </c>
      <c r="P195" s="133"/>
      <c r="Q195" s="133" t="s">
        <v>568</v>
      </c>
      <c r="R195" s="119" t="s">
        <v>1733</v>
      </c>
      <c r="S195" s="119"/>
    </row>
    <row r="196" spans="1:19" ht="14.25" x14ac:dyDescent="0.2">
      <c r="A196" s="133" t="s">
        <v>2227</v>
      </c>
      <c r="B196" s="133" t="s">
        <v>2228</v>
      </c>
      <c r="C196" s="133" t="s">
        <v>2229</v>
      </c>
      <c r="D196" s="133" t="s">
        <v>2230</v>
      </c>
      <c r="E196" s="133"/>
      <c r="F196" s="133"/>
      <c r="G196" s="133" t="s">
        <v>2168</v>
      </c>
      <c r="H196" s="133" t="s">
        <v>20</v>
      </c>
      <c r="I196" s="133" t="s">
        <v>2231</v>
      </c>
      <c r="J196" s="133" t="s">
        <v>645</v>
      </c>
      <c r="K196" s="133" t="s">
        <v>646</v>
      </c>
      <c r="L196" s="133" t="s">
        <v>528</v>
      </c>
      <c r="M196" s="133" t="s">
        <v>2232</v>
      </c>
      <c r="N196" s="133" t="s">
        <v>2233</v>
      </c>
      <c r="O196" s="133" t="s">
        <v>2234</v>
      </c>
      <c r="P196" s="133"/>
      <c r="Q196" s="133" t="s">
        <v>568</v>
      </c>
      <c r="R196" s="119" t="s">
        <v>1733</v>
      </c>
      <c r="S196" s="119"/>
    </row>
    <row r="197" spans="1:19" ht="14.25" x14ac:dyDescent="0.2">
      <c r="A197" s="119" t="s">
        <v>2235</v>
      </c>
      <c r="B197" s="119" t="s">
        <v>2236</v>
      </c>
      <c r="C197" s="119" t="s">
        <v>2237</v>
      </c>
      <c r="D197" s="119" t="s">
        <v>2238</v>
      </c>
      <c r="E197" s="119"/>
      <c r="F197" s="119"/>
      <c r="G197" s="119" t="s">
        <v>2239</v>
      </c>
      <c r="H197" s="119" t="s">
        <v>20</v>
      </c>
      <c r="I197" s="119" t="s">
        <v>2240</v>
      </c>
      <c r="J197" s="119" t="s">
        <v>645</v>
      </c>
      <c r="K197" s="119" t="s">
        <v>646</v>
      </c>
      <c r="L197" s="119" t="s">
        <v>528</v>
      </c>
      <c r="M197" s="119" t="s">
        <v>2241</v>
      </c>
      <c r="N197" s="119"/>
      <c r="O197" s="119" t="s">
        <v>2242</v>
      </c>
      <c r="P197" s="119"/>
      <c r="Q197" s="119" t="s">
        <v>568</v>
      </c>
      <c r="R197" s="119"/>
      <c r="S197" s="119"/>
    </row>
    <row r="198" spans="1:19" ht="14.25" x14ac:dyDescent="0.2">
      <c r="A198" s="119" t="s">
        <v>2243</v>
      </c>
      <c r="B198" s="119" t="s">
        <v>2244</v>
      </c>
      <c r="C198" s="119" t="s">
        <v>2245</v>
      </c>
      <c r="D198" s="119" t="s">
        <v>1882</v>
      </c>
      <c r="E198" s="119" t="s">
        <v>1849</v>
      </c>
      <c r="F198" s="119" t="s">
        <v>1850</v>
      </c>
      <c r="G198" s="119" t="s">
        <v>1395</v>
      </c>
      <c r="H198" s="119" t="s">
        <v>20</v>
      </c>
      <c r="I198" s="119" t="s">
        <v>2246</v>
      </c>
      <c r="J198" s="119" t="s">
        <v>645</v>
      </c>
      <c r="K198" s="119" t="s">
        <v>646</v>
      </c>
      <c r="L198" s="119" t="s">
        <v>1875</v>
      </c>
      <c r="M198" s="119" t="s">
        <v>1876</v>
      </c>
      <c r="N198" s="119" t="s">
        <v>1877</v>
      </c>
      <c r="O198" s="119" t="s">
        <v>1854</v>
      </c>
      <c r="P198" s="119" t="s">
        <v>1878</v>
      </c>
      <c r="Q198" s="119" t="s">
        <v>568</v>
      </c>
      <c r="R198" s="119"/>
      <c r="S198" s="119"/>
    </row>
    <row r="199" spans="1:19" ht="14.25" x14ac:dyDescent="0.2">
      <c r="A199" s="119" t="s">
        <v>3590</v>
      </c>
      <c r="B199" s="119" t="s">
        <v>3591</v>
      </c>
      <c r="C199" s="119" t="s">
        <v>3592</v>
      </c>
      <c r="D199" s="119" t="s">
        <v>3593</v>
      </c>
      <c r="E199" s="119" t="s">
        <v>2957</v>
      </c>
      <c r="F199" s="119"/>
      <c r="G199" s="119" t="s">
        <v>1840</v>
      </c>
      <c r="H199" s="119" t="s">
        <v>20</v>
      </c>
      <c r="I199" s="119" t="s">
        <v>2958</v>
      </c>
      <c r="J199" s="119" t="s">
        <v>655</v>
      </c>
      <c r="K199" s="119" t="s">
        <v>646</v>
      </c>
      <c r="L199" s="119" t="s">
        <v>776</v>
      </c>
      <c r="M199" s="119" t="s">
        <v>3594</v>
      </c>
      <c r="N199" s="119" t="s">
        <v>3595</v>
      </c>
      <c r="O199" s="119" t="s">
        <v>2022</v>
      </c>
      <c r="P199" s="119" t="s">
        <v>3226</v>
      </c>
      <c r="Q199" s="119" t="s">
        <v>651</v>
      </c>
      <c r="R199" s="119"/>
      <c r="S199" s="119"/>
    </row>
    <row r="200" spans="1:19" ht="14.25" x14ac:dyDescent="0.2">
      <c r="A200" s="133" t="s">
        <v>2247</v>
      </c>
      <c r="B200" s="133" t="s">
        <v>2248</v>
      </c>
      <c r="C200" s="133" t="s">
        <v>2249</v>
      </c>
      <c r="D200" s="133" t="s">
        <v>2250</v>
      </c>
      <c r="E200" s="133"/>
      <c r="F200" s="133"/>
      <c r="G200" s="133" t="s">
        <v>1840</v>
      </c>
      <c r="H200" s="133" t="s">
        <v>20</v>
      </c>
      <c r="I200" s="133" t="s">
        <v>2251</v>
      </c>
      <c r="J200" s="133" t="s">
        <v>645</v>
      </c>
      <c r="K200" s="133" t="s">
        <v>646</v>
      </c>
      <c r="L200" s="133" t="s">
        <v>2252</v>
      </c>
      <c r="M200" s="133" t="s">
        <v>2253</v>
      </c>
      <c r="N200" s="133" t="s">
        <v>2254</v>
      </c>
      <c r="O200" s="133" t="s">
        <v>2255</v>
      </c>
      <c r="P200" s="133"/>
      <c r="Q200" s="82" t="s">
        <v>568</v>
      </c>
      <c r="R200" s="80" t="s">
        <v>1733</v>
      </c>
      <c r="S200" s="119"/>
    </row>
    <row r="201" spans="1:19" ht="14.25" x14ac:dyDescent="0.2">
      <c r="A201" s="119" t="s">
        <v>2256</v>
      </c>
      <c r="B201" s="119" t="s">
        <v>2257</v>
      </c>
      <c r="C201" s="119" t="s">
        <v>2258</v>
      </c>
      <c r="D201" s="119" t="s">
        <v>2259</v>
      </c>
      <c r="E201" s="119"/>
      <c r="F201" s="119"/>
      <c r="G201" s="119" t="s">
        <v>2260</v>
      </c>
      <c r="H201" s="119" t="s">
        <v>20</v>
      </c>
      <c r="I201" s="119" t="s">
        <v>2261</v>
      </c>
      <c r="J201" s="119" t="s">
        <v>645</v>
      </c>
      <c r="K201" s="119" t="s">
        <v>646</v>
      </c>
      <c r="L201" s="119" t="s">
        <v>1450</v>
      </c>
      <c r="M201" s="119" t="s">
        <v>2262</v>
      </c>
      <c r="N201" s="119" t="s">
        <v>2263</v>
      </c>
      <c r="O201" s="119" t="s">
        <v>2264</v>
      </c>
      <c r="P201" s="119"/>
      <c r="Q201" s="119" t="s">
        <v>568</v>
      </c>
      <c r="R201" s="119"/>
      <c r="S201" s="119"/>
    </row>
    <row r="202" spans="1:19" ht="14.25" x14ac:dyDescent="0.2">
      <c r="A202" s="119" t="s">
        <v>2265</v>
      </c>
      <c r="B202" s="119" t="s">
        <v>2266</v>
      </c>
      <c r="C202" s="119" t="s">
        <v>2267</v>
      </c>
      <c r="D202" s="119" t="s">
        <v>2268</v>
      </c>
      <c r="E202" s="119" t="s">
        <v>2269</v>
      </c>
      <c r="F202" s="119"/>
      <c r="G202" s="119" t="s">
        <v>1395</v>
      </c>
      <c r="H202" s="119" t="s">
        <v>20</v>
      </c>
      <c r="I202" s="119" t="s">
        <v>2270</v>
      </c>
      <c r="J202" s="119" t="s">
        <v>645</v>
      </c>
      <c r="K202" s="119" t="s">
        <v>646</v>
      </c>
      <c r="L202" s="119" t="s">
        <v>2271</v>
      </c>
      <c r="M202" s="119" t="s">
        <v>2272</v>
      </c>
      <c r="N202" s="119" t="s">
        <v>2273</v>
      </c>
      <c r="O202" s="119" t="s">
        <v>2274</v>
      </c>
      <c r="P202" s="119"/>
      <c r="Q202" s="119" t="s">
        <v>568</v>
      </c>
      <c r="R202" s="119"/>
      <c r="S202" s="119"/>
    </row>
    <row r="203" spans="1:19" ht="14.25" x14ac:dyDescent="0.2">
      <c r="A203" s="119" t="s">
        <v>2275</v>
      </c>
      <c r="B203" s="119" t="s">
        <v>2276</v>
      </c>
      <c r="C203" s="119" t="s">
        <v>2277</v>
      </c>
      <c r="D203" s="119" t="s">
        <v>2278</v>
      </c>
      <c r="E203" s="119" t="s">
        <v>2279</v>
      </c>
      <c r="F203" s="119"/>
      <c r="G203" s="119" t="s">
        <v>2280</v>
      </c>
      <c r="H203" s="119" t="s">
        <v>20</v>
      </c>
      <c r="I203" s="119" t="s">
        <v>2281</v>
      </c>
      <c r="J203" s="119" t="s">
        <v>655</v>
      </c>
      <c r="K203" s="119" t="s">
        <v>646</v>
      </c>
      <c r="L203" s="119" t="s">
        <v>1826</v>
      </c>
      <c r="M203" s="119" t="s">
        <v>2282</v>
      </c>
      <c r="N203" s="119" t="s">
        <v>2283</v>
      </c>
      <c r="O203" s="119" t="s">
        <v>2284</v>
      </c>
      <c r="P203" s="119"/>
      <c r="Q203" s="119" t="s">
        <v>568</v>
      </c>
      <c r="R203" s="119"/>
      <c r="S203" s="119"/>
    </row>
    <row r="204" spans="1:19" ht="14.25" x14ac:dyDescent="0.2">
      <c r="A204" s="119" t="s">
        <v>2285</v>
      </c>
      <c r="B204" s="119" t="s">
        <v>2286</v>
      </c>
      <c r="C204" s="119" t="s">
        <v>2287</v>
      </c>
      <c r="D204" s="119" t="s">
        <v>2288</v>
      </c>
      <c r="E204" s="119" t="s">
        <v>2289</v>
      </c>
      <c r="F204" s="119" t="s">
        <v>1993</v>
      </c>
      <c r="G204" s="119" t="s">
        <v>1395</v>
      </c>
      <c r="H204" s="119" t="s">
        <v>20</v>
      </c>
      <c r="I204" s="119" t="s">
        <v>1994</v>
      </c>
      <c r="J204" s="119" t="s">
        <v>709</v>
      </c>
      <c r="K204" s="119" t="s">
        <v>646</v>
      </c>
      <c r="L204" s="119" t="s">
        <v>3688</v>
      </c>
      <c r="M204" s="119" t="s">
        <v>3689</v>
      </c>
      <c r="N204" s="119" t="s">
        <v>1995</v>
      </c>
      <c r="O204" s="119" t="s">
        <v>3690</v>
      </c>
      <c r="P204" s="119"/>
      <c r="Q204" s="119" t="s">
        <v>568</v>
      </c>
      <c r="R204" s="119"/>
      <c r="S204" s="119"/>
    </row>
    <row r="205" spans="1:19" ht="14.25" x14ac:dyDescent="0.2">
      <c r="A205" s="119" t="s">
        <v>2290</v>
      </c>
      <c r="B205" s="119" t="s">
        <v>2291</v>
      </c>
      <c r="C205" s="119" t="s">
        <v>2292</v>
      </c>
      <c r="D205" s="119" t="s">
        <v>2293</v>
      </c>
      <c r="E205" s="119"/>
      <c r="F205" s="119"/>
      <c r="G205" s="119" t="s">
        <v>2294</v>
      </c>
      <c r="H205" s="119" t="s">
        <v>20</v>
      </c>
      <c r="I205" s="119" t="s">
        <v>2295</v>
      </c>
      <c r="J205" s="119" t="s">
        <v>645</v>
      </c>
      <c r="K205" s="119" t="s">
        <v>646</v>
      </c>
      <c r="L205" s="119" t="s">
        <v>2296</v>
      </c>
      <c r="M205" s="119" t="s">
        <v>2297</v>
      </c>
      <c r="N205" s="119"/>
      <c r="O205" s="119" t="s">
        <v>2298</v>
      </c>
      <c r="P205" s="119"/>
      <c r="Q205" s="119" t="s">
        <v>568</v>
      </c>
      <c r="R205" s="119"/>
      <c r="S205" s="119"/>
    </row>
    <row r="206" spans="1:19" ht="14.25" x14ac:dyDescent="0.2">
      <c r="A206" s="133" t="s">
        <v>2299</v>
      </c>
      <c r="B206" s="133" t="s">
        <v>2300</v>
      </c>
      <c r="C206" s="133" t="s">
        <v>2301</v>
      </c>
      <c r="D206" s="133" t="s">
        <v>1882</v>
      </c>
      <c r="E206" s="133" t="s">
        <v>1849</v>
      </c>
      <c r="F206" s="133" t="s">
        <v>1850</v>
      </c>
      <c r="G206" s="133" t="s">
        <v>1395</v>
      </c>
      <c r="H206" s="133" t="s">
        <v>20</v>
      </c>
      <c r="I206" s="133" t="s">
        <v>1851</v>
      </c>
      <c r="J206" s="133" t="s">
        <v>645</v>
      </c>
      <c r="K206" s="133" t="s">
        <v>646</v>
      </c>
      <c r="L206" s="133" t="s">
        <v>1875</v>
      </c>
      <c r="M206" s="133" t="s">
        <v>1876</v>
      </c>
      <c r="N206" s="133" t="s">
        <v>1877</v>
      </c>
      <c r="O206" s="133" t="s">
        <v>1854</v>
      </c>
      <c r="P206" s="133" t="s">
        <v>1878</v>
      </c>
      <c r="Q206" s="133" t="s">
        <v>568</v>
      </c>
      <c r="R206" s="119" t="s">
        <v>1733</v>
      </c>
      <c r="S206" s="119"/>
    </row>
    <row r="207" spans="1:19" ht="14.25" x14ac:dyDescent="0.2">
      <c r="A207" s="133" t="s">
        <v>2302</v>
      </c>
      <c r="B207" s="133" t="s">
        <v>2303</v>
      </c>
      <c r="C207" s="133" t="s">
        <v>2304</v>
      </c>
      <c r="D207" s="133" t="s">
        <v>2305</v>
      </c>
      <c r="E207" s="133" t="s">
        <v>2306</v>
      </c>
      <c r="F207" s="133"/>
      <c r="G207" s="133" t="s">
        <v>2307</v>
      </c>
      <c r="H207" s="133" t="s">
        <v>20</v>
      </c>
      <c r="I207" s="133" t="s">
        <v>2308</v>
      </c>
      <c r="J207" s="133" t="s">
        <v>645</v>
      </c>
      <c r="K207" s="133" t="s">
        <v>646</v>
      </c>
      <c r="L207" s="133" t="s">
        <v>2309</v>
      </c>
      <c r="M207" s="133" t="s">
        <v>2310</v>
      </c>
      <c r="N207" s="133"/>
      <c r="O207" s="133" t="s">
        <v>2311</v>
      </c>
      <c r="P207" s="133"/>
      <c r="Q207" s="133" t="s">
        <v>568</v>
      </c>
      <c r="R207" s="119" t="s">
        <v>1733</v>
      </c>
      <c r="S207" s="119"/>
    </row>
    <row r="208" spans="1:19" ht="14.25" x14ac:dyDescent="0.2">
      <c r="A208" s="123" t="s">
        <v>2312</v>
      </c>
      <c r="B208" s="123" t="s">
        <v>2313</v>
      </c>
      <c r="C208" s="123" t="s">
        <v>2314</v>
      </c>
      <c r="D208" s="123" t="s">
        <v>2315</v>
      </c>
      <c r="E208" s="119" t="s">
        <v>2316</v>
      </c>
      <c r="F208" s="119"/>
      <c r="G208" s="119" t="s">
        <v>2317</v>
      </c>
      <c r="H208" s="119" t="s">
        <v>20</v>
      </c>
      <c r="I208" s="119" t="s">
        <v>2318</v>
      </c>
      <c r="J208" s="123" t="s">
        <v>645</v>
      </c>
      <c r="K208" s="123" t="s">
        <v>646</v>
      </c>
      <c r="L208" s="123" t="s">
        <v>2319</v>
      </c>
      <c r="M208" s="123" t="s">
        <v>2320</v>
      </c>
      <c r="N208" s="123"/>
      <c r="O208" s="123" t="s">
        <v>2321</v>
      </c>
      <c r="P208" s="123"/>
      <c r="Q208" s="123" t="s">
        <v>568</v>
      </c>
      <c r="R208" s="123"/>
      <c r="S208" s="154" t="s">
        <v>3867</v>
      </c>
    </row>
    <row r="209" spans="1:19" ht="14.25" x14ac:dyDescent="0.2">
      <c r="A209" s="119" t="s">
        <v>2322</v>
      </c>
      <c r="B209" s="119" t="s">
        <v>2323</v>
      </c>
      <c r="C209" s="119" t="s">
        <v>2324</v>
      </c>
      <c r="D209" s="119" t="s">
        <v>2325</v>
      </c>
      <c r="E209" s="119"/>
      <c r="F209" s="119"/>
      <c r="G209" s="119" t="s">
        <v>1795</v>
      </c>
      <c r="H209" s="119" t="s">
        <v>20</v>
      </c>
      <c r="I209" s="119" t="s">
        <v>2326</v>
      </c>
      <c r="J209" s="119" t="s">
        <v>645</v>
      </c>
      <c r="K209" s="119" t="s">
        <v>646</v>
      </c>
      <c r="L209" s="119" t="s">
        <v>2327</v>
      </c>
      <c r="M209" s="119" t="s">
        <v>509</v>
      </c>
      <c r="N209" s="119" t="s">
        <v>2328</v>
      </c>
      <c r="O209" s="119" t="s">
        <v>2329</v>
      </c>
      <c r="P209" s="119"/>
      <c r="Q209" s="119" t="s">
        <v>568</v>
      </c>
      <c r="R209" s="119"/>
      <c r="S209" s="119"/>
    </row>
    <row r="210" spans="1:19" ht="14.25" x14ac:dyDescent="0.2">
      <c r="A210" s="119" t="s">
        <v>2330</v>
      </c>
      <c r="B210" s="119" t="s">
        <v>2331</v>
      </c>
      <c r="C210" s="119" t="s">
        <v>2332</v>
      </c>
      <c r="D210" s="119" t="s">
        <v>2333</v>
      </c>
      <c r="E210" s="119" t="s">
        <v>2334</v>
      </c>
      <c r="F210" s="119" t="s">
        <v>2335</v>
      </c>
      <c r="G210" s="119" t="s">
        <v>1815</v>
      </c>
      <c r="H210" s="119" t="s">
        <v>20</v>
      </c>
      <c r="I210" s="119" t="s">
        <v>2336</v>
      </c>
      <c r="J210" s="119" t="s">
        <v>645</v>
      </c>
      <c r="K210" s="119" t="s">
        <v>646</v>
      </c>
      <c r="L210" s="119" t="s">
        <v>740</v>
      </c>
      <c r="M210" s="119" t="s">
        <v>2337</v>
      </c>
      <c r="N210" s="119"/>
      <c r="O210" s="119" t="s">
        <v>2338</v>
      </c>
      <c r="P210" s="119"/>
      <c r="Q210" s="119" t="s">
        <v>568</v>
      </c>
      <c r="R210" s="119"/>
      <c r="S210" s="119"/>
    </row>
    <row r="211" spans="1:19" ht="14.25" x14ac:dyDescent="0.2">
      <c r="A211" s="119" t="s">
        <v>2339</v>
      </c>
      <c r="B211" s="119" t="s">
        <v>2340</v>
      </c>
      <c r="C211" s="119" t="s">
        <v>2341</v>
      </c>
      <c r="D211" s="119" t="s">
        <v>2342</v>
      </c>
      <c r="E211" s="119" t="s">
        <v>2343</v>
      </c>
      <c r="F211" s="119"/>
      <c r="G211" s="119" t="s">
        <v>2344</v>
      </c>
      <c r="H211" s="119" t="s">
        <v>20</v>
      </c>
      <c r="I211" s="119" t="s">
        <v>2345</v>
      </c>
      <c r="J211" s="119" t="s">
        <v>645</v>
      </c>
      <c r="K211" s="119" t="s">
        <v>646</v>
      </c>
      <c r="L211" s="119" t="s">
        <v>2346</v>
      </c>
      <c r="M211" s="119" t="s">
        <v>2347</v>
      </c>
      <c r="N211" s="119" t="s">
        <v>2348</v>
      </c>
      <c r="O211" s="119" t="s">
        <v>2349</v>
      </c>
      <c r="P211" s="119"/>
      <c r="Q211" s="119" t="s">
        <v>568</v>
      </c>
      <c r="R211" s="119"/>
      <c r="S211" s="119"/>
    </row>
    <row r="212" spans="1:19" ht="14.25" x14ac:dyDescent="0.2">
      <c r="A212" s="133" t="s">
        <v>2350</v>
      </c>
      <c r="B212" s="133" t="s">
        <v>2351</v>
      </c>
      <c r="C212" s="133" t="s">
        <v>2352</v>
      </c>
      <c r="D212" s="133" t="s">
        <v>2353</v>
      </c>
      <c r="E212" s="133" t="s">
        <v>2354</v>
      </c>
      <c r="F212" s="133"/>
      <c r="G212" s="133" t="s">
        <v>2317</v>
      </c>
      <c r="H212" s="133" t="s">
        <v>20</v>
      </c>
      <c r="I212" s="133" t="s">
        <v>2355</v>
      </c>
      <c r="J212" s="133" t="s">
        <v>645</v>
      </c>
      <c r="K212" s="133" t="s">
        <v>646</v>
      </c>
      <c r="L212" s="133" t="s">
        <v>2356</v>
      </c>
      <c r="M212" s="133" t="s">
        <v>2357</v>
      </c>
      <c r="N212" s="133" t="s">
        <v>2358</v>
      </c>
      <c r="O212" s="133" t="s">
        <v>2359</v>
      </c>
      <c r="P212" s="133" t="s">
        <v>2360</v>
      </c>
      <c r="Q212" s="133" t="s">
        <v>568</v>
      </c>
      <c r="R212" s="119" t="s">
        <v>1733</v>
      </c>
      <c r="S212" s="119"/>
    </row>
    <row r="213" spans="1:19" ht="14.25" x14ac:dyDescent="0.2">
      <c r="A213" s="119" t="s">
        <v>2361</v>
      </c>
      <c r="B213" s="119" t="s">
        <v>2362</v>
      </c>
      <c r="C213" s="119" t="s">
        <v>2363</v>
      </c>
      <c r="D213" s="119" t="s">
        <v>2364</v>
      </c>
      <c r="E213" s="119" t="s">
        <v>2365</v>
      </c>
      <c r="F213" s="119"/>
      <c r="G213" s="119" t="s">
        <v>1784</v>
      </c>
      <c r="H213" s="119" t="s">
        <v>20</v>
      </c>
      <c r="I213" s="119" t="s">
        <v>2366</v>
      </c>
      <c r="J213" s="119" t="s">
        <v>655</v>
      </c>
      <c r="K213" s="119" t="s">
        <v>646</v>
      </c>
      <c r="L213" s="119" t="s">
        <v>1450</v>
      </c>
      <c r="M213" s="119" t="s">
        <v>2367</v>
      </c>
      <c r="N213" s="119" t="s">
        <v>2368</v>
      </c>
      <c r="O213" s="119" t="s">
        <v>2369</v>
      </c>
      <c r="P213" s="119"/>
      <c r="Q213" s="119" t="s">
        <v>568</v>
      </c>
      <c r="R213" s="119"/>
      <c r="S213" s="119"/>
    </row>
    <row r="214" spans="1:19" ht="14.25" x14ac:dyDescent="0.2">
      <c r="A214" s="119" t="s">
        <v>2370</v>
      </c>
      <c r="B214" s="119" t="s">
        <v>2371</v>
      </c>
      <c r="C214" s="119" t="s">
        <v>2372</v>
      </c>
      <c r="D214" s="119" t="s">
        <v>1865</v>
      </c>
      <c r="E214" s="119" t="s">
        <v>1866</v>
      </c>
      <c r="F214" s="119"/>
      <c r="G214" s="119" t="s">
        <v>1395</v>
      </c>
      <c r="H214" s="119" t="s">
        <v>20</v>
      </c>
      <c r="I214" s="119" t="s">
        <v>1867</v>
      </c>
      <c r="J214" s="119" t="s">
        <v>655</v>
      </c>
      <c r="K214" s="119" t="s">
        <v>646</v>
      </c>
      <c r="L214" s="119" t="s">
        <v>2373</v>
      </c>
      <c r="M214" s="119" t="s">
        <v>2374</v>
      </c>
      <c r="N214" s="119" t="s">
        <v>2375</v>
      </c>
      <c r="O214" s="119" t="s">
        <v>2376</v>
      </c>
      <c r="P214" s="119"/>
      <c r="Q214" s="119" t="s">
        <v>568</v>
      </c>
      <c r="R214" s="119"/>
      <c r="S214" s="119"/>
    </row>
    <row r="215" spans="1:19" ht="14.25" x14ac:dyDescent="0.2">
      <c r="A215" s="119" t="s">
        <v>2377</v>
      </c>
      <c r="B215" s="119" t="s">
        <v>2378</v>
      </c>
      <c r="C215" s="119" t="s">
        <v>2379</v>
      </c>
      <c r="D215" s="119" t="s">
        <v>2380</v>
      </c>
      <c r="E215" s="119" t="s">
        <v>2381</v>
      </c>
      <c r="F215" s="119"/>
      <c r="G215" s="119" t="s">
        <v>2382</v>
      </c>
      <c r="H215" s="119" t="s">
        <v>20</v>
      </c>
      <c r="I215" s="119" t="s">
        <v>2383</v>
      </c>
      <c r="J215" s="119" t="s">
        <v>645</v>
      </c>
      <c r="K215" s="119" t="s">
        <v>646</v>
      </c>
      <c r="L215" s="119" t="s">
        <v>2384</v>
      </c>
      <c r="M215" s="119" t="s">
        <v>536</v>
      </c>
      <c r="N215" s="119" t="s">
        <v>2385</v>
      </c>
      <c r="O215" s="119" t="s">
        <v>2386</v>
      </c>
      <c r="P215" s="119"/>
      <c r="Q215" s="119" t="s">
        <v>2161</v>
      </c>
      <c r="R215" s="119"/>
      <c r="S215" s="119"/>
    </row>
    <row r="216" spans="1:19" ht="14.25" x14ac:dyDescent="0.2">
      <c r="A216" s="119" t="s">
        <v>2387</v>
      </c>
      <c r="B216" s="119" t="s">
        <v>2047</v>
      </c>
      <c r="C216" s="119" t="s">
        <v>2048</v>
      </c>
      <c r="D216" s="119" t="s">
        <v>2049</v>
      </c>
      <c r="E216" s="119" t="s">
        <v>2050</v>
      </c>
      <c r="F216" s="119"/>
      <c r="G216" s="119" t="s">
        <v>2051</v>
      </c>
      <c r="H216" s="119" t="s">
        <v>20</v>
      </c>
      <c r="I216" s="119" t="s">
        <v>2052</v>
      </c>
      <c r="J216" s="119" t="s">
        <v>655</v>
      </c>
      <c r="K216" s="119" t="s">
        <v>646</v>
      </c>
      <c r="L216" s="119" t="s">
        <v>2053</v>
      </c>
      <c r="M216" s="119" t="s">
        <v>2054</v>
      </c>
      <c r="N216" s="119"/>
      <c r="O216" s="119" t="s">
        <v>2056</v>
      </c>
      <c r="P216" s="119"/>
      <c r="Q216" s="119" t="s">
        <v>568</v>
      </c>
      <c r="R216" s="119"/>
      <c r="S216" s="119"/>
    </row>
    <row r="217" spans="1:19" ht="14.25" x14ac:dyDescent="0.2">
      <c r="A217" s="119" t="s">
        <v>2388</v>
      </c>
      <c r="B217" s="119" t="s">
        <v>2389</v>
      </c>
      <c r="C217" s="119" t="s">
        <v>2390</v>
      </c>
      <c r="D217" s="119" t="s">
        <v>2391</v>
      </c>
      <c r="E217" s="119" t="s">
        <v>2392</v>
      </c>
      <c r="F217" s="119"/>
      <c r="G217" s="119" t="s">
        <v>1805</v>
      </c>
      <c r="H217" s="119" t="s">
        <v>20</v>
      </c>
      <c r="I217" s="119" t="s">
        <v>2393</v>
      </c>
      <c r="J217" s="119" t="s">
        <v>645</v>
      </c>
      <c r="K217" s="119" t="s">
        <v>646</v>
      </c>
      <c r="L217" s="119" t="s">
        <v>1062</v>
      </c>
      <c r="M217" s="119" t="s">
        <v>2394</v>
      </c>
      <c r="N217" s="119"/>
      <c r="O217" s="119" t="s">
        <v>2395</v>
      </c>
      <c r="P217" s="119"/>
      <c r="Q217" s="119" t="s">
        <v>568</v>
      </c>
      <c r="R217" s="119"/>
      <c r="S217" s="119"/>
    </row>
    <row r="218" spans="1:19" ht="14.25" x14ac:dyDescent="0.2">
      <c r="A218" s="119" t="s">
        <v>3569</v>
      </c>
      <c r="B218" s="119" t="s">
        <v>3570</v>
      </c>
      <c r="C218" s="119" t="s">
        <v>3571</v>
      </c>
      <c r="D218" s="119" t="s">
        <v>3572</v>
      </c>
      <c r="E218" s="119"/>
      <c r="F218" s="119"/>
      <c r="G218" s="119" t="s">
        <v>1951</v>
      </c>
      <c r="H218" s="119" t="s">
        <v>20</v>
      </c>
      <c r="I218" s="119" t="s">
        <v>3573</v>
      </c>
      <c r="J218" s="119" t="s">
        <v>645</v>
      </c>
      <c r="K218" s="119" t="s">
        <v>646</v>
      </c>
      <c r="L218" s="119" t="s">
        <v>3574</v>
      </c>
      <c r="M218" s="119" t="s">
        <v>3575</v>
      </c>
      <c r="N218" s="119"/>
      <c r="O218" s="119" t="s">
        <v>3576</v>
      </c>
      <c r="P218" s="119"/>
      <c r="Q218" s="119" t="s">
        <v>1349</v>
      </c>
      <c r="R218" s="119"/>
      <c r="S218" s="119"/>
    </row>
    <row r="219" spans="1:19" ht="14.25" x14ac:dyDescent="0.2">
      <c r="A219" s="119" t="s">
        <v>2396</v>
      </c>
      <c r="B219" s="119" t="s">
        <v>2397</v>
      </c>
      <c r="C219" s="119" t="s">
        <v>2398</v>
      </c>
      <c r="D219" s="119" t="s">
        <v>1865</v>
      </c>
      <c r="E219" s="119" t="s">
        <v>1866</v>
      </c>
      <c r="F219" s="119"/>
      <c r="G219" s="119" t="s">
        <v>1395</v>
      </c>
      <c r="H219" s="119" t="s">
        <v>20</v>
      </c>
      <c r="I219" s="119" t="s">
        <v>1867</v>
      </c>
      <c r="J219" s="119" t="s">
        <v>655</v>
      </c>
      <c r="K219" s="119" t="s">
        <v>646</v>
      </c>
      <c r="L219" s="119" t="s">
        <v>2399</v>
      </c>
      <c r="M219" s="119" t="s">
        <v>2400</v>
      </c>
      <c r="N219" s="119" t="s">
        <v>2401</v>
      </c>
      <c r="O219" s="119" t="s">
        <v>2376</v>
      </c>
      <c r="P219" s="119"/>
      <c r="Q219" s="119" t="s">
        <v>568</v>
      </c>
      <c r="R219" s="119"/>
      <c r="S219" s="119"/>
    </row>
    <row r="220" spans="1:19" ht="14.25" x14ac:dyDescent="0.2">
      <c r="A220" s="119" t="s">
        <v>2402</v>
      </c>
      <c r="B220" s="119" t="s">
        <v>2403</v>
      </c>
      <c r="C220" s="119" t="s">
        <v>2404</v>
      </c>
      <c r="D220" s="119" t="s">
        <v>2405</v>
      </c>
      <c r="E220" s="119" t="s">
        <v>2406</v>
      </c>
      <c r="F220" s="119" t="s">
        <v>2407</v>
      </c>
      <c r="G220" s="119" t="s">
        <v>2408</v>
      </c>
      <c r="H220" s="119" t="s">
        <v>20</v>
      </c>
      <c r="I220" s="119" t="s">
        <v>2409</v>
      </c>
      <c r="J220" s="119" t="s">
        <v>655</v>
      </c>
      <c r="K220" s="119" t="s">
        <v>646</v>
      </c>
      <c r="L220" s="119" t="s">
        <v>2410</v>
      </c>
      <c r="M220" s="119" t="s">
        <v>2411</v>
      </c>
      <c r="N220" s="119" t="s">
        <v>2412</v>
      </c>
      <c r="O220" s="119" t="s">
        <v>2413</v>
      </c>
      <c r="P220" s="119"/>
      <c r="Q220" s="119" t="s">
        <v>568</v>
      </c>
      <c r="R220" s="119"/>
      <c r="S220" s="119"/>
    </row>
    <row r="221" spans="1:19" ht="14.25" x14ac:dyDescent="0.2">
      <c r="A221" s="133" t="s">
        <v>2414</v>
      </c>
      <c r="B221" s="133" t="s">
        <v>2415</v>
      </c>
      <c r="C221" s="133" t="s">
        <v>2416</v>
      </c>
      <c r="D221" s="133" t="s">
        <v>2417</v>
      </c>
      <c r="E221" s="133"/>
      <c r="F221" s="133"/>
      <c r="G221" s="133" t="s">
        <v>2418</v>
      </c>
      <c r="H221" s="133" t="s">
        <v>20</v>
      </c>
      <c r="I221" s="133" t="s">
        <v>2419</v>
      </c>
      <c r="J221" s="133" t="s">
        <v>645</v>
      </c>
      <c r="K221" s="133" t="s">
        <v>646</v>
      </c>
      <c r="L221" s="133" t="s">
        <v>2420</v>
      </c>
      <c r="M221" s="133" t="s">
        <v>2421</v>
      </c>
      <c r="N221" s="133" t="s">
        <v>2422</v>
      </c>
      <c r="O221" s="133" t="s">
        <v>2423</v>
      </c>
      <c r="P221" s="133"/>
      <c r="Q221" s="133" t="s">
        <v>568</v>
      </c>
      <c r="R221" s="119" t="s">
        <v>1733</v>
      </c>
      <c r="S221" s="119"/>
    </row>
    <row r="222" spans="1:19" ht="14.25" x14ac:dyDescent="0.2">
      <c r="A222" s="119" t="s">
        <v>2424</v>
      </c>
      <c r="B222" s="119" t="s">
        <v>2425</v>
      </c>
      <c r="C222" s="119" t="s">
        <v>2426</v>
      </c>
      <c r="D222" s="119" t="s">
        <v>2427</v>
      </c>
      <c r="E222" s="119"/>
      <c r="F222" s="119"/>
      <c r="G222" s="119" t="s">
        <v>2428</v>
      </c>
      <c r="H222" s="119" t="s">
        <v>20</v>
      </c>
      <c r="I222" s="119" t="s">
        <v>2429</v>
      </c>
      <c r="J222" s="119" t="s">
        <v>645</v>
      </c>
      <c r="K222" s="119" t="s">
        <v>646</v>
      </c>
      <c r="L222" s="119" t="s">
        <v>2430</v>
      </c>
      <c r="M222" s="119" t="s">
        <v>2431</v>
      </c>
      <c r="N222" s="119" t="s">
        <v>2432</v>
      </c>
      <c r="O222" s="119" t="s">
        <v>2433</v>
      </c>
      <c r="P222" s="119" t="s">
        <v>2434</v>
      </c>
      <c r="Q222" s="119" t="s">
        <v>568</v>
      </c>
      <c r="R222" s="119"/>
      <c r="S222" s="119"/>
    </row>
    <row r="223" spans="1:19" ht="14.25" x14ac:dyDescent="0.2">
      <c r="A223" s="133" t="s">
        <v>2435</v>
      </c>
      <c r="B223" s="133" t="s">
        <v>2436</v>
      </c>
      <c r="C223" s="133" t="s">
        <v>2437</v>
      </c>
      <c r="D223" s="133" t="s">
        <v>2438</v>
      </c>
      <c r="E223" s="133" t="s">
        <v>2439</v>
      </c>
      <c r="F223" s="133" t="s">
        <v>2440</v>
      </c>
      <c r="G223" s="133" t="s">
        <v>1985</v>
      </c>
      <c r="H223" s="133" t="s">
        <v>20</v>
      </c>
      <c r="I223" s="133" t="s">
        <v>2441</v>
      </c>
      <c r="J223" s="133" t="s">
        <v>655</v>
      </c>
      <c r="K223" s="133" t="s">
        <v>646</v>
      </c>
      <c r="L223" s="133" t="s">
        <v>1385</v>
      </c>
      <c r="M223" s="133" t="s">
        <v>2442</v>
      </c>
      <c r="N223" s="133" t="s">
        <v>2443</v>
      </c>
      <c r="O223" s="133" t="s">
        <v>2444</v>
      </c>
      <c r="P223" s="133"/>
      <c r="Q223" s="133" t="s">
        <v>568</v>
      </c>
      <c r="R223" s="119" t="s">
        <v>1733</v>
      </c>
      <c r="S223" s="119"/>
    </row>
    <row r="224" spans="1:19" ht="14.25" x14ac:dyDescent="0.2">
      <c r="A224" s="119" t="s">
        <v>2445</v>
      </c>
      <c r="B224" s="119" t="s">
        <v>2446</v>
      </c>
      <c r="C224" s="119" t="s">
        <v>2447</v>
      </c>
      <c r="D224" s="119" t="s">
        <v>2448</v>
      </c>
      <c r="E224" s="119"/>
      <c r="F224" s="119"/>
      <c r="G224" s="119" t="s">
        <v>1985</v>
      </c>
      <c r="H224" s="119" t="s">
        <v>20</v>
      </c>
      <c r="I224" s="119" t="s">
        <v>2449</v>
      </c>
      <c r="J224" s="119" t="s">
        <v>2450</v>
      </c>
      <c r="K224" s="119" t="s">
        <v>646</v>
      </c>
      <c r="L224" s="119" t="s">
        <v>2451</v>
      </c>
      <c r="M224" s="119" t="s">
        <v>2452</v>
      </c>
      <c r="N224" s="119" t="s">
        <v>2453</v>
      </c>
      <c r="O224" s="119" t="s">
        <v>2454</v>
      </c>
      <c r="P224" s="119"/>
      <c r="Q224" s="119" t="s">
        <v>2161</v>
      </c>
      <c r="R224" s="119"/>
      <c r="S224" s="119"/>
    </row>
    <row r="225" spans="1:19" ht="14.25" x14ac:dyDescent="0.2">
      <c r="A225" s="119" t="s">
        <v>2455</v>
      </c>
      <c r="B225" s="119" t="s">
        <v>2456</v>
      </c>
      <c r="C225" s="119" t="s">
        <v>2457</v>
      </c>
      <c r="D225" s="119" t="s">
        <v>2458</v>
      </c>
      <c r="E225" s="119" t="s">
        <v>1794</v>
      </c>
      <c r="F225" s="119"/>
      <c r="G225" s="119" t="s">
        <v>1395</v>
      </c>
      <c r="H225" s="119" t="s">
        <v>20</v>
      </c>
      <c r="I225" s="119" t="s">
        <v>2459</v>
      </c>
      <c r="J225" s="119" t="s">
        <v>655</v>
      </c>
      <c r="K225" s="119" t="s">
        <v>646</v>
      </c>
      <c r="L225" s="119" t="s">
        <v>2460</v>
      </c>
      <c r="M225" s="119" t="s">
        <v>2461</v>
      </c>
      <c r="N225" s="119"/>
      <c r="O225" s="119" t="s">
        <v>2462</v>
      </c>
      <c r="P225" s="119"/>
      <c r="Q225" s="119" t="s">
        <v>568</v>
      </c>
      <c r="R225" s="119"/>
      <c r="S225" s="119"/>
    </row>
    <row r="226" spans="1:19" ht="14.25" x14ac:dyDescent="0.2">
      <c r="A226" s="119" t="s">
        <v>2463</v>
      </c>
      <c r="B226" s="119" t="s">
        <v>2464</v>
      </c>
      <c r="C226" s="119" t="s">
        <v>2465</v>
      </c>
      <c r="D226" s="119" t="s">
        <v>2466</v>
      </c>
      <c r="E226" s="119" t="s">
        <v>1823</v>
      </c>
      <c r="F226" s="119"/>
      <c r="G226" s="119" t="s">
        <v>2467</v>
      </c>
      <c r="H226" s="119" t="s">
        <v>2468</v>
      </c>
      <c r="I226" s="119" t="s">
        <v>2469</v>
      </c>
      <c r="J226" s="119" t="s">
        <v>655</v>
      </c>
      <c r="K226" s="119" t="s">
        <v>646</v>
      </c>
      <c r="L226" s="119" t="s">
        <v>2470</v>
      </c>
      <c r="M226" s="119" t="s">
        <v>2471</v>
      </c>
      <c r="N226" s="119" t="s">
        <v>2472</v>
      </c>
      <c r="O226" s="119" t="s">
        <v>2473</v>
      </c>
      <c r="P226" s="119"/>
      <c r="Q226" s="119" t="s">
        <v>568</v>
      </c>
      <c r="R226" s="119"/>
      <c r="S226" s="119"/>
    </row>
    <row r="227" spans="1:19" ht="14.25" x14ac:dyDescent="0.2">
      <c r="A227" s="119" t="s">
        <v>2474</v>
      </c>
      <c r="B227" s="119" t="s">
        <v>2475</v>
      </c>
      <c r="C227" s="119" t="s">
        <v>2476</v>
      </c>
      <c r="D227" s="119" t="s">
        <v>2477</v>
      </c>
      <c r="E227" s="119" t="s">
        <v>1551</v>
      </c>
      <c r="F227" s="119"/>
      <c r="G227" s="119" t="s">
        <v>1395</v>
      </c>
      <c r="H227" s="119" t="s">
        <v>20</v>
      </c>
      <c r="I227" s="119" t="s">
        <v>2478</v>
      </c>
      <c r="J227" s="119" t="s">
        <v>655</v>
      </c>
      <c r="K227" s="119" t="s">
        <v>646</v>
      </c>
      <c r="L227" s="119" t="s">
        <v>2479</v>
      </c>
      <c r="M227" s="119" t="s">
        <v>2480</v>
      </c>
      <c r="N227" s="119" t="s">
        <v>2481</v>
      </c>
      <c r="O227" s="119" t="s">
        <v>2482</v>
      </c>
      <c r="P227" s="119"/>
      <c r="Q227" s="119" t="s">
        <v>2161</v>
      </c>
      <c r="R227" s="119"/>
      <c r="S227" s="119"/>
    </row>
    <row r="228" spans="1:19" ht="14.25" x14ac:dyDescent="0.2">
      <c r="A228" s="119" t="s">
        <v>3596</v>
      </c>
      <c r="B228" s="119" t="s">
        <v>3597</v>
      </c>
      <c r="C228" s="119" t="s">
        <v>3598</v>
      </c>
      <c r="D228" s="119" t="s">
        <v>1865</v>
      </c>
      <c r="E228" s="119" t="s">
        <v>1866</v>
      </c>
      <c r="F228" s="119"/>
      <c r="G228" s="119" t="s">
        <v>1395</v>
      </c>
      <c r="H228" s="119" t="s">
        <v>20</v>
      </c>
      <c r="I228" s="119" t="s">
        <v>1867</v>
      </c>
      <c r="J228" s="119" t="s">
        <v>709</v>
      </c>
      <c r="K228" s="119" t="s">
        <v>646</v>
      </c>
      <c r="L228" s="119" t="s">
        <v>2373</v>
      </c>
      <c r="M228" s="119" t="s">
        <v>2694</v>
      </c>
      <c r="N228" s="119" t="s">
        <v>2695</v>
      </c>
      <c r="O228" s="119" t="s">
        <v>3599</v>
      </c>
      <c r="P228" s="119"/>
      <c r="Q228" s="119" t="s">
        <v>651</v>
      </c>
      <c r="R228" s="119"/>
      <c r="S228" s="119"/>
    </row>
    <row r="229" spans="1:19" ht="14.25" x14ac:dyDescent="0.2">
      <c r="A229" s="133" t="s">
        <v>2483</v>
      </c>
      <c r="B229" s="133" t="s">
        <v>2484</v>
      </c>
      <c r="C229" s="133" t="s">
        <v>2485</v>
      </c>
      <c r="D229" s="133" t="s">
        <v>2486</v>
      </c>
      <c r="E229" s="133" t="s">
        <v>2487</v>
      </c>
      <c r="F229" s="133"/>
      <c r="G229" s="133" t="s">
        <v>1395</v>
      </c>
      <c r="H229" s="133" t="s">
        <v>20</v>
      </c>
      <c r="I229" s="133" t="s">
        <v>2488</v>
      </c>
      <c r="J229" s="133" t="s">
        <v>655</v>
      </c>
      <c r="K229" s="133" t="s">
        <v>646</v>
      </c>
      <c r="L229" s="133" t="s">
        <v>2489</v>
      </c>
      <c r="M229" s="133" t="s">
        <v>2490</v>
      </c>
      <c r="N229" s="133" t="s">
        <v>2491</v>
      </c>
      <c r="O229" s="133" t="s">
        <v>2492</v>
      </c>
      <c r="P229" s="133"/>
      <c r="Q229" s="133" t="s">
        <v>2044</v>
      </c>
      <c r="R229" s="119" t="s">
        <v>1733</v>
      </c>
      <c r="S229" s="119"/>
    </row>
    <row r="230" spans="1:19" ht="14.25" x14ac:dyDescent="0.2">
      <c r="A230" s="133" t="s">
        <v>2493</v>
      </c>
      <c r="B230" s="133" t="s">
        <v>2494</v>
      </c>
      <c r="C230" s="133" t="s">
        <v>2495</v>
      </c>
      <c r="D230" s="133" t="s">
        <v>2496</v>
      </c>
      <c r="E230" s="133" t="s">
        <v>2497</v>
      </c>
      <c r="F230" s="133"/>
      <c r="G230" s="133" t="s">
        <v>2178</v>
      </c>
      <c r="H230" s="133" t="s">
        <v>20</v>
      </c>
      <c r="I230" s="133" t="s">
        <v>2498</v>
      </c>
      <c r="J230" s="133" t="s">
        <v>655</v>
      </c>
      <c r="K230" s="133" t="s">
        <v>646</v>
      </c>
      <c r="L230" s="133" t="s">
        <v>1825</v>
      </c>
      <c r="M230" s="133" t="s">
        <v>2499</v>
      </c>
      <c r="N230" s="133" t="s">
        <v>2500</v>
      </c>
      <c r="O230" s="133" t="s">
        <v>2501</v>
      </c>
      <c r="P230" s="133" t="s">
        <v>2502</v>
      </c>
      <c r="Q230" s="133" t="s">
        <v>568</v>
      </c>
      <c r="R230" s="119" t="s">
        <v>1733</v>
      </c>
      <c r="S230" s="119"/>
    </row>
    <row r="231" spans="1:19" ht="14.25" x14ac:dyDescent="0.2">
      <c r="A231" s="119" t="s">
        <v>2503</v>
      </c>
      <c r="B231" s="119" t="s">
        <v>2504</v>
      </c>
      <c r="C231" s="119" t="s">
        <v>2505</v>
      </c>
      <c r="D231" s="119" t="s">
        <v>2506</v>
      </c>
      <c r="E231" s="119" t="s">
        <v>1532</v>
      </c>
      <c r="F231" s="119"/>
      <c r="G231" s="119" t="s">
        <v>2507</v>
      </c>
      <c r="H231" s="119" t="s">
        <v>20</v>
      </c>
      <c r="I231" s="119" t="s">
        <v>2508</v>
      </c>
      <c r="J231" s="119" t="s">
        <v>655</v>
      </c>
      <c r="K231" s="119" t="s">
        <v>646</v>
      </c>
      <c r="L231" s="119" t="s">
        <v>506</v>
      </c>
      <c r="M231" s="119" t="s">
        <v>2509</v>
      </c>
      <c r="N231" s="119" t="s">
        <v>2510</v>
      </c>
      <c r="O231" s="119" t="s">
        <v>2511</v>
      </c>
      <c r="P231" s="119" t="s">
        <v>2512</v>
      </c>
      <c r="Q231" s="119" t="s">
        <v>568</v>
      </c>
      <c r="R231" s="119"/>
      <c r="S231" s="119"/>
    </row>
    <row r="232" spans="1:19" ht="14.25" x14ac:dyDescent="0.2">
      <c r="A232" s="119" t="s">
        <v>2513</v>
      </c>
      <c r="B232" s="119" t="s">
        <v>2514</v>
      </c>
      <c r="C232" s="119" t="s">
        <v>2515</v>
      </c>
      <c r="D232" s="119" t="s">
        <v>2516</v>
      </c>
      <c r="E232" s="119" t="s">
        <v>2517</v>
      </c>
      <c r="F232" s="119"/>
      <c r="G232" s="119" t="s">
        <v>2105</v>
      </c>
      <c r="H232" s="119" t="s">
        <v>20</v>
      </c>
      <c r="I232" s="119" t="s">
        <v>2518</v>
      </c>
      <c r="J232" s="119" t="s">
        <v>655</v>
      </c>
      <c r="K232" s="119" t="s">
        <v>646</v>
      </c>
      <c r="L232" s="119" t="s">
        <v>2519</v>
      </c>
      <c r="M232" s="119" t="s">
        <v>2520</v>
      </c>
      <c r="N232" s="119" t="s">
        <v>2521</v>
      </c>
      <c r="O232" s="119" t="s">
        <v>2522</v>
      </c>
      <c r="P232" s="119" t="s">
        <v>2523</v>
      </c>
      <c r="Q232" s="119" t="s">
        <v>568</v>
      </c>
      <c r="R232" s="119"/>
      <c r="S232" s="119"/>
    </row>
    <row r="233" spans="1:19" ht="14.25" x14ac:dyDescent="0.2">
      <c r="A233" s="133" t="s">
        <v>2524</v>
      </c>
      <c r="B233" s="133" t="s">
        <v>2525</v>
      </c>
      <c r="C233" s="133" t="s">
        <v>2526</v>
      </c>
      <c r="D233" s="133" t="s">
        <v>2527</v>
      </c>
      <c r="E233" s="133"/>
      <c r="F233" s="133"/>
      <c r="G233" s="133" t="s">
        <v>2528</v>
      </c>
      <c r="H233" s="133" t="s">
        <v>20</v>
      </c>
      <c r="I233" s="133" t="s">
        <v>2529</v>
      </c>
      <c r="J233" s="133" t="s">
        <v>655</v>
      </c>
      <c r="K233" s="133" t="s">
        <v>646</v>
      </c>
      <c r="L233" s="133" t="s">
        <v>930</v>
      </c>
      <c r="M233" s="133" t="s">
        <v>2530</v>
      </c>
      <c r="N233" s="133" t="s">
        <v>2531</v>
      </c>
      <c r="O233" s="133" t="s">
        <v>2532</v>
      </c>
      <c r="P233" s="133"/>
      <c r="Q233" s="133" t="s">
        <v>568</v>
      </c>
      <c r="R233" s="119" t="s">
        <v>1733</v>
      </c>
      <c r="S233" s="119"/>
    </row>
    <row r="234" spans="1:19" ht="14.25" x14ac:dyDescent="0.2">
      <c r="A234" s="133" t="s">
        <v>2533</v>
      </c>
      <c r="B234" s="133" t="s">
        <v>2534</v>
      </c>
      <c r="C234" s="133" t="s">
        <v>2535</v>
      </c>
      <c r="D234" s="133" t="s">
        <v>2536</v>
      </c>
      <c r="E234" s="133" t="s">
        <v>1378</v>
      </c>
      <c r="F234" s="133"/>
      <c r="G234" s="133" t="s">
        <v>2537</v>
      </c>
      <c r="H234" s="133" t="s">
        <v>20</v>
      </c>
      <c r="I234" s="133" t="s">
        <v>2538</v>
      </c>
      <c r="J234" s="133" t="s">
        <v>655</v>
      </c>
      <c r="K234" s="133" t="s">
        <v>646</v>
      </c>
      <c r="L234" s="133" t="s">
        <v>510</v>
      </c>
      <c r="M234" s="133" t="s">
        <v>2539</v>
      </c>
      <c r="N234" s="133" t="s">
        <v>2540</v>
      </c>
      <c r="O234" s="133" t="s">
        <v>2541</v>
      </c>
      <c r="P234" s="133"/>
      <c r="Q234" s="133" t="s">
        <v>568</v>
      </c>
      <c r="R234" s="119" t="s">
        <v>1733</v>
      </c>
      <c r="S234" s="119"/>
    </row>
    <row r="235" spans="1:19" ht="14.25" x14ac:dyDescent="0.2">
      <c r="A235" s="119" t="s">
        <v>2542</v>
      </c>
      <c r="B235" s="119" t="s">
        <v>2543</v>
      </c>
      <c r="C235" s="119" t="s">
        <v>2544</v>
      </c>
      <c r="D235" s="119" t="s">
        <v>2545</v>
      </c>
      <c r="E235" s="119"/>
      <c r="F235" s="119"/>
      <c r="G235" s="119" t="s">
        <v>1395</v>
      </c>
      <c r="H235" s="119" t="s">
        <v>20</v>
      </c>
      <c r="I235" s="119" t="s">
        <v>2546</v>
      </c>
      <c r="J235" s="119" t="s">
        <v>645</v>
      </c>
      <c r="K235" s="119" t="s">
        <v>646</v>
      </c>
      <c r="L235" s="119" t="s">
        <v>2547</v>
      </c>
      <c r="M235" s="119" t="s">
        <v>2548</v>
      </c>
      <c r="N235" s="119" t="s">
        <v>2549</v>
      </c>
      <c r="O235" s="119" t="s">
        <v>2550</v>
      </c>
      <c r="P235" s="119" t="s">
        <v>2551</v>
      </c>
      <c r="Q235" s="119" t="s">
        <v>2552</v>
      </c>
      <c r="R235" s="119"/>
      <c r="S235" s="119"/>
    </row>
    <row r="236" spans="1:19" ht="14.25" x14ac:dyDescent="0.2">
      <c r="A236" s="119" t="s">
        <v>2553</v>
      </c>
      <c r="B236" s="119" t="s">
        <v>2554</v>
      </c>
      <c r="C236" s="119" t="s">
        <v>2555</v>
      </c>
      <c r="D236" s="119" t="s">
        <v>2556</v>
      </c>
      <c r="E236" s="119" t="s">
        <v>2557</v>
      </c>
      <c r="F236" s="119"/>
      <c r="G236" s="119" t="s">
        <v>2558</v>
      </c>
      <c r="H236" s="119" t="s">
        <v>20</v>
      </c>
      <c r="I236" s="119" t="s">
        <v>2559</v>
      </c>
      <c r="J236" s="119" t="s">
        <v>645</v>
      </c>
      <c r="K236" s="119" t="s">
        <v>646</v>
      </c>
      <c r="L236" s="119" t="s">
        <v>2560</v>
      </c>
      <c r="M236" s="119" t="s">
        <v>2561</v>
      </c>
      <c r="N236" s="119" t="s">
        <v>2562</v>
      </c>
      <c r="O236" s="119" t="s">
        <v>2563</v>
      </c>
      <c r="P236" s="119"/>
      <c r="Q236" s="119" t="s">
        <v>2552</v>
      </c>
      <c r="R236" s="119"/>
      <c r="S236" s="119"/>
    </row>
    <row r="237" spans="1:19" ht="14.25" x14ac:dyDescent="0.2">
      <c r="A237" s="119" t="s">
        <v>2564</v>
      </c>
      <c r="B237" s="119" t="s">
        <v>2565</v>
      </c>
      <c r="C237" s="119" t="s">
        <v>2566</v>
      </c>
      <c r="D237" s="119" t="s">
        <v>2567</v>
      </c>
      <c r="E237" s="119" t="s">
        <v>2568</v>
      </c>
      <c r="F237" s="119"/>
      <c r="G237" s="119" t="s">
        <v>2569</v>
      </c>
      <c r="H237" s="119" t="s">
        <v>20</v>
      </c>
      <c r="I237" s="119" t="s">
        <v>2570</v>
      </c>
      <c r="J237" s="119" t="s">
        <v>655</v>
      </c>
      <c r="K237" s="119" t="s">
        <v>646</v>
      </c>
      <c r="L237" s="119" t="s">
        <v>3685</v>
      </c>
      <c r="M237" s="119" t="s">
        <v>3686</v>
      </c>
      <c r="N237" s="119" t="s">
        <v>2572</v>
      </c>
      <c r="O237" s="119" t="s">
        <v>3687</v>
      </c>
      <c r="P237" s="119"/>
      <c r="Q237" s="119" t="s">
        <v>2552</v>
      </c>
      <c r="R237" s="119"/>
      <c r="S237" s="119"/>
    </row>
    <row r="238" spans="1:19" ht="14.25" x14ac:dyDescent="0.2">
      <c r="A238" s="119" t="s">
        <v>2573</v>
      </c>
      <c r="B238" s="119" t="s">
        <v>2574</v>
      </c>
      <c r="C238" s="119" t="s">
        <v>2575</v>
      </c>
      <c r="D238" s="119" t="s">
        <v>2576</v>
      </c>
      <c r="E238" s="119" t="s">
        <v>2577</v>
      </c>
      <c r="F238" s="119"/>
      <c r="G238" s="119" t="s">
        <v>1395</v>
      </c>
      <c r="H238" s="119" t="s">
        <v>20</v>
      </c>
      <c r="I238" s="119" t="s">
        <v>2578</v>
      </c>
      <c r="J238" s="119" t="s">
        <v>655</v>
      </c>
      <c r="K238" s="119" t="s">
        <v>646</v>
      </c>
      <c r="L238" s="119" t="s">
        <v>2579</v>
      </c>
      <c r="M238" s="119" t="s">
        <v>2580</v>
      </c>
      <c r="N238" s="119"/>
      <c r="O238" s="119" t="s">
        <v>2581</v>
      </c>
      <c r="P238" s="119" t="s">
        <v>667</v>
      </c>
      <c r="Q238" s="119" t="s">
        <v>2552</v>
      </c>
      <c r="R238" s="119"/>
      <c r="S238" s="119"/>
    </row>
    <row r="239" spans="1:19" ht="14.25" x14ac:dyDescent="0.2">
      <c r="A239" s="119" t="s">
        <v>2582</v>
      </c>
      <c r="B239" s="119" t="s">
        <v>2583</v>
      </c>
      <c r="C239" s="119" t="s">
        <v>2584</v>
      </c>
      <c r="D239" s="119" t="s">
        <v>2585</v>
      </c>
      <c r="E239" s="119"/>
      <c r="F239" s="119"/>
      <c r="G239" s="119" t="s">
        <v>2586</v>
      </c>
      <c r="H239" s="119" t="s">
        <v>20</v>
      </c>
      <c r="I239" s="119" t="s">
        <v>2587</v>
      </c>
      <c r="J239" s="119" t="s">
        <v>655</v>
      </c>
      <c r="K239" s="119" t="s">
        <v>646</v>
      </c>
      <c r="L239" s="119" t="s">
        <v>2588</v>
      </c>
      <c r="M239" s="119" t="s">
        <v>2589</v>
      </c>
      <c r="N239" s="119"/>
      <c r="O239" s="119" t="s">
        <v>2590</v>
      </c>
      <c r="P239" s="119"/>
      <c r="Q239" s="119" t="s">
        <v>568</v>
      </c>
      <c r="R239" s="119"/>
      <c r="S239" s="119"/>
    </row>
    <row r="240" spans="1:19" ht="14.25" x14ac:dyDescent="0.2">
      <c r="A240" s="133" t="s">
        <v>2591</v>
      </c>
      <c r="B240" s="133" t="s">
        <v>2592</v>
      </c>
      <c r="C240" s="133" t="s">
        <v>2593</v>
      </c>
      <c r="D240" s="133" t="s">
        <v>2594</v>
      </c>
      <c r="E240" s="133" t="s">
        <v>1363</v>
      </c>
      <c r="F240" s="133"/>
      <c r="G240" s="133" t="s">
        <v>1395</v>
      </c>
      <c r="H240" s="133" t="s">
        <v>20</v>
      </c>
      <c r="I240" s="133" t="s">
        <v>2595</v>
      </c>
      <c r="J240" s="133" t="s">
        <v>655</v>
      </c>
      <c r="K240" s="133" t="s">
        <v>646</v>
      </c>
      <c r="L240" s="133" t="s">
        <v>3680</v>
      </c>
      <c r="M240" s="133" t="s">
        <v>3681</v>
      </c>
      <c r="N240" s="133" t="s">
        <v>3682</v>
      </c>
      <c r="O240" s="133" t="s">
        <v>3683</v>
      </c>
      <c r="P240" s="133" t="s">
        <v>3684</v>
      </c>
      <c r="Q240" s="133" t="s">
        <v>568</v>
      </c>
      <c r="R240" s="119" t="s">
        <v>1733</v>
      </c>
      <c r="S240" s="119"/>
    </row>
    <row r="241" spans="1:19" ht="14.25" x14ac:dyDescent="0.2">
      <c r="A241" s="133" t="s">
        <v>2596</v>
      </c>
      <c r="B241" s="133" t="s">
        <v>2597</v>
      </c>
      <c r="C241" s="133" t="s">
        <v>2598</v>
      </c>
      <c r="D241" s="133" t="s">
        <v>1865</v>
      </c>
      <c r="E241" s="133" t="s">
        <v>1866</v>
      </c>
      <c r="F241" s="133"/>
      <c r="G241" s="133" t="s">
        <v>1395</v>
      </c>
      <c r="H241" s="133" t="s">
        <v>20</v>
      </c>
      <c r="I241" s="133" t="s">
        <v>1867</v>
      </c>
      <c r="J241" s="133" t="s">
        <v>655</v>
      </c>
      <c r="K241" s="133" t="s">
        <v>646</v>
      </c>
      <c r="L241" s="133" t="s">
        <v>3675</v>
      </c>
      <c r="M241" s="133" t="s">
        <v>3676</v>
      </c>
      <c r="N241" s="133" t="s">
        <v>3677</v>
      </c>
      <c r="O241" s="133" t="s">
        <v>3678</v>
      </c>
      <c r="P241" s="133" t="s">
        <v>3679</v>
      </c>
      <c r="Q241" s="133" t="s">
        <v>568</v>
      </c>
      <c r="R241" s="119" t="s">
        <v>1733</v>
      </c>
      <c r="S241" s="119"/>
    </row>
    <row r="242" spans="1:19" ht="14.25" x14ac:dyDescent="0.2">
      <c r="A242" s="133" t="s">
        <v>2603</v>
      </c>
      <c r="B242" s="133" t="s">
        <v>2604</v>
      </c>
      <c r="C242" s="133" t="s">
        <v>2605</v>
      </c>
      <c r="D242" s="133" t="s">
        <v>2606</v>
      </c>
      <c r="E242" s="133" t="s">
        <v>2607</v>
      </c>
      <c r="F242" s="133" t="s">
        <v>1532</v>
      </c>
      <c r="G242" s="133" t="s">
        <v>2608</v>
      </c>
      <c r="H242" s="133" t="s">
        <v>20</v>
      </c>
      <c r="I242" s="133" t="s">
        <v>2609</v>
      </c>
      <c r="J242" s="133" t="s">
        <v>655</v>
      </c>
      <c r="K242" s="133" t="s">
        <v>646</v>
      </c>
      <c r="L242" s="133" t="s">
        <v>2610</v>
      </c>
      <c r="M242" s="133" t="s">
        <v>2611</v>
      </c>
      <c r="N242" s="133" t="s">
        <v>2612</v>
      </c>
      <c r="O242" s="133" t="s">
        <v>2613</v>
      </c>
      <c r="P242" s="133"/>
      <c r="Q242" s="133" t="s">
        <v>568</v>
      </c>
      <c r="R242" s="119" t="s">
        <v>1733</v>
      </c>
      <c r="S242" s="119"/>
    </row>
    <row r="243" spans="1:19" ht="14.25" x14ac:dyDescent="0.2">
      <c r="A243" s="119" t="s">
        <v>2614</v>
      </c>
      <c r="B243" s="119" t="s">
        <v>2615</v>
      </c>
      <c r="C243" s="119" t="s">
        <v>2616</v>
      </c>
      <c r="D243" s="119" t="s">
        <v>2617</v>
      </c>
      <c r="E243" s="119" t="s">
        <v>2618</v>
      </c>
      <c r="F243" s="119"/>
      <c r="G243" s="119" t="s">
        <v>2071</v>
      </c>
      <c r="H243" s="119" t="s">
        <v>20</v>
      </c>
      <c r="I243" s="119" t="s">
        <v>2619</v>
      </c>
      <c r="J243" s="119" t="s">
        <v>645</v>
      </c>
      <c r="K243" s="119" t="s">
        <v>646</v>
      </c>
      <c r="L243" s="119" t="s">
        <v>1068</v>
      </c>
      <c r="M243" s="119" t="s">
        <v>2620</v>
      </c>
      <c r="N243" s="119" t="s">
        <v>2621</v>
      </c>
      <c r="O243" s="119" t="s">
        <v>2622</v>
      </c>
      <c r="P243" s="119"/>
      <c r="Q243" s="119" t="s">
        <v>568</v>
      </c>
      <c r="R243" s="119"/>
      <c r="S243" s="119"/>
    </row>
    <row r="244" spans="1:19" ht="14.25" x14ac:dyDescent="0.2">
      <c r="A244" s="119" t="s">
        <v>2623</v>
      </c>
      <c r="B244" s="119" t="s">
        <v>2624</v>
      </c>
      <c r="C244" s="119" t="s">
        <v>2625</v>
      </c>
      <c r="D244" s="119" t="s">
        <v>2626</v>
      </c>
      <c r="E244" s="119" t="s">
        <v>2627</v>
      </c>
      <c r="F244" s="119"/>
      <c r="G244" s="119" t="s">
        <v>2168</v>
      </c>
      <c r="H244" s="119" t="s">
        <v>20</v>
      </c>
      <c r="I244" s="119" t="s">
        <v>2628</v>
      </c>
      <c r="J244" s="119" t="s">
        <v>645</v>
      </c>
      <c r="K244" s="119" t="s">
        <v>646</v>
      </c>
      <c r="L244" s="119" t="s">
        <v>2629</v>
      </c>
      <c r="M244" s="119" t="s">
        <v>1218</v>
      </c>
      <c r="N244" s="119" t="s">
        <v>2630</v>
      </c>
      <c r="O244" s="119" t="s">
        <v>2631</v>
      </c>
      <c r="P244" s="119" t="s">
        <v>2632</v>
      </c>
      <c r="Q244" s="119" t="s">
        <v>568</v>
      </c>
      <c r="R244" s="119"/>
      <c r="S244" s="119"/>
    </row>
    <row r="245" spans="1:19" ht="14.25" x14ac:dyDescent="0.2">
      <c r="A245" s="133" t="s">
        <v>2633</v>
      </c>
      <c r="B245" s="133" t="s">
        <v>2634</v>
      </c>
      <c r="C245" s="133" t="s">
        <v>2635</v>
      </c>
      <c r="D245" s="133" t="s">
        <v>2636</v>
      </c>
      <c r="E245" s="133" t="s">
        <v>2637</v>
      </c>
      <c r="F245" s="133"/>
      <c r="G245" s="133" t="s">
        <v>2638</v>
      </c>
      <c r="H245" s="133" t="s">
        <v>20</v>
      </c>
      <c r="I245" s="133" t="s">
        <v>2639</v>
      </c>
      <c r="J245" s="133" t="s">
        <v>655</v>
      </c>
      <c r="K245" s="133" t="s">
        <v>646</v>
      </c>
      <c r="L245" s="133" t="s">
        <v>3673</v>
      </c>
      <c r="M245" s="133" t="s">
        <v>3674</v>
      </c>
      <c r="N245" s="133" t="s">
        <v>2640</v>
      </c>
      <c r="O245" s="133" t="s">
        <v>2641</v>
      </c>
      <c r="P245" s="133"/>
      <c r="Q245" s="133" t="s">
        <v>568</v>
      </c>
      <c r="R245" s="119" t="s">
        <v>1733</v>
      </c>
      <c r="S245" s="119"/>
    </row>
    <row r="246" spans="1:19" ht="14.25" x14ac:dyDescent="0.2">
      <c r="A246" s="119" t="s">
        <v>2643</v>
      </c>
      <c r="B246" s="119" t="s">
        <v>2644</v>
      </c>
      <c r="C246" s="119" t="s">
        <v>2645</v>
      </c>
      <c r="D246" s="119" t="s">
        <v>2646</v>
      </c>
      <c r="E246" s="119"/>
      <c r="F246" s="119"/>
      <c r="G246" s="119" t="s">
        <v>1815</v>
      </c>
      <c r="H246" s="119" t="s">
        <v>20</v>
      </c>
      <c r="I246" s="119" t="s">
        <v>2647</v>
      </c>
      <c r="J246" s="119" t="s">
        <v>645</v>
      </c>
      <c r="K246" s="119" t="s">
        <v>646</v>
      </c>
      <c r="L246" s="119" t="s">
        <v>475</v>
      </c>
      <c r="M246" s="119" t="s">
        <v>2648</v>
      </c>
      <c r="N246" s="119" t="s">
        <v>2649</v>
      </c>
      <c r="O246" s="119" t="s">
        <v>2650</v>
      </c>
      <c r="P246" s="119"/>
      <c r="Q246" s="119" t="s">
        <v>568</v>
      </c>
      <c r="R246" s="119"/>
      <c r="S246" s="119"/>
    </row>
    <row r="247" spans="1:19" ht="14.25" x14ac:dyDescent="0.2">
      <c r="A247" s="119" t="s">
        <v>2651</v>
      </c>
      <c r="B247" s="119" t="s">
        <v>2652</v>
      </c>
      <c r="C247" s="119" t="s">
        <v>2653</v>
      </c>
      <c r="D247" s="119" t="s">
        <v>1831</v>
      </c>
      <c r="E247" s="119" t="s">
        <v>1551</v>
      </c>
      <c r="F247" s="119"/>
      <c r="G247" s="119" t="s">
        <v>1395</v>
      </c>
      <c r="H247" s="119" t="s">
        <v>20</v>
      </c>
      <c r="I247" s="119" t="s">
        <v>1832</v>
      </c>
      <c r="J247" s="119" t="s">
        <v>645</v>
      </c>
      <c r="K247" s="119" t="s">
        <v>646</v>
      </c>
      <c r="L247" s="119" t="s">
        <v>3635</v>
      </c>
      <c r="M247" s="119" t="s">
        <v>3636</v>
      </c>
      <c r="N247" s="119" t="s">
        <v>3637</v>
      </c>
      <c r="O247" s="119" t="s">
        <v>3638</v>
      </c>
      <c r="P247" s="119" t="s">
        <v>3639</v>
      </c>
      <c r="Q247" s="119" t="s">
        <v>568</v>
      </c>
      <c r="R247" s="119"/>
      <c r="S247" s="119"/>
    </row>
    <row r="248" spans="1:19" ht="14.25" x14ac:dyDescent="0.2">
      <c r="A248" s="119" t="s">
        <v>2654</v>
      </c>
      <c r="B248" s="119" t="s">
        <v>2655</v>
      </c>
      <c r="C248" s="119" t="s">
        <v>2656</v>
      </c>
      <c r="D248" s="119" t="s">
        <v>2657</v>
      </c>
      <c r="E248" s="119"/>
      <c r="F248" s="119"/>
      <c r="G248" s="119" t="s">
        <v>2658</v>
      </c>
      <c r="H248" s="119" t="s">
        <v>20</v>
      </c>
      <c r="I248" s="119" t="s">
        <v>2659</v>
      </c>
      <c r="J248" s="119" t="s">
        <v>645</v>
      </c>
      <c r="K248" s="119" t="s">
        <v>646</v>
      </c>
      <c r="L248" s="119" t="s">
        <v>1093</v>
      </c>
      <c r="M248" s="119" t="s">
        <v>2660</v>
      </c>
      <c r="N248" s="119" t="s">
        <v>2661</v>
      </c>
      <c r="O248" s="119" t="s">
        <v>2662</v>
      </c>
      <c r="P248" s="119" t="s">
        <v>2663</v>
      </c>
      <c r="Q248" s="119" t="s">
        <v>1103</v>
      </c>
      <c r="R248" s="119"/>
      <c r="S248" s="119"/>
    </row>
    <row r="249" spans="1:19" ht="14.25" x14ac:dyDescent="0.2">
      <c r="A249" s="119" t="s">
        <v>2664</v>
      </c>
      <c r="B249" s="119" t="s">
        <v>2665</v>
      </c>
      <c r="C249" s="119" t="s">
        <v>2666</v>
      </c>
      <c r="D249" s="119" t="s">
        <v>2667</v>
      </c>
      <c r="E249" s="119" t="s">
        <v>1823</v>
      </c>
      <c r="F249" s="119"/>
      <c r="G249" s="119" t="s">
        <v>1395</v>
      </c>
      <c r="H249" s="119" t="s">
        <v>20</v>
      </c>
      <c r="I249" s="119" t="s">
        <v>2668</v>
      </c>
      <c r="J249" s="119" t="s">
        <v>655</v>
      </c>
      <c r="K249" s="119" t="s">
        <v>646</v>
      </c>
      <c r="L249" s="119" t="s">
        <v>2669</v>
      </c>
      <c r="M249" s="119" t="s">
        <v>2670</v>
      </c>
      <c r="N249" s="119" t="s">
        <v>2671</v>
      </c>
      <c r="O249" s="119" t="s">
        <v>2672</v>
      </c>
      <c r="P249" s="119" t="s">
        <v>2673</v>
      </c>
      <c r="Q249" s="119" t="s">
        <v>568</v>
      </c>
      <c r="R249" s="119"/>
      <c r="S249" s="119"/>
    </row>
    <row r="250" spans="1:19" ht="14.25" x14ac:dyDescent="0.2">
      <c r="A250" s="119" t="s">
        <v>2674</v>
      </c>
      <c r="B250" s="119" t="s">
        <v>2675</v>
      </c>
      <c r="C250" s="119" t="s">
        <v>2676</v>
      </c>
      <c r="D250" s="119" t="s">
        <v>2677</v>
      </c>
      <c r="E250" s="119"/>
      <c r="F250" s="119"/>
      <c r="G250" s="119" t="s">
        <v>2678</v>
      </c>
      <c r="H250" s="119" t="s">
        <v>20</v>
      </c>
      <c r="I250" s="119" t="s">
        <v>2679</v>
      </c>
      <c r="J250" s="119" t="s">
        <v>645</v>
      </c>
      <c r="K250" s="119" t="s">
        <v>646</v>
      </c>
      <c r="L250" s="119" t="s">
        <v>978</v>
      </c>
      <c r="M250" s="119" t="s">
        <v>2680</v>
      </c>
      <c r="N250" s="119" t="s">
        <v>2681</v>
      </c>
      <c r="O250" s="119" t="s">
        <v>2682</v>
      </c>
      <c r="P250" s="119" t="s">
        <v>2683</v>
      </c>
      <c r="Q250" s="119" t="s">
        <v>568</v>
      </c>
      <c r="R250" s="119"/>
      <c r="S250" s="119"/>
    </row>
    <row r="251" spans="1:19" ht="14.25" x14ac:dyDescent="0.2">
      <c r="A251" s="119" t="s">
        <v>3600</v>
      </c>
      <c r="B251" s="119" t="s">
        <v>1829</v>
      </c>
      <c r="C251" s="119" t="s">
        <v>1830</v>
      </c>
      <c r="D251" s="119" t="s">
        <v>1831</v>
      </c>
      <c r="E251" s="119" t="s">
        <v>1551</v>
      </c>
      <c r="F251" s="119"/>
      <c r="G251" s="119" t="s">
        <v>1395</v>
      </c>
      <c r="H251" s="119" t="s">
        <v>20</v>
      </c>
      <c r="I251" s="119" t="s">
        <v>1832</v>
      </c>
      <c r="J251" s="119" t="s">
        <v>645</v>
      </c>
      <c r="K251" s="119" t="s">
        <v>646</v>
      </c>
      <c r="L251" s="119" t="s">
        <v>3635</v>
      </c>
      <c r="M251" s="119" t="s">
        <v>3636</v>
      </c>
      <c r="N251" s="119" t="s">
        <v>3637</v>
      </c>
      <c r="O251" s="119" t="s">
        <v>3638</v>
      </c>
      <c r="P251" s="119" t="s">
        <v>3639</v>
      </c>
      <c r="Q251" s="119" t="s">
        <v>651</v>
      </c>
      <c r="R251" s="119"/>
      <c r="S251" s="119"/>
    </row>
    <row r="252" spans="1:19" ht="14.25" x14ac:dyDescent="0.2">
      <c r="A252" s="119" t="s">
        <v>2684</v>
      </c>
      <c r="B252" s="119" t="s">
        <v>2685</v>
      </c>
      <c r="C252" s="119" t="s">
        <v>2686</v>
      </c>
      <c r="D252" s="119" t="s">
        <v>1831</v>
      </c>
      <c r="E252" s="119" t="s">
        <v>1551</v>
      </c>
      <c r="F252" s="119"/>
      <c r="G252" s="119" t="s">
        <v>1395</v>
      </c>
      <c r="H252" s="119" t="s">
        <v>20</v>
      </c>
      <c r="I252" s="119" t="s">
        <v>1832</v>
      </c>
      <c r="J252" s="119" t="s">
        <v>655</v>
      </c>
      <c r="K252" s="119" t="s">
        <v>646</v>
      </c>
      <c r="L252" s="119" t="s">
        <v>3668</v>
      </c>
      <c r="M252" s="119" t="s">
        <v>3669</v>
      </c>
      <c r="N252" s="119" t="s">
        <v>3670</v>
      </c>
      <c r="O252" s="119" t="s">
        <v>3671</v>
      </c>
      <c r="P252" s="119" t="s">
        <v>3672</v>
      </c>
      <c r="Q252" s="119" t="s">
        <v>568</v>
      </c>
      <c r="R252" s="119"/>
      <c r="S252" s="119"/>
    </row>
    <row r="253" spans="1:19" ht="14.25" x14ac:dyDescent="0.2">
      <c r="A253" s="119" t="s">
        <v>2688</v>
      </c>
      <c r="B253" s="119" t="s">
        <v>2689</v>
      </c>
      <c r="C253" s="119" t="s">
        <v>2690</v>
      </c>
      <c r="D253" s="119" t="s">
        <v>2691</v>
      </c>
      <c r="E253" s="119" t="s">
        <v>2692</v>
      </c>
      <c r="F253" s="119"/>
      <c r="G253" s="119" t="s">
        <v>2280</v>
      </c>
      <c r="H253" s="119" t="s">
        <v>20</v>
      </c>
      <c r="I253" s="119" t="s">
        <v>2693</v>
      </c>
      <c r="J253" s="119" t="s">
        <v>645</v>
      </c>
      <c r="K253" s="119" t="s">
        <v>646</v>
      </c>
      <c r="L253" s="119" t="s">
        <v>3663</v>
      </c>
      <c r="M253" s="119" t="s">
        <v>3664</v>
      </c>
      <c r="N253" s="119" t="s">
        <v>3665</v>
      </c>
      <c r="O253" s="119" t="s">
        <v>3666</v>
      </c>
      <c r="P253" s="119" t="s">
        <v>3667</v>
      </c>
      <c r="Q253" s="119" t="s">
        <v>568</v>
      </c>
      <c r="R253" s="119"/>
      <c r="S253" s="119"/>
    </row>
    <row r="254" spans="1:19" ht="14.25" x14ac:dyDescent="0.2">
      <c r="A254" s="119" t="s">
        <v>3601</v>
      </c>
      <c r="B254" s="119" t="s">
        <v>3602</v>
      </c>
      <c r="C254" s="119" t="s">
        <v>3603</v>
      </c>
      <c r="D254" s="119" t="s">
        <v>3604</v>
      </c>
      <c r="E254" s="119" t="s">
        <v>1563</v>
      </c>
      <c r="F254" s="119"/>
      <c r="G254" s="119" t="s">
        <v>2408</v>
      </c>
      <c r="H254" s="119" t="s">
        <v>20</v>
      </c>
      <c r="I254" s="119" t="s">
        <v>3605</v>
      </c>
      <c r="J254" s="119" t="s">
        <v>709</v>
      </c>
      <c r="K254" s="119" t="s">
        <v>646</v>
      </c>
      <c r="L254" s="119" t="s">
        <v>3606</v>
      </c>
      <c r="M254" s="119" t="s">
        <v>3607</v>
      </c>
      <c r="N254" s="119" t="s">
        <v>3608</v>
      </c>
      <c r="O254" s="119" t="s">
        <v>3609</v>
      </c>
      <c r="P254" s="119" t="s">
        <v>3610</v>
      </c>
      <c r="Q254" s="119" t="s">
        <v>651</v>
      </c>
      <c r="R254" s="119"/>
      <c r="S254" s="119"/>
    </row>
    <row r="255" spans="1:19" ht="14.25" x14ac:dyDescent="0.2">
      <c r="A255" s="119" t="s">
        <v>2696</v>
      </c>
      <c r="B255" s="119" t="s">
        <v>2697</v>
      </c>
      <c r="C255" s="119" t="s">
        <v>2698</v>
      </c>
      <c r="D255" s="119" t="s">
        <v>2699</v>
      </c>
      <c r="E255" s="119" t="s">
        <v>2700</v>
      </c>
      <c r="F255" s="119"/>
      <c r="G255" s="119" t="s">
        <v>2178</v>
      </c>
      <c r="H255" s="119" t="s">
        <v>20</v>
      </c>
      <c r="I255" s="119" t="s">
        <v>2701</v>
      </c>
      <c r="J255" s="119" t="s">
        <v>645</v>
      </c>
      <c r="K255" s="119" t="s">
        <v>646</v>
      </c>
      <c r="L255" s="119" t="s">
        <v>2702</v>
      </c>
      <c r="M255" s="119" t="s">
        <v>2703</v>
      </c>
      <c r="N255" s="119" t="s">
        <v>2704</v>
      </c>
      <c r="O255" s="119" t="s">
        <v>2705</v>
      </c>
      <c r="P255" s="119" t="s">
        <v>667</v>
      </c>
      <c r="Q255" s="119" t="s">
        <v>568</v>
      </c>
      <c r="R255" s="119"/>
      <c r="S255" s="119"/>
    </row>
    <row r="256" spans="1:19" ht="14.25" x14ac:dyDescent="0.2">
      <c r="A256" s="133" t="s">
        <v>2706</v>
      </c>
      <c r="B256" s="133" t="s">
        <v>2707</v>
      </c>
      <c r="C256" s="133" t="s">
        <v>2708</v>
      </c>
      <c r="D256" s="133" t="s">
        <v>2709</v>
      </c>
      <c r="E256" s="133"/>
      <c r="F256" s="133"/>
      <c r="G256" s="133" t="s">
        <v>1395</v>
      </c>
      <c r="H256" s="133" t="s">
        <v>20</v>
      </c>
      <c r="I256" s="133" t="s">
        <v>2710</v>
      </c>
      <c r="J256" s="133" t="s">
        <v>655</v>
      </c>
      <c r="K256" s="133" t="s">
        <v>646</v>
      </c>
      <c r="L256" s="133" t="s">
        <v>510</v>
      </c>
      <c r="M256" s="133" t="s">
        <v>2711</v>
      </c>
      <c r="N256" s="133" t="s">
        <v>2712</v>
      </c>
      <c r="O256" s="133" t="s">
        <v>2713</v>
      </c>
      <c r="P256" s="133"/>
      <c r="Q256" s="133" t="s">
        <v>2714</v>
      </c>
      <c r="R256" s="119" t="s">
        <v>1733</v>
      </c>
      <c r="S256" s="153" t="s">
        <v>3797</v>
      </c>
    </row>
    <row r="257" spans="1:19" ht="14.25" x14ac:dyDescent="0.2">
      <c r="A257" s="133" t="s">
        <v>2715</v>
      </c>
      <c r="B257" s="133" t="s">
        <v>2716</v>
      </c>
      <c r="C257" s="133" t="s">
        <v>2717</v>
      </c>
      <c r="D257" s="133" t="s">
        <v>2718</v>
      </c>
      <c r="E257" s="133" t="s">
        <v>2719</v>
      </c>
      <c r="F257" s="133"/>
      <c r="G257" s="133" t="s">
        <v>1395</v>
      </c>
      <c r="H257" s="133" t="s">
        <v>20</v>
      </c>
      <c r="I257" s="133" t="s">
        <v>2720</v>
      </c>
      <c r="J257" s="133" t="s">
        <v>655</v>
      </c>
      <c r="K257" s="133" t="s">
        <v>646</v>
      </c>
      <c r="L257" s="133" t="s">
        <v>2088</v>
      </c>
      <c r="M257" s="133" t="s">
        <v>2642</v>
      </c>
      <c r="N257" s="133" t="s">
        <v>2721</v>
      </c>
      <c r="O257" s="133" t="s">
        <v>2722</v>
      </c>
      <c r="P257" s="133"/>
      <c r="Q257" s="133" t="s">
        <v>2714</v>
      </c>
      <c r="R257" s="119" t="s">
        <v>1733</v>
      </c>
      <c r="S257" s="119"/>
    </row>
    <row r="258" spans="1:19" ht="14.25" x14ac:dyDescent="0.2">
      <c r="A258" s="119" t="s">
        <v>2723</v>
      </c>
      <c r="B258" s="119" t="s">
        <v>2724</v>
      </c>
      <c r="C258" s="119" t="s">
        <v>2725</v>
      </c>
      <c r="D258" s="119" t="s">
        <v>2726</v>
      </c>
      <c r="E258" s="119"/>
      <c r="F258" s="119"/>
      <c r="G258" s="119" t="s">
        <v>2727</v>
      </c>
      <c r="H258" s="119" t="s">
        <v>20</v>
      </c>
      <c r="I258" s="119" t="s">
        <v>2728</v>
      </c>
      <c r="J258" s="119" t="s">
        <v>655</v>
      </c>
      <c r="K258" s="119" t="s">
        <v>646</v>
      </c>
      <c r="L258" s="119" t="s">
        <v>1953</v>
      </c>
      <c r="M258" s="119" t="s">
        <v>2729</v>
      </c>
      <c r="N258" s="119" t="s">
        <v>2730</v>
      </c>
      <c r="O258" s="119" t="s">
        <v>2731</v>
      </c>
      <c r="P258" s="119"/>
      <c r="Q258" s="119" t="s">
        <v>2714</v>
      </c>
      <c r="R258" s="119"/>
      <c r="S258" s="119"/>
    </row>
    <row r="259" spans="1:19" ht="14.25" x14ac:dyDescent="0.2">
      <c r="A259" s="119" t="s">
        <v>2732</v>
      </c>
      <c r="B259" s="119" t="s">
        <v>2733</v>
      </c>
      <c r="C259" s="119" t="s">
        <v>2734</v>
      </c>
      <c r="D259" s="119" t="s">
        <v>2735</v>
      </c>
      <c r="E259" s="119"/>
      <c r="F259" s="119"/>
      <c r="G259" s="119" t="s">
        <v>1395</v>
      </c>
      <c r="H259" s="119" t="s">
        <v>20</v>
      </c>
      <c r="I259" s="119" t="s">
        <v>2736</v>
      </c>
      <c r="J259" s="119" t="s">
        <v>655</v>
      </c>
      <c r="K259" s="119" t="s">
        <v>646</v>
      </c>
      <c r="L259" s="119" t="s">
        <v>517</v>
      </c>
      <c r="M259" s="119" t="s">
        <v>2737</v>
      </c>
      <c r="N259" s="119"/>
      <c r="O259" s="119" t="s">
        <v>2738</v>
      </c>
      <c r="P259" s="119"/>
      <c r="Q259" s="119" t="s">
        <v>2714</v>
      </c>
      <c r="R259" s="119"/>
      <c r="S259" s="119"/>
    </row>
    <row r="260" spans="1:19" ht="14.25" x14ac:dyDescent="0.2">
      <c r="A260" s="133" t="s">
        <v>2739</v>
      </c>
      <c r="B260" s="133" t="s">
        <v>2740</v>
      </c>
      <c r="C260" s="133" t="s">
        <v>2741</v>
      </c>
      <c r="D260" s="133" t="s">
        <v>2742</v>
      </c>
      <c r="E260" s="133"/>
      <c r="F260" s="133"/>
      <c r="G260" s="133" t="s">
        <v>2743</v>
      </c>
      <c r="H260" s="133" t="s">
        <v>20</v>
      </c>
      <c r="I260" s="133" t="s">
        <v>2744</v>
      </c>
      <c r="J260" s="133" t="s">
        <v>709</v>
      </c>
      <c r="K260" s="133" t="s">
        <v>646</v>
      </c>
      <c r="L260" s="133" t="s">
        <v>2745</v>
      </c>
      <c r="M260" s="133" t="s">
        <v>2746</v>
      </c>
      <c r="N260" s="133" t="s">
        <v>2747</v>
      </c>
      <c r="O260" s="133" t="s">
        <v>2748</v>
      </c>
      <c r="P260" s="133"/>
      <c r="Q260" s="133" t="s">
        <v>2714</v>
      </c>
      <c r="R260" s="119" t="s">
        <v>1733</v>
      </c>
      <c r="S260" s="119"/>
    </row>
    <row r="261" spans="1:19" ht="14.25" x14ac:dyDescent="0.2">
      <c r="A261" s="133" t="s">
        <v>2749</v>
      </c>
      <c r="B261" s="133" t="s">
        <v>2750</v>
      </c>
      <c r="C261" s="133" t="s">
        <v>2751</v>
      </c>
      <c r="D261" s="133" t="s">
        <v>2752</v>
      </c>
      <c r="E261" s="133" t="s">
        <v>2753</v>
      </c>
      <c r="F261" s="133"/>
      <c r="G261" s="133" t="s">
        <v>1395</v>
      </c>
      <c r="H261" s="133" t="s">
        <v>20</v>
      </c>
      <c r="I261" s="133" t="s">
        <v>2754</v>
      </c>
      <c r="J261" s="133" t="s">
        <v>655</v>
      </c>
      <c r="K261" s="133" t="s">
        <v>646</v>
      </c>
      <c r="L261" s="133" t="s">
        <v>2755</v>
      </c>
      <c r="M261" s="133" t="s">
        <v>2756</v>
      </c>
      <c r="N261" s="133" t="s">
        <v>2757</v>
      </c>
      <c r="O261" s="133" t="s">
        <v>2759</v>
      </c>
      <c r="P261" s="133"/>
      <c r="Q261" s="133" t="s">
        <v>2758</v>
      </c>
      <c r="R261" s="119" t="s">
        <v>1733</v>
      </c>
      <c r="S261" s="119"/>
    </row>
    <row r="262" spans="1:19" ht="14.25" x14ac:dyDescent="0.2">
      <c r="A262" s="119" t="s">
        <v>2760</v>
      </c>
      <c r="B262" s="119" t="s">
        <v>2761</v>
      </c>
      <c r="C262" s="119" t="s">
        <v>2762</v>
      </c>
      <c r="D262" s="119" t="s">
        <v>2763</v>
      </c>
      <c r="E262" s="119"/>
      <c r="F262" s="119"/>
      <c r="G262" s="119" t="s">
        <v>2764</v>
      </c>
      <c r="H262" s="119" t="s">
        <v>20</v>
      </c>
      <c r="I262" s="119" t="s">
        <v>2765</v>
      </c>
      <c r="J262" s="119" t="s">
        <v>655</v>
      </c>
      <c r="K262" s="119" t="s">
        <v>646</v>
      </c>
      <c r="L262" s="119" t="s">
        <v>2766</v>
      </c>
      <c r="M262" s="119" t="s">
        <v>2767</v>
      </c>
      <c r="N262" s="119" t="s">
        <v>2768</v>
      </c>
      <c r="O262" s="119" t="s">
        <v>2769</v>
      </c>
      <c r="P262" s="119" t="s">
        <v>2770</v>
      </c>
      <c r="Q262" s="119" t="s">
        <v>2714</v>
      </c>
      <c r="R262" s="119"/>
      <c r="S262" s="119"/>
    </row>
    <row r="263" spans="1:19" ht="14.25" x14ac:dyDescent="0.2">
      <c r="A263" s="119" t="s">
        <v>2771</v>
      </c>
      <c r="B263" s="119" t="s">
        <v>2772</v>
      </c>
      <c r="C263" s="119" t="s">
        <v>2773</v>
      </c>
      <c r="D263" s="119" t="s">
        <v>2774</v>
      </c>
      <c r="E263" s="119" t="s">
        <v>2775</v>
      </c>
      <c r="F263" s="119"/>
      <c r="G263" s="119" t="s">
        <v>2344</v>
      </c>
      <c r="H263" s="119" t="s">
        <v>20</v>
      </c>
      <c r="I263" s="119" t="s">
        <v>2776</v>
      </c>
      <c r="J263" s="119" t="s">
        <v>655</v>
      </c>
      <c r="K263" s="119" t="s">
        <v>646</v>
      </c>
      <c r="L263" s="119" t="s">
        <v>2777</v>
      </c>
      <c r="M263" s="119" t="s">
        <v>2778</v>
      </c>
      <c r="N263" s="119" t="s">
        <v>2779</v>
      </c>
      <c r="O263" s="119" t="s">
        <v>2780</v>
      </c>
      <c r="P263" s="119"/>
      <c r="Q263" s="119" t="s">
        <v>2714</v>
      </c>
      <c r="R263" s="119"/>
      <c r="S263" s="119"/>
    </row>
    <row r="264" spans="1:19" ht="14.25" x14ac:dyDescent="0.2">
      <c r="A264" s="133" t="s">
        <v>2781</v>
      </c>
      <c r="B264" s="133" t="s">
        <v>2782</v>
      </c>
      <c r="C264" s="133" t="s">
        <v>2783</v>
      </c>
      <c r="D264" s="133" t="s">
        <v>2784</v>
      </c>
      <c r="E264" s="133"/>
      <c r="F264" s="133"/>
      <c r="G264" s="133" t="s">
        <v>2785</v>
      </c>
      <c r="H264" s="133" t="s">
        <v>20</v>
      </c>
      <c r="I264" s="133" t="s">
        <v>2786</v>
      </c>
      <c r="J264" s="133" t="s">
        <v>655</v>
      </c>
      <c r="K264" s="133" t="s">
        <v>646</v>
      </c>
      <c r="L264" s="133" t="s">
        <v>2777</v>
      </c>
      <c r="M264" s="133" t="s">
        <v>2787</v>
      </c>
      <c r="N264" s="133" t="s">
        <v>2788</v>
      </c>
      <c r="O264" s="133" t="s">
        <v>2789</v>
      </c>
      <c r="P264" s="133" t="s">
        <v>2790</v>
      </c>
      <c r="Q264" s="82" t="s">
        <v>568</v>
      </c>
      <c r="R264" s="80" t="s">
        <v>1733</v>
      </c>
      <c r="S264" s="119"/>
    </row>
    <row r="265" spans="1:19" ht="14.25" x14ac:dyDescent="0.2">
      <c r="A265" s="119" t="s">
        <v>2791</v>
      </c>
      <c r="B265" s="119" t="s">
        <v>2792</v>
      </c>
      <c r="C265" s="119" t="s">
        <v>2793</v>
      </c>
      <c r="D265" s="119" t="s">
        <v>2794</v>
      </c>
      <c r="E265" s="119" t="s">
        <v>2795</v>
      </c>
      <c r="F265" s="119"/>
      <c r="G265" s="119" t="s">
        <v>1395</v>
      </c>
      <c r="H265" s="119" t="s">
        <v>20</v>
      </c>
      <c r="I265" s="119" t="s">
        <v>2796</v>
      </c>
      <c r="J265" s="119" t="s">
        <v>655</v>
      </c>
      <c r="K265" s="119" t="s">
        <v>646</v>
      </c>
      <c r="L265" s="119" t="s">
        <v>1450</v>
      </c>
      <c r="M265" s="119" t="s">
        <v>2797</v>
      </c>
      <c r="N265" s="119" t="s">
        <v>2798</v>
      </c>
      <c r="O265" s="119" t="s">
        <v>2799</v>
      </c>
      <c r="P265" s="119"/>
      <c r="Q265" s="119" t="s">
        <v>2714</v>
      </c>
      <c r="R265" s="119"/>
      <c r="S265" s="119"/>
    </row>
    <row r="266" spans="1:19" ht="14.25" x14ac:dyDescent="0.2">
      <c r="A266" s="119" t="s">
        <v>2800</v>
      </c>
      <c r="B266" s="119" t="s">
        <v>2801</v>
      </c>
      <c r="C266" s="119" t="s">
        <v>2802</v>
      </c>
      <c r="D266" s="119" t="s">
        <v>2803</v>
      </c>
      <c r="E266" s="119"/>
      <c r="F266" s="119"/>
      <c r="G266" s="119" t="s">
        <v>2804</v>
      </c>
      <c r="H266" s="119" t="s">
        <v>20</v>
      </c>
      <c r="I266" s="119" t="s">
        <v>2805</v>
      </c>
      <c r="J266" s="119" t="s">
        <v>655</v>
      </c>
      <c r="K266" s="119" t="s">
        <v>646</v>
      </c>
      <c r="L266" s="119" t="s">
        <v>2806</v>
      </c>
      <c r="M266" s="119" t="s">
        <v>2807</v>
      </c>
      <c r="N266" s="119" t="s">
        <v>2808</v>
      </c>
      <c r="O266" s="119" t="s">
        <v>2809</v>
      </c>
      <c r="P266" s="119"/>
      <c r="Q266" s="119" t="s">
        <v>2714</v>
      </c>
      <c r="R266" s="119"/>
      <c r="S266" s="119"/>
    </row>
    <row r="267" spans="1:19" ht="14.25" x14ac:dyDescent="0.2">
      <c r="A267" s="119" t="s">
        <v>2810</v>
      </c>
      <c r="B267" s="119" t="s">
        <v>2811</v>
      </c>
      <c r="C267" s="119" t="s">
        <v>2812</v>
      </c>
      <c r="D267" s="119" t="s">
        <v>2813</v>
      </c>
      <c r="E267" s="119" t="s">
        <v>2814</v>
      </c>
      <c r="F267" s="119"/>
      <c r="G267" s="119" t="s">
        <v>1395</v>
      </c>
      <c r="H267" s="119" t="s">
        <v>20</v>
      </c>
      <c r="I267" s="119" t="s">
        <v>2815</v>
      </c>
      <c r="J267" s="119" t="s">
        <v>655</v>
      </c>
      <c r="K267" s="119" t="s">
        <v>646</v>
      </c>
      <c r="L267" s="119" t="s">
        <v>2816</v>
      </c>
      <c r="M267" s="119" t="s">
        <v>2817</v>
      </c>
      <c r="N267" s="119" t="s">
        <v>2818</v>
      </c>
      <c r="O267" s="119" t="s">
        <v>2819</v>
      </c>
      <c r="P267" s="119"/>
      <c r="Q267" s="119" t="s">
        <v>2714</v>
      </c>
      <c r="R267" s="119"/>
      <c r="S267" s="119"/>
    </row>
    <row r="268" spans="1:19" ht="14.25" x14ac:dyDescent="0.2">
      <c r="A268" s="119" t="s">
        <v>2820</v>
      </c>
      <c r="B268" s="119" t="s">
        <v>2821</v>
      </c>
      <c r="C268" s="119" t="s">
        <v>2822</v>
      </c>
      <c r="D268" s="119" t="s">
        <v>2823</v>
      </c>
      <c r="E268" s="119" t="s">
        <v>1378</v>
      </c>
      <c r="F268" s="119"/>
      <c r="G268" s="119" t="s">
        <v>2408</v>
      </c>
      <c r="H268" s="119" t="s">
        <v>20</v>
      </c>
      <c r="I268" s="119" t="s">
        <v>2824</v>
      </c>
      <c r="J268" s="119" t="s">
        <v>655</v>
      </c>
      <c r="K268" s="119" t="s">
        <v>646</v>
      </c>
      <c r="L268" s="119" t="s">
        <v>2825</v>
      </c>
      <c r="M268" s="119" t="s">
        <v>2826</v>
      </c>
      <c r="N268" s="119" t="s">
        <v>2827</v>
      </c>
      <c r="O268" s="119" t="s">
        <v>2828</v>
      </c>
      <c r="P268" s="119"/>
      <c r="Q268" s="119" t="s">
        <v>2714</v>
      </c>
      <c r="R268" s="119"/>
      <c r="S268" s="119"/>
    </row>
    <row r="269" spans="1:19" ht="14.25" x14ac:dyDescent="0.2">
      <c r="A269" s="119" t="s">
        <v>2829</v>
      </c>
      <c r="B269" s="119" t="s">
        <v>2830</v>
      </c>
      <c r="C269" s="119" t="s">
        <v>2831</v>
      </c>
      <c r="D269" s="119" t="s">
        <v>2832</v>
      </c>
      <c r="E269" s="119"/>
      <c r="F269" s="119"/>
      <c r="G269" s="119" t="s">
        <v>2105</v>
      </c>
      <c r="H269" s="119" t="s">
        <v>20</v>
      </c>
      <c r="I269" s="119" t="s">
        <v>2833</v>
      </c>
      <c r="J269" s="119" t="s">
        <v>655</v>
      </c>
      <c r="K269" s="119" t="s">
        <v>646</v>
      </c>
      <c r="L269" s="119" t="s">
        <v>2834</v>
      </c>
      <c r="M269" s="119" t="s">
        <v>2835</v>
      </c>
      <c r="N269" s="119" t="s">
        <v>2836</v>
      </c>
      <c r="O269" s="119" t="s">
        <v>2837</v>
      </c>
      <c r="P269" s="119"/>
      <c r="Q269" s="119" t="s">
        <v>2714</v>
      </c>
      <c r="R269" s="119"/>
      <c r="S269" s="119"/>
    </row>
    <row r="270" spans="1:19" ht="14.25" x14ac:dyDescent="0.2">
      <c r="A270" s="119" t="s">
        <v>2838</v>
      </c>
      <c r="B270" s="119" t="s">
        <v>2839</v>
      </c>
      <c r="C270" s="119" t="s">
        <v>2840</v>
      </c>
      <c r="D270" s="119" t="s">
        <v>2841</v>
      </c>
      <c r="E270" s="119"/>
      <c r="F270" s="119"/>
      <c r="G270" s="119" t="s">
        <v>1395</v>
      </c>
      <c r="H270" s="119" t="s">
        <v>20</v>
      </c>
      <c r="I270" s="119" t="s">
        <v>2842</v>
      </c>
      <c r="J270" s="119" t="s">
        <v>655</v>
      </c>
      <c r="K270" s="119" t="s">
        <v>646</v>
      </c>
      <c r="L270" s="119" t="s">
        <v>1068</v>
      </c>
      <c r="M270" s="119" t="s">
        <v>2843</v>
      </c>
      <c r="N270" s="119" t="s">
        <v>2844</v>
      </c>
      <c r="O270" s="119" t="s">
        <v>2845</v>
      </c>
      <c r="P270" s="119" t="s">
        <v>2846</v>
      </c>
      <c r="Q270" s="119" t="s">
        <v>2714</v>
      </c>
      <c r="R270" s="119"/>
      <c r="S270" s="119"/>
    </row>
    <row r="271" spans="1:19" ht="14.25" x14ac:dyDescent="0.2">
      <c r="A271" s="133" t="s">
        <v>2847</v>
      </c>
      <c r="B271" s="133" t="s">
        <v>2848</v>
      </c>
      <c r="C271" s="133" t="s">
        <v>2849</v>
      </c>
      <c r="D271" s="133" t="s">
        <v>2850</v>
      </c>
      <c r="E271" s="133" t="s">
        <v>2851</v>
      </c>
      <c r="F271" s="133"/>
      <c r="G271" s="133" t="s">
        <v>1395</v>
      </c>
      <c r="H271" s="133" t="s">
        <v>20</v>
      </c>
      <c r="I271" s="133" t="s">
        <v>2852</v>
      </c>
      <c r="J271" s="133" t="s">
        <v>655</v>
      </c>
      <c r="K271" s="133" t="s">
        <v>646</v>
      </c>
      <c r="L271" s="133" t="s">
        <v>2853</v>
      </c>
      <c r="M271" s="133" t="s">
        <v>2854</v>
      </c>
      <c r="N271" s="133" t="s">
        <v>2855</v>
      </c>
      <c r="O271" s="133" t="s">
        <v>2856</v>
      </c>
      <c r="P271" s="133"/>
      <c r="Q271" s="133" t="s">
        <v>2714</v>
      </c>
      <c r="R271" s="119" t="s">
        <v>1733</v>
      </c>
      <c r="S271" s="119"/>
    </row>
    <row r="272" spans="1:19" ht="14.25" x14ac:dyDescent="0.2">
      <c r="A272" s="119" t="s">
        <v>2857</v>
      </c>
      <c r="B272" s="119" t="s">
        <v>2858</v>
      </c>
      <c r="C272" s="119" t="s">
        <v>2859</v>
      </c>
      <c r="D272" s="119" t="s">
        <v>2860</v>
      </c>
      <c r="E272" s="119" t="s">
        <v>1563</v>
      </c>
      <c r="F272" s="119"/>
      <c r="G272" s="119" t="s">
        <v>1395</v>
      </c>
      <c r="H272" s="119" t="s">
        <v>20</v>
      </c>
      <c r="I272" s="119" t="s">
        <v>2861</v>
      </c>
      <c r="J272" s="119" t="s">
        <v>655</v>
      </c>
      <c r="K272" s="119" t="s">
        <v>646</v>
      </c>
      <c r="L272" s="119" t="s">
        <v>2862</v>
      </c>
      <c r="M272" s="119" t="s">
        <v>2863</v>
      </c>
      <c r="N272" s="119" t="s">
        <v>2864</v>
      </c>
      <c r="O272" s="119" t="s">
        <v>2865</v>
      </c>
      <c r="P272" s="119"/>
      <c r="Q272" s="119" t="s">
        <v>2714</v>
      </c>
      <c r="R272" s="119"/>
      <c r="S272" s="119"/>
    </row>
    <row r="273" spans="1:19" ht="14.25" x14ac:dyDescent="0.2">
      <c r="A273" s="119" t="s">
        <v>2866</v>
      </c>
      <c r="B273" s="119" t="s">
        <v>2867</v>
      </c>
      <c r="C273" s="119" t="s">
        <v>2868</v>
      </c>
      <c r="D273" s="119" t="s">
        <v>1831</v>
      </c>
      <c r="E273" s="119" t="s">
        <v>1551</v>
      </c>
      <c r="F273" s="119"/>
      <c r="G273" s="119" t="s">
        <v>1395</v>
      </c>
      <c r="H273" s="119" t="s">
        <v>20</v>
      </c>
      <c r="I273" s="119" t="s">
        <v>1832</v>
      </c>
      <c r="J273" s="119" t="s">
        <v>655</v>
      </c>
      <c r="K273" s="119" t="s">
        <v>646</v>
      </c>
      <c r="L273" s="119" t="s">
        <v>1886</v>
      </c>
      <c r="M273" s="119" t="s">
        <v>1887</v>
      </c>
      <c r="N273" s="119" t="s">
        <v>1888</v>
      </c>
      <c r="O273" s="119" t="s">
        <v>1834</v>
      </c>
      <c r="P273" s="119"/>
      <c r="Q273" s="119" t="s">
        <v>2714</v>
      </c>
      <c r="R273" s="119"/>
      <c r="S273" s="119"/>
    </row>
    <row r="274" spans="1:19" ht="14.25" x14ac:dyDescent="0.2">
      <c r="A274" s="119" t="s">
        <v>2869</v>
      </c>
      <c r="B274" s="119" t="s">
        <v>2870</v>
      </c>
      <c r="C274" s="119" t="s">
        <v>2871</v>
      </c>
      <c r="D274" s="119" t="s">
        <v>2872</v>
      </c>
      <c r="E274" s="119" t="s">
        <v>1308</v>
      </c>
      <c r="F274" s="119"/>
      <c r="G274" s="119" t="s">
        <v>1395</v>
      </c>
      <c r="H274" s="119" t="s">
        <v>20</v>
      </c>
      <c r="I274" s="119" t="s">
        <v>2873</v>
      </c>
      <c r="J274" s="119" t="s">
        <v>655</v>
      </c>
      <c r="K274" s="119" t="s">
        <v>646</v>
      </c>
      <c r="L274" s="119" t="s">
        <v>1942</v>
      </c>
      <c r="M274" s="119" t="s">
        <v>2874</v>
      </c>
      <c r="N274" s="119" t="s">
        <v>1944</v>
      </c>
      <c r="O274" s="119" t="s">
        <v>1945</v>
      </c>
      <c r="P274" s="119"/>
      <c r="Q274" s="119" t="s">
        <v>2714</v>
      </c>
      <c r="R274" s="119"/>
      <c r="S274" s="119"/>
    </row>
    <row r="275" spans="1:19" ht="14.25" x14ac:dyDescent="0.2">
      <c r="A275" s="119" t="s">
        <v>2875</v>
      </c>
      <c r="B275" s="119" t="s">
        <v>2876</v>
      </c>
      <c r="C275" s="119" t="s">
        <v>2877</v>
      </c>
      <c r="D275" s="119" t="s">
        <v>2878</v>
      </c>
      <c r="E275" s="119" t="s">
        <v>2879</v>
      </c>
      <c r="F275" s="119"/>
      <c r="G275" s="119" t="s">
        <v>2558</v>
      </c>
      <c r="H275" s="119" t="s">
        <v>20</v>
      </c>
      <c r="I275" s="119" t="s">
        <v>2880</v>
      </c>
      <c r="J275" s="119" t="s">
        <v>655</v>
      </c>
      <c r="K275" s="119" t="s">
        <v>646</v>
      </c>
      <c r="L275" s="119" t="s">
        <v>671</v>
      </c>
      <c r="M275" s="119" t="s">
        <v>2881</v>
      </c>
      <c r="N275" s="119" t="s">
        <v>2882</v>
      </c>
      <c r="O275" s="119" t="s">
        <v>2883</v>
      </c>
      <c r="P275" s="119"/>
      <c r="Q275" s="119" t="s">
        <v>2714</v>
      </c>
      <c r="R275" s="119"/>
      <c r="S275" s="119"/>
    </row>
    <row r="276" spans="1:19" ht="14.25" x14ac:dyDescent="0.2">
      <c r="A276" s="119" t="s">
        <v>2884</v>
      </c>
      <c r="B276" s="119" t="s">
        <v>2885</v>
      </c>
      <c r="C276" s="119" t="s">
        <v>2886</v>
      </c>
      <c r="D276" s="119" t="s">
        <v>2872</v>
      </c>
      <c r="E276" s="119" t="s">
        <v>2887</v>
      </c>
      <c r="F276" s="119"/>
      <c r="G276" s="119" t="s">
        <v>1395</v>
      </c>
      <c r="H276" s="119" t="s">
        <v>20</v>
      </c>
      <c r="I276" s="119" t="s">
        <v>2888</v>
      </c>
      <c r="J276" s="119" t="s">
        <v>655</v>
      </c>
      <c r="K276" s="119" t="s">
        <v>646</v>
      </c>
      <c r="L276" s="119" t="s">
        <v>1942</v>
      </c>
      <c r="M276" s="119" t="s">
        <v>2874</v>
      </c>
      <c r="N276" s="119" t="s">
        <v>1944</v>
      </c>
      <c r="O276" s="119" t="s">
        <v>2889</v>
      </c>
      <c r="P276" s="119"/>
      <c r="Q276" s="119" t="s">
        <v>2714</v>
      </c>
      <c r="R276" s="119"/>
      <c r="S276" s="119"/>
    </row>
    <row r="277" spans="1:19" ht="14.25" x14ac:dyDescent="0.2">
      <c r="A277" s="119" t="s">
        <v>2890</v>
      </c>
      <c r="B277" s="119" t="s">
        <v>2891</v>
      </c>
      <c r="C277" s="119" t="s">
        <v>2892</v>
      </c>
      <c r="D277" s="119" t="s">
        <v>2872</v>
      </c>
      <c r="E277" s="119" t="s">
        <v>1308</v>
      </c>
      <c r="F277" s="119"/>
      <c r="G277" s="119" t="s">
        <v>1395</v>
      </c>
      <c r="H277" s="119" t="s">
        <v>20</v>
      </c>
      <c r="I277" s="119" t="s">
        <v>2888</v>
      </c>
      <c r="J277" s="119" t="s">
        <v>655</v>
      </c>
      <c r="K277" s="119" t="s">
        <v>646</v>
      </c>
      <c r="L277" s="119" t="s">
        <v>1942</v>
      </c>
      <c r="M277" s="119" t="s">
        <v>2874</v>
      </c>
      <c r="N277" s="119" t="s">
        <v>1944</v>
      </c>
      <c r="O277" s="119" t="s">
        <v>1945</v>
      </c>
      <c r="P277" s="119"/>
      <c r="Q277" s="119" t="s">
        <v>2714</v>
      </c>
      <c r="R277" s="119"/>
      <c r="S277" s="119"/>
    </row>
    <row r="278" spans="1:19" ht="14.25" x14ac:dyDescent="0.2">
      <c r="A278" s="119" t="s">
        <v>2893</v>
      </c>
      <c r="B278" s="119" t="s">
        <v>2894</v>
      </c>
      <c r="C278" s="119" t="s">
        <v>2895</v>
      </c>
      <c r="D278" s="119" t="s">
        <v>2896</v>
      </c>
      <c r="E278" s="119"/>
      <c r="F278" s="119"/>
      <c r="G278" s="119" t="s">
        <v>2743</v>
      </c>
      <c r="H278" s="119" t="s">
        <v>20</v>
      </c>
      <c r="I278" s="119" t="s">
        <v>2897</v>
      </c>
      <c r="J278" s="119" t="s">
        <v>655</v>
      </c>
      <c r="K278" s="119" t="s">
        <v>646</v>
      </c>
      <c r="L278" s="119" t="s">
        <v>522</v>
      </c>
      <c r="M278" s="119" t="s">
        <v>855</v>
      </c>
      <c r="N278" s="119" t="s">
        <v>2898</v>
      </c>
      <c r="O278" s="119" t="s">
        <v>2899</v>
      </c>
      <c r="P278" s="119"/>
      <c r="Q278" s="119" t="s">
        <v>2714</v>
      </c>
      <c r="R278" s="119"/>
      <c r="S278" s="119"/>
    </row>
    <row r="279" spans="1:19" ht="14.25" x14ac:dyDescent="0.2">
      <c r="A279" s="133" t="s">
        <v>2900</v>
      </c>
      <c r="B279" s="133" t="s">
        <v>2901</v>
      </c>
      <c r="C279" s="133" t="s">
        <v>2902</v>
      </c>
      <c r="D279" s="133" t="s">
        <v>2903</v>
      </c>
      <c r="E279" s="133"/>
      <c r="F279" s="133"/>
      <c r="G279" s="133" t="s">
        <v>2904</v>
      </c>
      <c r="H279" s="133" t="s">
        <v>20</v>
      </c>
      <c r="I279" s="133" t="s">
        <v>2905</v>
      </c>
      <c r="J279" s="133" t="s">
        <v>655</v>
      </c>
      <c r="K279" s="133" t="s">
        <v>646</v>
      </c>
      <c r="L279" s="133" t="s">
        <v>2906</v>
      </c>
      <c r="M279" s="133" t="s">
        <v>2907</v>
      </c>
      <c r="N279" s="133" t="s">
        <v>2908</v>
      </c>
      <c r="O279" s="133" t="s">
        <v>2909</v>
      </c>
      <c r="P279" s="133" t="s">
        <v>2910</v>
      </c>
      <c r="Q279" s="133" t="s">
        <v>2714</v>
      </c>
      <c r="R279" s="119" t="s">
        <v>1733</v>
      </c>
      <c r="S279" s="119"/>
    </row>
    <row r="280" spans="1:19" ht="14.25" x14ac:dyDescent="0.2">
      <c r="A280" s="119" t="s">
        <v>2911</v>
      </c>
      <c r="B280" s="119" t="s">
        <v>2912</v>
      </c>
      <c r="C280" s="119" t="s">
        <v>2913</v>
      </c>
      <c r="D280" s="119" t="s">
        <v>2914</v>
      </c>
      <c r="E280" s="119" t="s">
        <v>2700</v>
      </c>
      <c r="F280" s="119"/>
      <c r="G280" s="119" t="s">
        <v>2915</v>
      </c>
      <c r="H280" s="119" t="s">
        <v>20</v>
      </c>
      <c r="I280" s="119" t="s">
        <v>2916</v>
      </c>
      <c r="J280" s="119" t="s">
        <v>655</v>
      </c>
      <c r="K280" s="119" t="s">
        <v>646</v>
      </c>
      <c r="L280" s="119" t="s">
        <v>473</v>
      </c>
      <c r="M280" s="119" t="s">
        <v>2917</v>
      </c>
      <c r="N280" s="119" t="s">
        <v>2918</v>
      </c>
      <c r="O280" s="119" t="s">
        <v>2919</v>
      </c>
      <c r="P280" s="119"/>
      <c r="Q280" s="119" t="s">
        <v>2714</v>
      </c>
      <c r="R280" s="119"/>
      <c r="S280" s="119"/>
    </row>
    <row r="281" spans="1:19" ht="14.25" x14ac:dyDescent="0.2">
      <c r="A281" s="119" t="s">
        <v>2920</v>
      </c>
      <c r="B281" s="119" t="s">
        <v>2921</v>
      </c>
      <c r="C281" s="119" t="s">
        <v>2922</v>
      </c>
      <c r="D281" s="119" t="s">
        <v>1831</v>
      </c>
      <c r="E281" s="119" t="s">
        <v>1551</v>
      </c>
      <c r="F281" s="119"/>
      <c r="G281" s="119" t="s">
        <v>1395</v>
      </c>
      <c r="H281" s="119" t="s">
        <v>20</v>
      </c>
      <c r="I281" s="119" t="s">
        <v>1832</v>
      </c>
      <c r="J281" s="119" t="s">
        <v>655</v>
      </c>
      <c r="K281" s="119" t="s">
        <v>646</v>
      </c>
      <c r="L281" s="119" t="s">
        <v>2923</v>
      </c>
      <c r="M281" s="119" t="s">
        <v>2924</v>
      </c>
      <c r="N281" s="119" t="s">
        <v>2925</v>
      </c>
      <c r="O281" s="119" t="s">
        <v>1834</v>
      </c>
      <c r="P281" s="119"/>
      <c r="Q281" s="119" t="s">
        <v>2714</v>
      </c>
      <c r="R281" s="119"/>
      <c r="S281" s="119"/>
    </row>
    <row r="282" spans="1:19" ht="14.25" x14ac:dyDescent="0.2">
      <c r="A282" s="119" t="s">
        <v>2926</v>
      </c>
      <c r="B282" s="119" t="s">
        <v>2927</v>
      </c>
      <c r="C282" s="119" t="s">
        <v>2928</v>
      </c>
      <c r="D282" s="119" t="s">
        <v>2929</v>
      </c>
      <c r="E282" s="119"/>
      <c r="F282" s="119"/>
      <c r="G282" s="119" t="s">
        <v>2743</v>
      </c>
      <c r="H282" s="119" t="s">
        <v>20</v>
      </c>
      <c r="I282" s="119" t="s">
        <v>2930</v>
      </c>
      <c r="J282" s="119" t="s">
        <v>655</v>
      </c>
      <c r="K282" s="119" t="s">
        <v>646</v>
      </c>
      <c r="L282" s="119" t="s">
        <v>2296</v>
      </c>
      <c r="M282" s="119" t="s">
        <v>2931</v>
      </c>
      <c r="N282" s="119"/>
      <c r="O282" s="119" t="s">
        <v>2932</v>
      </c>
      <c r="P282" s="119"/>
      <c r="Q282" s="119" t="s">
        <v>2714</v>
      </c>
      <c r="R282" s="119"/>
      <c r="S282" s="119"/>
    </row>
    <row r="283" spans="1:19" ht="14.25" x14ac:dyDescent="0.2">
      <c r="A283" s="119" t="s">
        <v>2933</v>
      </c>
      <c r="B283" s="119" t="s">
        <v>2934</v>
      </c>
      <c r="C283" s="119" t="s">
        <v>2935</v>
      </c>
      <c r="D283" s="119" t="s">
        <v>2936</v>
      </c>
      <c r="E283" s="119"/>
      <c r="F283" s="119"/>
      <c r="G283" s="119" t="s">
        <v>1815</v>
      </c>
      <c r="H283" s="119" t="s">
        <v>20</v>
      </c>
      <c r="I283" s="119" t="s">
        <v>2937</v>
      </c>
      <c r="J283" s="119" t="s">
        <v>655</v>
      </c>
      <c r="K283" s="119" t="s">
        <v>646</v>
      </c>
      <c r="L283" s="119" t="s">
        <v>963</v>
      </c>
      <c r="M283" s="119" t="s">
        <v>2938</v>
      </c>
      <c r="N283" s="119" t="s">
        <v>2939</v>
      </c>
      <c r="O283" s="119" t="s">
        <v>2940</v>
      </c>
      <c r="P283" s="119"/>
      <c r="Q283" s="119" t="s">
        <v>2714</v>
      </c>
      <c r="R283" s="119"/>
      <c r="S283" s="119"/>
    </row>
    <row r="284" spans="1:19" ht="14.25" x14ac:dyDescent="0.2">
      <c r="A284" s="133" t="s">
        <v>2941</v>
      </c>
      <c r="B284" s="133" t="s">
        <v>2942</v>
      </c>
      <c r="C284" s="133" t="s">
        <v>2943</v>
      </c>
      <c r="D284" s="133" t="s">
        <v>2944</v>
      </c>
      <c r="E284" s="133" t="s">
        <v>2945</v>
      </c>
      <c r="F284" s="133"/>
      <c r="G284" s="133" t="s">
        <v>1815</v>
      </c>
      <c r="H284" s="133" t="s">
        <v>20</v>
      </c>
      <c r="I284" s="133" t="s">
        <v>2946</v>
      </c>
      <c r="J284" s="133" t="s">
        <v>655</v>
      </c>
      <c r="K284" s="133" t="s">
        <v>646</v>
      </c>
      <c r="L284" s="133" t="s">
        <v>2599</v>
      </c>
      <c r="M284" s="133" t="s">
        <v>2600</v>
      </c>
      <c r="N284" s="133" t="s">
        <v>2601</v>
      </c>
      <c r="O284" s="133" t="s">
        <v>2144</v>
      </c>
      <c r="P284" s="133" t="s">
        <v>2602</v>
      </c>
      <c r="Q284" s="133" t="s">
        <v>2714</v>
      </c>
      <c r="R284" s="119" t="s">
        <v>1733</v>
      </c>
      <c r="S284" s="119"/>
    </row>
    <row r="285" spans="1:19" ht="14.25" x14ac:dyDescent="0.2">
      <c r="A285" s="133" t="s">
        <v>2947</v>
      </c>
      <c r="B285" s="133" t="s">
        <v>2948</v>
      </c>
      <c r="C285" s="133" t="s">
        <v>2949</v>
      </c>
      <c r="D285" s="133" t="s">
        <v>2944</v>
      </c>
      <c r="E285" s="133" t="s">
        <v>2945</v>
      </c>
      <c r="F285" s="133"/>
      <c r="G285" s="133" t="s">
        <v>1815</v>
      </c>
      <c r="H285" s="133" t="s">
        <v>20</v>
      </c>
      <c r="I285" s="133" t="s">
        <v>2946</v>
      </c>
      <c r="J285" s="133" t="s">
        <v>655</v>
      </c>
      <c r="K285" s="133" t="s">
        <v>646</v>
      </c>
      <c r="L285" s="133" t="s">
        <v>1185</v>
      </c>
      <c r="M285" s="133" t="s">
        <v>2950</v>
      </c>
      <c r="N285" s="133" t="s">
        <v>2951</v>
      </c>
      <c r="O285" s="133" t="s">
        <v>2144</v>
      </c>
      <c r="P285" s="133" t="s">
        <v>2952</v>
      </c>
      <c r="Q285" s="133" t="s">
        <v>2714</v>
      </c>
      <c r="R285" s="119" t="s">
        <v>1733</v>
      </c>
      <c r="S285" s="119"/>
    </row>
    <row r="286" spans="1:19" ht="14.25" x14ac:dyDescent="0.2">
      <c r="A286" s="119" t="s">
        <v>2953</v>
      </c>
      <c r="B286" s="119" t="s">
        <v>2954</v>
      </c>
      <c r="C286" s="119" t="s">
        <v>2955</v>
      </c>
      <c r="D286" s="119" t="s">
        <v>2956</v>
      </c>
      <c r="E286" s="119" t="s">
        <v>2957</v>
      </c>
      <c r="F286" s="119"/>
      <c r="G286" s="119" t="s">
        <v>1840</v>
      </c>
      <c r="H286" s="119" t="s">
        <v>20</v>
      </c>
      <c r="I286" s="119" t="s">
        <v>2958</v>
      </c>
      <c r="J286" s="119" t="s">
        <v>655</v>
      </c>
      <c r="K286" s="119" t="s">
        <v>646</v>
      </c>
      <c r="L286" s="119" t="s">
        <v>2959</v>
      </c>
      <c r="M286" s="119" t="s">
        <v>2960</v>
      </c>
      <c r="N286" s="119" t="s">
        <v>2961</v>
      </c>
      <c r="O286" s="119" t="s">
        <v>2022</v>
      </c>
      <c r="P286" s="119"/>
      <c r="Q286" s="119" t="s">
        <v>2714</v>
      </c>
      <c r="R286" s="119"/>
      <c r="S286" s="119"/>
    </row>
    <row r="287" spans="1:19" ht="14.25" x14ac:dyDescent="0.2">
      <c r="A287" s="119" t="s">
        <v>2962</v>
      </c>
      <c r="B287" s="119" t="s">
        <v>2963</v>
      </c>
      <c r="C287" s="119" t="s">
        <v>2964</v>
      </c>
      <c r="D287" s="119" t="s">
        <v>1831</v>
      </c>
      <c r="E287" s="119" t="s">
        <v>1551</v>
      </c>
      <c r="F287" s="119"/>
      <c r="G287" s="119" t="s">
        <v>1395</v>
      </c>
      <c r="H287" s="119" t="s">
        <v>20</v>
      </c>
      <c r="I287" s="119" t="s">
        <v>1832</v>
      </c>
      <c r="J287" s="119" t="s">
        <v>655</v>
      </c>
      <c r="K287" s="119" t="s">
        <v>646</v>
      </c>
      <c r="L287" s="119" t="s">
        <v>1859</v>
      </c>
      <c r="M287" s="119" t="s">
        <v>550</v>
      </c>
      <c r="N287" s="119" t="s">
        <v>1860</v>
      </c>
      <c r="O287" s="119" t="s">
        <v>1834</v>
      </c>
      <c r="P287" s="119" t="s">
        <v>1861</v>
      </c>
      <c r="Q287" s="119" t="s">
        <v>2714</v>
      </c>
      <c r="R287" s="119"/>
      <c r="S287" s="119"/>
    </row>
    <row r="288" spans="1:19" ht="14.25" x14ac:dyDescent="0.2">
      <c r="A288" s="119" t="s">
        <v>2965</v>
      </c>
      <c r="B288" s="119" t="s">
        <v>2966</v>
      </c>
      <c r="C288" s="119" t="s">
        <v>2967</v>
      </c>
      <c r="D288" s="119" t="s">
        <v>2968</v>
      </c>
      <c r="E288" s="119" t="s">
        <v>2969</v>
      </c>
      <c r="F288" s="119"/>
      <c r="G288" s="119" t="s">
        <v>2115</v>
      </c>
      <c r="H288" s="119" t="s">
        <v>20</v>
      </c>
      <c r="I288" s="119" t="s">
        <v>2970</v>
      </c>
      <c r="J288" s="119" t="s">
        <v>645</v>
      </c>
      <c r="K288" s="119" t="s">
        <v>646</v>
      </c>
      <c r="L288" s="119" t="s">
        <v>3660</v>
      </c>
      <c r="M288" s="119" t="s">
        <v>3661</v>
      </c>
      <c r="N288" s="119" t="s">
        <v>3662</v>
      </c>
      <c r="O288" s="119" t="s">
        <v>2971</v>
      </c>
      <c r="P288" s="119"/>
      <c r="Q288" s="119" t="s">
        <v>2714</v>
      </c>
      <c r="R288" s="119"/>
      <c r="S288" s="119"/>
    </row>
    <row r="289" spans="1:19" ht="14.25" x14ac:dyDescent="0.2">
      <c r="A289" s="119" t="s">
        <v>2972</v>
      </c>
      <c r="B289" s="119" t="s">
        <v>2973</v>
      </c>
      <c r="C289" s="119" t="s">
        <v>2974</v>
      </c>
      <c r="D289" s="119" t="s">
        <v>2975</v>
      </c>
      <c r="E289" s="119"/>
      <c r="F289" s="119"/>
      <c r="G289" s="119" t="s">
        <v>1395</v>
      </c>
      <c r="H289" s="119" t="s">
        <v>20</v>
      </c>
      <c r="I289" s="119" t="s">
        <v>2976</v>
      </c>
      <c r="J289" s="119" t="s">
        <v>655</v>
      </c>
      <c r="K289" s="119" t="s">
        <v>646</v>
      </c>
      <c r="L289" s="119" t="s">
        <v>2977</v>
      </c>
      <c r="M289" s="119" t="s">
        <v>509</v>
      </c>
      <c r="N289" s="119"/>
      <c r="O289" s="119" t="s">
        <v>2978</v>
      </c>
      <c r="P289" s="119"/>
      <c r="Q289" s="119" t="s">
        <v>2714</v>
      </c>
      <c r="R289" s="119"/>
      <c r="S289" s="119"/>
    </row>
    <row r="290" spans="1:19" ht="14.25" x14ac:dyDescent="0.2">
      <c r="A290" s="119" t="s">
        <v>2979</v>
      </c>
      <c r="B290" s="119" t="s">
        <v>2980</v>
      </c>
      <c r="C290" s="119" t="s">
        <v>2981</v>
      </c>
      <c r="D290" s="119" t="s">
        <v>2982</v>
      </c>
      <c r="E290" s="119"/>
      <c r="F290" s="119"/>
      <c r="G290" s="119" t="s">
        <v>2001</v>
      </c>
      <c r="H290" s="119" t="s">
        <v>20</v>
      </c>
      <c r="I290" s="119" t="s">
        <v>2983</v>
      </c>
      <c r="J290" s="119" t="s">
        <v>655</v>
      </c>
      <c r="K290" s="119" t="s">
        <v>646</v>
      </c>
      <c r="L290" s="119" t="s">
        <v>1062</v>
      </c>
      <c r="M290" s="119" t="s">
        <v>2984</v>
      </c>
      <c r="N290" s="119" t="s">
        <v>2985</v>
      </c>
      <c r="O290" s="119" t="s">
        <v>2986</v>
      </c>
      <c r="P290" s="119"/>
      <c r="Q290" s="119" t="s">
        <v>2714</v>
      </c>
      <c r="R290" s="119"/>
      <c r="S290" s="119"/>
    </row>
    <row r="291" spans="1:19" ht="14.25" x14ac:dyDescent="0.2">
      <c r="A291" s="119" t="s">
        <v>2987</v>
      </c>
      <c r="B291" s="119" t="s">
        <v>2988</v>
      </c>
      <c r="C291" s="119" t="s">
        <v>2989</v>
      </c>
      <c r="D291" s="119" t="s">
        <v>2990</v>
      </c>
      <c r="E291" s="119"/>
      <c r="F291" s="119"/>
      <c r="G291" s="119" t="s">
        <v>2991</v>
      </c>
      <c r="H291" s="119" t="s">
        <v>20</v>
      </c>
      <c r="I291" s="119" t="s">
        <v>2992</v>
      </c>
      <c r="J291" s="119" t="s">
        <v>655</v>
      </c>
      <c r="K291" s="119" t="s">
        <v>646</v>
      </c>
      <c r="L291" s="119" t="s">
        <v>2993</v>
      </c>
      <c r="M291" s="119" t="s">
        <v>2994</v>
      </c>
      <c r="N291" s="119" t="s">
        <v>2995</v>
      </c>
      <c r="O291" s="119" t="s">
        <v>2996</v>
      </c>
      <c r="P291" s="119"/>
      <c r="Q291" s="119" t="s">
        <v>2714</v>
      </c>
      <c r="R291" s="119"/>
      <c r="S291" s="119"/>
    </row>
    <row r="292" spans="1:19" ht="14.25" x14ac:dyDescent="0.2">
      <c r="A292" s="119" t="s">
        <v>2997</v>
      </c>
      <c r="B292" s="119" t="s">
        <v>2998</v>
      </c>
      <c r="C292" s="119" t="s">
        <v>2999</v>
      </c>
      <c r="D292" s="119" t="s">
        <v>3000</v>
      </c>
      <c r="E292" s="119"/>
      <c r="F292" s="119"/>
      <c r="G292" s="119" t="s">
        <v>3001</v>
      </c>
      <c r="H292" s="119" t="s">
        <v>20</v>
      </c>
      <c r="I292" s="119" t="s">
        <v>3002</v>
      </c>
      <c r="J292" s="119" t="s">
        <v>655</v>
      </c>
      <c r="K292" s="119" t="s">
        <v>646</v>
      </c>
      <c r="L292" s="119" t="s">
        <v>3003</v>
      </c>
      <c r="M292" s="119" t="s">
        <v>3004</v>
      </c>
      <c r="N292" s="119" t="s">
        <v>3005</v>
      </c>
      <c r="O292" s="119" t="s">
        <v>3006</v>
      </c>
      <c r="P292" s="119"/>
      <c r="Q292" s="119" t="s">
        <v>2714</v>
      </c>
      <c r="R292" s="119"/>
      <c r="S292" s="119"/>
    </row>
    <row r="293" spans="1:19" ht="14.25" x14ac:dyDescent="0.2">
      <c r="A293" s="119" t="s">
        <v>3007</v>
      </c>
      <c r="B293" s="119" t="s">
        <v>3008</v>
      </c>
      <c r="C293" s="119" t="s">
        <v>3009</v>
      </c>
      <c r="D293" s="119" t="s">
        <v>3010</v>
      </c>
      <c r="E293" s="119" t="s">
        <v>2700</v>
      </c>
      <c r="F293" s="119"/>
      <c r="G293" s="119" t="s">
        <v>1395</v>
      </c>
      <c r="H293" s="119" t="s">
        <v>20</v>
      </c>
      <c r="I293" s="119" t="s">
        <v>3011</v>
      </c>
      <c r="J293" s="119" t="s">
        <v>655</v>
      </c>
      <c r="K293" s="119" t="s">
        <v>646</v>
      </c>
      <c r="L293" s="119" t="s">
        <v>3012</v>
      </c>
      <c r="M293" s="119" t="s">
        <v>3013</v>
      </c>
      <c r="N293" s="119"/>
      <c r="O293" s="119" t="s">
        <v>3014</v>
      </c>
      <c r="P293" s="119"/>
      <c r="Q293" s="119" t="s">
        <v>2714</v>
      </c>
      <c r="R293" s="119"/>
      <c r="S293" s="119"/>
    </row>
    <row r="294" spans="1:19" ht="14.25" x14ac:dyDescent="0.2">
      <c r="A294" s="119" t="s">
        <v>3015</v>
      </c>
      <c r="B294" s="119" t="s">
        <v>3016</v>
      </c>
      <c r="C294" s="119" t="s">
        <v>3017</v>
      </c>
      <c r="D294" s="119" t="s">
        <v>3018</v>
      </c>
      <c r="E294" s="119" t="s">
        <v>1307</v>
      </c>
      <c r="F294" s="119"/>
      <c r="G294" s="119" t="s">
        <v>1395</v>
      </c>
      <c r="H294" s="119" t="s">
        <v>20</v>
      </c>
      <c r="I294" s="119" t="s">
        <v>3019</v>
      </c>
      <c r="J294" s="119" t="s">
        <v>655</v>
      </c>
      <c r="K294" s="119" t="s">
        <v>646</v>
      </c>
      <c r="L294" s="119" t="s">
        <v>3020</v>
      </c>
      <c r="M294" s="119" t="s">
        <v>3021</v>
      </c>
      <c r="N294" s="119" t="s">
        <v>3022</v>
      </c>
      <c r="O294" s="119" t="s">
        <v>3023</v>
      </c>
      <c r="P294" s="119" t="s">
        <v>3024</v>
      </c>
      <c r="Q294" s="119" t="s">
        <v>2714</v>
      </c>
      <c r="R294" s="119"/>
      <c r="S294" s="119"/>
    </row>
    <row r="295" spans="1:19" ht="14.25" x14ac:dyDescent="0.2">
      <c r="A295" s="133" t="s">
        <v>3025</v>
      </c>
      <c r="B295" s="133" t="s">
        <v>3026</v>
      </c>
      <c r="C295" s="133" t="s">
        <v>3027</v>
      </c>
      <c r="D295" s="133" t="s">
        <v>3028</v>
      </c>
      <c r="E295" s="133" t="s">
        <v>1307</v>
      </c>
      <c r="F295" s="133"/>
      <c r="G295" s="133" t="s">
        <v>2280</v>
      </c>
      <c r="H295" s="133" t="s">
        <v>20</v>
      </c>
      <c r="I295" s="133" t="s">
        <v>3029</v>
      </c>
      <c r="J295" s="133" t="s">
        <v>655</v>
      </c>
      <c r="K295" s="133" t="s">
        <v>646</v>
      </c>
      <c r="L295" s="133" t="s">
        <v>528</v>
      </c>
      <c r="M295" s="133" t="s">
        <v>3030</v>
      </c>
      <c r="N295" s="133" t="s">
        <v>3031</v>
      </c>
      <c r="O295" s="133" t="s">
        <v>3032</v>
      </c>
      <c r="P295" s="133"/>
      <c r="Q295" s="133" t="s">
        <v>2714</v>
      </c>
      <c r="R295" s="119" t="s">
        <v>1733</v>
      </c>
      <c r="S295" s="119"/>
    </row>
    <row r="296" spans="1:19" ht="14.25" x14ac:dyDescent="0.2">
      <c r="A296" s="119" t="s">
        <v>3033</v>
      </c>
      <c r="B296" s="119" t="s">
        <v>3034</v>
      </c>
      <c r="C296" s="119" t="s">
        <v>3035</v>
      </c>
      <c r="D296" s="119" t="s">
        <v>3036</v>
      </c>
      <c r="E296" s="119"/>
      <c r="F296" s="119"/>
      <c r="G296" s="119" t="s">
        <v>1805</v>
      </c>
      <c r="H296" s="119" t="s">
        <v>20</v>
      </c>
      <c r="I296" s="119" t="s">
        <v>3037</v>
      </c>
      <c r="J296" s="119" t="s">
        <v>655</v>
      </c>
      <c r="K296" s="119" t="s">
        <v>646</v>
      </c>
      <c r="L296" s="119" t="s">
        <v>1068</v>
      </c>
      <c r="M296" s="119" t="s">
        <v>3038</v>
      </c>
      <c r="N296" s="119" t="s">
        <v>3039</v>
      </c>
      <c r="O296" s="119" t="s">
        <v>3040</v>
      </c>
      <c r="P296" s="119" t="s">
        <v>3041</v>
      </c>
      <c r="Q296" s="119" t="s">
        <v>2714</v>
      </c>
      <c r="R296" s="119"/>
      <c r="S296" s="119"/>
    </row>
    <row r="297" spans="1:19" ht="14.25" x14ac:dyDescent="0.2">
      <c r="A297" s="119" t="s">
        <v>3042</v>
      </c>
      <c r="B297" s="119" t="s">
        <v>3043</v>
      </c>
      <c r="C297" s="119" t="s">
        <v>3044</v>
      </c>
      <c r="D297" s="119" t="s">
        <v>3045</v>
      </c>
      <c r="E297" s="119"/>
      <c r="F297" s="119"/>
      <c r="G297" s="119" t="s">
        <v>2804</v>
      </c>
      <c r="H297" s="119" t="s">
        <v>20</v>
      </c>
      <c r="I297" s="119" t="s">
        <v>3046</v>
      </c>
      <c r="J297" s="119" t="s">
        <v>655</v>
      </c>
      <c r="K297" s="119" t="s">
        <v>646</v>
      </c>
      <c r="L297" s="119" t="s">
        <v>3047</v>
      </c>
      <c r="M297" s="119" t="s">
        <v>3048</v>
      </c>
      <c r="N297" s="119" t="s">
        <v>3049</v>
      </c>
      <c r="O297" s="119" t="s">
        <v>3050</v>
      </c>
      <c r="P297" s="119"/>
      <c r="Q297" s="119" t="s">
        <v>2714</v>
      </c>
      <c r="R297" s="119"/>
      <c r="S297" s="119"/>
    </row>
    <row r="298" spans="1:19" ht="14.25" x14ac:dyDescent="0.2">
      <c r="A298" s="133" t="s">
        <v>3051</v>
      </c>
      <c r="B298" s="133" t="s">
        <v>3052</v>
      </c>
      <c r="C298" s="133" t="s">
        <v>3053</v>
      </c>
      <c r="D298" s="133" t="s">
        <v>3054</v>
      </c>
      <c r="E298" s="133"/>
      <c r="F298" s="133"/>
      <c r="G298" s="133" t="s">
        <v>3055</v>
      </c>
      <c r="H298" s="133" t="s">
        <v>20</v>
      </c>
      <c r="I298" s="133" t="s">
        <v>3056</v>
      </c>
      <c r="J298" s="133" t="s">
        <v>655</v>
      </c>
      <c r="K298" s="133" t="s">
        <v>646</v>
      </c>
      <c r="L298" s="133" t="s">
        <v>510</v>
      </c>
      <c r="M298" s="133" t="s">
        <v>3057</v>
      </c>
      <c r="N298" s="133" t="s">
        <v>3058</v>
      </c>
      <c r="O298" s="133" t="s">
        <v>3059</v>
      </c>
      <c r="P298" s="133"/>
      <c r="Q298" s="133" t="s">
        <v>2714</v>
      </c>
      <c r="R298" s="119" t="s">
        <v>1733</v>
      </c>
      <c r="S298" s="119"/>
    </row>
    <row r="299" spans="1:19" ht="14.25" x14ac:dyDescent="0.2">
      <c r="A299" s="119" t="s">
        <v>3060</v>
      </c>
      <c r="B299" s="119" t="s">
        <v>3061</v>
      </c>
      <c r="C299" s="119" t="s">
        <v>3062</v>
      </c>
      <c r="D299" s="119" t="s">
        <v>3063</v>
      </c>
      <c r="E299" s="119" t="s">
        <v>3064</v>
      </c>
      <c r="F299" s="119"/>
      <c r="G299" s="119" t="s">
        <v>2105</v>
      </c>
      <c r="H299" s="119" t="s">
        <v>20</v>
      </c>
      <c r="I299" s="119" t="s">
        <v>3065</v>
      </c>
      <c r="J299" s="119" t="s">
        <v>655</v>
      </c>
      <c r="K299" s="119" t="s">
        <v>646</v>
      </c>
      <c r="L299" s="119" t="s">
        <v>3066</v>
      </c>
      <c r="M299" s="119" t="s">
        <v>3067</v>
      </c>
      <c r="N299" s="119" t="s">
        <v>3068</v>
      </c>
      <c r="O299" s="119" t="s">
        <v>3069</v>
      </c>
      <c r="P299" s="119"/>
      <c r="Q299" s="119" t="s">
        <v>2714</v>
      </c>
      <c r="R299" s="119"/>
      <c r="S299" s="119"/>
    </row>
    <row r="300" spans="1:19" ht="14.25" x14ac:dyDescent="0.2">
      <c r="A300" s="119" t="s">
        <v>3070</v>
      </c>
      <c r="B300" s="119" t="s">
        <v>3071</v>
      </c>
      <c r="C300" s="119" t="s">
        <v>3072</v>
      </c>
      <c r="D300" s="119" t="s">
        <v>1849</v>
      </c>
      <c r="E300" s="119" t="s">
        <v>1850</v>
      </c>
      <c r="F300" s="119"/>
      <c r="G300" s="119" t="s">
        <v>1395</v>
      </c>
      <c r="H300" s="119" t="s">
        <v>20</v>
      </c>
      <c r="I300" s="119" t="s">
        <v>1851</v>
      </c>
      <c r="J300" s="119" t="s">
        <v>655</v>
      </c>
      <c r="K300" s="119" t="s">
        <v>646</v>
      </c>
      <c r="L300" s="119" t="s">
        <v>3073</v>
      </c>
      <c r="M300" s="119" t="s">
        <v>3074</v>
      </c>
      <c r="N300" s="119" t="s">
        <v>3075</v>
      </c>
      <c r="O300" s="119" t="s">
        <v>3076</v>
      </c>
      <c r="P300" s="119"/>
      <c r="Q300" s="119" t="s">
        <v>2714</v>
      </c>
      <c r="R300" s="119"/>
      <c r="S300" s="119"/>
    </row>
    <row r="301" spans="1:19" ht="14.25" x14ac:dyDescent="0.2">
      <c r="A301" s="133" t="s">
        <v>3077</v>
      </c>
      <c r="B301" s="133" t="s">
        <v>3078</v>
      </c>
      <c r="C301" s="133" t="s">
        <v>3079</v>
      </c>
      <c r="D301" s="133" t="s">
        <v>3080</v>
      </c>
      <c r="E301" s="133"/>
      <c r="F301" s="133"/>
      <c r="G301" s="133"/>
      <c r="H301" s="133" t="s">
        <v>20</v>
      </c>
      <c r="I301" s="133" t="s">
        <v>3081</v>
      </c>
      <c r="J301" s="133" t="s">
        <v>655</v>
      </c>
      <c r="K301" s="133" t="s">
        <v>646</v>
      </c>
      <c r="L301" s="133" t="s">
        <v>3082</v>
      </c>
      <c r="M301" s="133" t="s">
        <v>3083</v>
      </c>
      <c r="N301" s="133" t="s">
        <v>3084</v>
      </c>
      <c r="O301" s="133" t="s">
        <v>3085</v>
      </c>
      <c r="P301" s="133" t="s">
        <v>3086</v>
      </c>
      <c r="Q301" s="133" t="s">
        <v>2714</v>
      </c>
      <c r="R301" s="119" t="s">
        <v>1733</v>
      </c>
      <c r="S301" s="119"/>
    </row>
    <row r="302" spans="1:19" ht="14.25" x14ac:dyDescent="0.2">
      <c r="A302" s="119" t="s">
        <v>3087</v>
      </c>
      <c r="B302" s="119" t="s">
        <v>3088</v>
      </c>
      <c r="C302" s="119" t="s">
        <v>3089</v>
      </c>
      <c r="D302" s="119" t="s">
        <v>3090</v>
      </c>
      <c r="E302" s="119"/>
      <c r="F302" s="119"/>
      <c r="G302" s="119" t="s">
        <v>1395</v>
      </c>
      <c r="H302" s="119" t="s">
        <v>20</v>
      </c>
      <c r="I302" s="119" t="s">
        <v>3091</v>
      </c>
      <c r="J302" s="119" t="s">
        <v>655</v>
      </c>
      <c r="K302" s="119" t="s">
        <v>646</v>
      </c>
      <c r="L302" s="119" t="s">
        <v>3092</v>
      </c>
      <c r="M302" s="119" t="s">
        <v>3093</v>
      </c>
      <c r="N302" s="119" t="s">
        <v>3094</v>
      </c>
      <c r="O302" s="119" t="s">
        <v>3095</v>
      </c>
      <c r="P302" s="119"/>
      <c r="Q302" s="119" t="s">
        <v>2714</v>
      </c>
      <c r="R302" s="119"/>
      <c r="S302" s="119"/>
    </row>
    <row r="303" spans="1:19" ht="14.25" x14ac:dyDescent="0.2">
      <c r="A303" s="133" t="s">
        <v>3096</v>
      </c>
      <c r="B303" s="133" t="s">
        <v>3097</v>
      </c>
      <c r="C303" s="133" t="s">
        <v>3098</v>
      </c>
      <c r="D303" s="133" t="s">
        <v>3099</v>
      </c>
      <c r="E303" s="133"/>
      <c r="F303" s="133"/>
      <c r="G303" s="133" t="s">
        <v>2638</v>
      </c>
      <c r="H303" s="133" t="s">
        <v>20</v>
      </c>
      <c r="I303" s="133" t="s">
        <v>3100</v>
      </c>
      <c r="J303" s="133" t="s">
        <v>655</v>
      </c>
      <c r="K303" s="133" t="s">
        <v>646</v>
      </c>
      <c r="L303" s="133" t="s">
        <v>3101</v>
      </c>
      <c r="M303" s="133" t="s">
        <v>3102</v>
      </c>
      <c r="N303" s="133" t="s">
        <v>3103</v>
      </c>
      <c r="O303" s="133" t="s">
        <v>3104</v>
      </c>
      <c r="P303" s="133"/>
      <c r="Q303" s="133" t="s">
        <v>2714</v>
      </c>
      <c r="R303" s="119" t="s">
        <v>1733</v>
      </c>
      <c r="S303" s="119"/>
    </row>
    <row r="304" spans="1:19" ht="14.25" x14ac:dyDescent="0.2">
      <c r="A304" s="119" t="s">
        <v>3105</v>
      </c>
      <c r="B304" s="119" t="s">
        <v>3106</v>
      </c>
      <c r="C304" s="119" t="s">
        <v>3107</v>
      </c>
      <c r="D304" s="119" t="s">
        <v>3108</v>
      </c>
      <c r="E304" s="119" t="s">
        <v>3109</v>
      </c>
      <c r="F304" s="119"/>
      <c r="G304" s="119" t="s">
        <v>3110</v>
      </c>
      <c r="H304" s="119" t="s">
        <v>20</v>
      </c>
      <c r="I304" s="119" t="s">
        <v>3111</v>
      </c>
      <c r="J304" s="119" t="s">
        <v>655</v>
      </c>
      <c r="K304" s="119" t="s">
        <v>646</v>
      </c>
      <c r="L304" s="119" t="s">
        <v>3112</v>
      </c>
      <c r="M304" s="119" t="s">
        <v>3113</v>
      </c>
      <c r="N304" s="119" t="s">
        <v>3114</v>
      </c>
      <c r="O304" s="119" t="s">
        <v>3115</v>
      </c>
      <c r="P304" s="119"/>
      <c r="Q304" s="119" t="s">
        <v>2714</v>
      </c>
      <c r="R304" s="119"/>
      <c r="S304" s="119"/>
    </row>
    <row r="305" spans="1:19" ht="14.25" x14ac:dyDescent="0.2">
      <c r="A305" s="119" t="s">
        <v>3116</v>
      </c>
      <c r="B305" s="119" t="s">
        <v>3117</v>
      </c>
      <c r="C305" s="119" t="s">
        <v>3118</v>
      </c>
      <c r="D305" s="119" t="s">
        <v>3119</v>
      </c>
      <c r="E305" s="119" t="s">
        <v>3120</v>
      </c>
      <c r="F305" s="119"/>
      <c r="G305" s="119" t="s">
        <v>3121</v>
      </c>
      <c r="H305" s="119" t="s">
        <v>20</v>
      </c>
      <c r="I305" s="119" t="s">
        <v>3122</v>
      </c>
      <c r="J305" s="119" t="s">
        <v>655</v>
      </c>
      <c r="K305" s="119" t="s">
        <v>646</v>
      </c>
      <c r="L305" s="119" t="s">
        <v>3123</v>
      </c>
      <c r="M305" s="119" t="s">
        <v>3124</v>
      </c>
      <c r="N305" s="119" t="s">
        <v>3125</v>
      </c>
      <c r="O305" s="119" t="s">
        <v>3126</v>
      </c>
      <c r="P305" s="119"/>
      <c r="Q305" s="119" t="s">
        <v>2714</v>
      </c>
      <c r="R305" s="119"/>
      <c r="S305" s="119"/>
    </row>
    <row r="306" spans="1:19" ht="14.25" x14ac:dyDescent="0.2">
      <c r="A306" s="119" t="s">
        <v>3127</v>
      </c>
      <c r="B306" s="119" t="s">
        <v>3128</v>
      </c>
      <c r="C306" s="119" t="s">
        <v>3129</v>
      </c>
      <c r="D306" s="119" t="s">
        <v>3130</v>
      </c>
      <c r="E306" s="119"/>
      <c r="F306" s="119"/>
      <c r="G306" s="119" t="s">
        <v>1395</v>
      </c>
      <c r="H306" s="119" t="s">
        <v>20</v>
      </c>
      <c r="I306" s="119" t="s">
        <v>3131</v>
      </c>
      <c r="J306" s="119" t="s">
        <v>655</v>
      </c>
      <c r="K306" s="119" t="s">
        <v>646</v>
      </c>
      <c r="L306" s="119" t="s">
        <v>1953</v>
      </c>
      <c r="M306" s="119" t="s">
        <v>3132</v>
      </c>
      <c r="N306" s="119" t="s">
        <v>3133</v>
      </c>
      <c r="O306" s="119" t="s">
        <v>3134</v>
      </c>
      <c r="P306" s="119" t="s">
        <v>3135</v>
      </c>
      <c r="Q306" s="119" t="s">
        <v>2714</v>
      </c>
      <c r="R306" s="119"/>
      <c r="S306" s="119"/>
    </row>
    <row r="307" spans="1:19" ht="14.25" x14ac:dyDescent="0.2">
      <c r="A307" s="133" t="s">
        <v>3136</v>
      </c>
      <c r="B307" s="133" t="s">
        <v>3137</v>
      </c>
      <c r="C307" s="133" t="s">
        <v>3138</v>
      </c>
      <c r="D307" s="133" t="s">
        <v>3139</v>
      </c>
      <c r="E307" s="133"/>
      <c r="F307" s="133"/>
      <c r="G307" s="133" t="s">
        <v>3140</v>
      </c>
      <c r="H307" s="133" t="s">
        <v>20</v>
      </c>
      <c r="I307" s="133" t="s">
        <v>3141</v>
      </c>
      <c r="J307" s="133" t="s">
        <v>655</v>
      </c>
      <c r="K307" s="133" t="s">
        <v>646</v>
      </c>
      <c r="L307" s="133" t="s">
        <v>1859</v>
      </c>
      <c r="M307" s="133" t="s">
        <v>3142</v>
      </c>
      <c r="N307" s="133" t="s">
        <v>3143</v>
      </c>
      <c r="O307" s="133" t="s">
        <v>3144</v>
      </c>
      <c r="P307" s="133"/>
      <c r="Q307" s="133" t="s">
        <v>2714</v>
      </c>
      <c r="R307" s="119" t="s">
        <v>1733</v>
      </c>
      <c r="S307" s="119"/>
    </row>
    <row r="308" spans="1:19" ht="14.25" x14ac:dyDescent="0.2">
      <c r="A308" s="119" t="s">
        <v>3145</v>
      </c>
      <c r="B308" s="119" t="s">
        <v>3146</v>
      </c>
      <c r="C308" s="119" t="s">
        <v>3147</v>
      </c>
      <c r="D308" s="119" t="s">
        <v>1831</v>
      </c>
      <c r="E308" s="119" t="s">
        <v>1551</v>
      </c>
      <c r="F308" s="119"/>
      <c r="G308" s="119" t="s">
        <v>1395</v>
      </c>
      <c r="H308" s="119" t="s">
        <v>20</v>
      </c>
      <c r="I308" s="119" t="s">
        <v>1832</v>
      </c>
      <c r="J308" s="119" t="s">
        <v>655</v>
      </c>
      <c r="K308" s="119" t="s">
        <v>646</v>
      </c>
      <c r="L308" s="119"/>
      <c r="M308" s="119"/>
      <c r="N308" s="119"/>
      <c r="O308" s="119" t="s">
        <v>1834</v>
      </c>
      <c r="P308" s="119"/>
      <c r="Q308" s="119" t="s">
        <v>2714</v>
      </c>
      <c r="R308" s="119"/>
      <c r="S308" s="119"/>
    </row>
    <row r="309" spans="1:19" ht="14.25" x14ac:dyDescent="0.2">
      <c r="A309" s="119" t="s">
        <v>3148</v>
      </c>
      <c r="B309" s="119" t="s">
        <v>3149</v>
      </c>
      <c r="C309" s="119" t="s">
        <v>3150</v>
      </c>
      <c r="D309" s="119" t="s">
        <v>3151</v>
      </c>
      <c r="E309" s="119" t="s">
        <v>1823</v>
      </c>
      <c r="F309" s="119"/>
      <c r="G309" s="119" t="s">
        <v>3152</v>
      </c>
      <c r="H309" s="119" t="s">
        <v>20</v>
      </c>
      <c r="I309" s="119" t="s">
        <v>3153</v>
      </c>
      <c r="J309" s="119" t="s">
        <v>655</v>
      </c>
      <c r="K309" s="119" t="s">
        <v>646</v>
      </c>
      <c r="L309" s="119" t="s">
        <v>910</v>
      </c>
      <c r="M309" s="119" t="s">
        <v>3154</v>
      </c>
      <c r="N309" s="119" t="s">
        <v>3155</v>
      </c>
      <c r="O309" s="119" t="s">
        <v>3156</v>
      </c>
      <c r="P309" s="119"/>
      <c r="Q309" s="119" t="s">
        <v>2714</v>
      </c>
      <c r="R309" s="119"/>
      <c r="S309" s="119"/>
    </row>
    <row r="310" spans="1:19" ht="14.25" x14ac:dyDescent="0.2">
      <c r="A310" s="119" t="s">
        <v>3157</v>
      </c>
      <c r="B310" s="119" t="s">
        <v>3158</v>
      </c>
      <c r="C310" s="119" t="s">
        <v>3159</v>
      </c>
      <c r="D310" s="119" t="s">
        <v>3151</v>
      </c>
      <c r="E310" s="119" t="s">
        <v>1823</v>
      </c>
      <c r="F310" s="119"/>
      <c r="G310" s="119" t="s">
        <v>3152</v>
      </c>
      <c r="H310" s="119" t="s">
        <v>20</v>
      </c>
      <c r="I310" s="119" t="s">
        <v>3153</v>
      </c>
      <c r="J310" s="119" t="s">
        <v>655</v>
      </c>
      <c r="K310" s="119" t="s">
        <v>646</v>
      </c>
      <c r="L310" s="119" t="s">
        <v>910</v>
      </c>
      <c r="M310" s="119" t="s">
        <v>3154</v>
      </c>
      <c r="N310" s="119" t="s">
        <v>3155</v>
      </c>
      <c r="O310" s="119" t="s">
        <v>3156</v>
      </c>
      <c r="P310" s="119"/>
      <c r="Q310" s="119" t="s">
        <v>2714</v>
      </c>
      <c r="R310" s="119"/>
      <c r="S310" s="119"/>
    </row>
    <row r="311" spans="1:19" ht="14.25" x14ac:dyDescent="0.2">
      <c r="A311" s="133" t="s">
        <v>3160</v>
      </c>
      <c r="B311" s="133" t="s">
        <v>3161</v>
      </c>
      <c r="C311" s="133" t="s">
        <v>3162</v>
      </c>
      <c r="D311" s="133" t="s">
        <v>3151</v>
      </c>
      <c r="E311" s="133" t="s">
        <v>1823</v>
      </c>
      <c r="F311" s="133"/>
      <c r="G311" s="133" t="s">
        <v>3152</v>
      </c>
      <c r="H311" s="133" t="s">
        <v>20</v>
      </c>
      <c r="I311" s="133" t="s">
        <v>3153</v>
      </c>
      <c r="J311" s="133" t="s">
        <v>655</v>
      </c>
      <c r="K311" s="133" t="s">
        <v>646</v>
      </c>
      <c r="L311" s="133" t="s">
        <v>910</v>
      </c>
      <c r="M311" s="133" t="s">
        <v>3154</v>
      </c>
      <c r="N311" s="82" t="s">
        <v>3155</v>
      </c>
      <c r="O311" s="133" t="s">
        <v>3156</v>
      </c>
      <c r="P311" s="133"/>
      <c r="Q311" s="133" t="s">
        <v>2714</v>
      </c>
      <c r="R311" s="119" t="s">
        <v>1733</v>
      </c>
      <c r="S311" s="119"/>
    </row>
    <row r="312" spans="1:19" ht="14.25" x14ac:dyDescent="0.2">
      <c r="A312" s="119" t="s">
        <v>3163</v>
      </c>
      <c r="B312" s="119" t="s">
        <v>3164</v>
      </c>
      <c r="C312" s="119" t="s">
        <v>3654</v>
      </c>
      <c r="D312" s="119" t="s">
        <v>3655</v>
      </c>
      <c r="E312" s="119" t="s">
        <v>3165</v>
      </c>
      <c r="F312" s="119"/>
      <c r="G312" s="119" t="s">
        <v>2638</v>
      </c>
      <c r="H312" s="119" t="s">
        <v>20</v>
      </c>
      <c r="I312" s="119" t="s">
        <v>3166</v>
      </c>
      <c r="J312" s="119" t="s">
        <v>655</v>
      </c>
      <c r="K312" s="119" t="s">
        <v>646</v>
      </c>
      <c r="L312" s="119" t="s">
        <v>3656</v>
      </c>
      <c r="M312" s="119" t="s">
        <v>3657</v>
      </c>
      <c r="N312" s="119" t="s">
        <v>3658</v>
      </c>
      <c r="O312" s="119" t="s">
        <v>3659</v>
      </c>
      <c r="P312" s="119" t="s">
        <v>3167</v>
      </c>
      <c r="Q312" s="119" t="s">
        <v>3168</v>
      </c>
      <c r="R312" s="119"/>
      <c r="S312" s="119"/>
    </row>
    <row r="313" spans="1:19" ht="14.25" x14ac:dyDescent="0.2">
      <c r="A313" s="119" t="s">
        <v>3169</v>
      </c>
      <c r="B313" s="119" t="s">
        <v>3170</v>
      </c>
      <c r="C313" s="119" t="s">
        <v>3171</v>
      </c>
      <c r="D313" s="119" t="s">
        <v>3172</v>
      </c>
      <c r="E313" s="119"/>
      <c r="F313" s="119"/>
      <c r="G313" s="119" t="s">
        <v>1961</v>
      </c>
      <c r="H313" s="119" t="s">
        <v>20</v>
      </c>
      <c r="I313" s="119" t="s">
        <v>3173</v>
      </c>
      <c r="J313" s="119" t="s">
        <v>655</v>
      </c>
      <c r="K313" s="119" t="s">
        <v>646</v>
      </c>
      <c r="L313" s="119" t="s">
        <v>3174</v>
      </c>
      <c r="M313" s="119" t="s">
        <v>3175</v>
      </c>
      <c r="N313" s="119" t="s">
        <v>3176</v>
      </c>
      <c r="O313" s="119" t="s">
        <v>3177</v>
      </c>
      <c r="P313" s="119"/>
      <c r="Q313" s="119" t="s">
        <v>2714</v>
      </c>
      <c r="R313" s="119"/>
      <c r="S313" s="119"/>
    </row>
    <row r="314" spans="1:19" ht="14.25" x14ac:dyDescent="0.2">
      <c r="A314" s="119" t="s">
        <v>3178</v>
      </c>
      <c r="B314" s="119" t="s">
        <v>3179</v>
      </c>
      <c r="C314" s="119" t="s">
        <v>3180</v>
      </c>
      <c r="D314" s="119" t="s">
        <v>3181</v>
      </c>
      <c r="E314" s="119" t="s">
        <v>1551</v>
      </c>
      <c r="F314" s="119"/>
      <c r="G314" s="119" t="s">
        <v>2105</v>
      </c>
      <c r="H314" s="119" t="s">
        <v>20</v>
      </c>
      <c r="I314" s="119" t="s">
        <v>3182</v>
      </c>
      <c r="J314" s="119" t="s">
        <v>655</v>
      </c>
      <c r="K314" s="119" t="s">
        <v>646</v>
      </c>
      <c r="L314" s="119" t="s">
        <v>3183</v>
      </c>
      <c r="M314" s="119" t="s">
        <v>3184</v>
      </c>
      <c r="N314" s="119" t="s">
        <v>3185</v>
      </c>
      <c r="O314" s="119" t="s">
        <v>3186</v>
      </c>
      <c r="P314" s="119"/>
      <c r="Q314" s="119" t="s">
        <v>2714</v>
      </c>
      <c r="R314" s="119"/>
      <c r="S314" s="119"/>
    </row>
    <row r="315" spans="1:19" ht="14.25" x14ac:dyDescent="0.2">
      <c r="A315" s="119" t="s">
        <v>3187</v>
      </c>
      <c r="B315" s="119" t="s">
        <v>3188</v>
      </c>
      <c r="C315" s="119" t="s">
        <v>3189</v>
      </c>
      <c r="D315" s="119" t="s">
        <v>1831</v>
      </c>
      <c r="E315" s="119" t="s">
        <v>1551</v>
      </c>
      <c r="F315" s="119"/>
      <c r="G315" s="119" t="s">
        <v>1395</v>
      </c>
      <c r="H315" s="119" t="s">
        <v>20</v>
      </c>
      <c r="I315" s="119" t="s">
        <v>1832</v>
      </c>
      <c r="J315" s="119" t="s">
        <v>655</v>
      </c>
      <c r="K315" s="119" t="s">
        <v>646</v>
      </c>
      <c r="L315" s="119" t="s">
        <v>2923</v>
      </c>
      <c r="M315" s="119" t="s">
        <v>2924</v>
      </c>
      <c r="N315" s="119" t="s">
        <v>2925</v>
      </c>
      <c r="O315" s="119" t="s">
        <v>1834</v>
      </c>
      <c r="P315" s="119"/>
      <c r="Q315" s="119" t="s">
        <v>2714</v>
      </c>
      <c r="R315" s="119"/>
      <c r="S315" s="119"/>
    </row>
    <row r="316" spans="1:19" ht="29.25" customHeight="1" x14ac:dyDescent="0.2">
      <c r="A316" s="133" t="s">
        <v>3190</v>
      </c>
      <c r="B316" s="133" t="s">
        <v>3191</v>
      </c>
      <c r="C316" s="133" t="s">
        <v>3192</v>
      </c>
      <c r="D316" s="133" t="s">
        <v>3193</v>
      </c>
      <c r="E316" s="133" t="s">
        <v>3194</v>
      </c>
      <c r="F316" s="133"/>
      <c r="G316" s="133" t="s">
        <v>1395</v>
      </c>
      <c r="H316" s="133" t="s">
        <v>20</v>
      </c>
      <c r="I316" s="133" t="s">
        <v>3195</v>
      </c>
      <c r="J316" s="133" t="s">
        <v>655</v>
      </c>
      <c r="K316" s="133" t="s">
        <v>646</v>
      </c>
      <c r="L316" s="133" t="s">
        <v>3196</v>
      </c>
      <c r="M316" s="133" t="s">
        <v>3197</v>
      </c>
      <c r="N316" s="133" t="s">
        <v>3198</v>
      </c>
      <c r="O316" s="133" t="s">
        <v>3199</v>
      </c>
      <c r="P316" s="133"/>
      <c r="Q316" s="133" t="s">
        <v>2714</v>
      </c>
      <c r="R316" s="119" t="s">
        <v>1733</v>
      </c>
      <c r="S316" s="119"/>
    </row>
    <row r="317" spans="1:19" ht="14.25" x14ac:dyDescent="0.2">
      <c r="A317" s="119" t="s">
        <v>3200</v>
      </c>
      <c r="B317" s="119" t="s">
        <v>3201</v>
      </c>
      <c r="C317" s="119" t="s">
        <v>3202</v>
      </c>
      <c r="D317" s="119" t="s">
        <v>3203</v>
      </c>
      <c r="E317" s="119" t="s">
        <v>2211</v>
      </c>
      <c r="F317" s="119"/>
      <c r="G317" s="119" t="s">
        <v>1395</v>
      </c>
      <c r="H317" s="119" t="s">
        <v>20</v>
      </c>
      <c r="I317" s="119" t="s">
        <v>3204</v>
      </c>
      <c r="J317" s="119" t="s">
        <v>655</v>
      </c>
      <c r="K317" s="119" t="s">
        <v>646</v>
      </c>
      <c r="L317" s="119" t="s">
        <v>3652</v>
      </c>
      <c r="M317" s="119" t="s">
        <v>3653</v>
      </c>
      <c r="N317" s="119" t="s">
        <v>3205</v>
      </c>
      <c r="O317" s="119" t="s">
        <v>3206</v>
      </c>
      <c r="P317" s="119"/>
      <c r="Q317" s="119" t="s">
        <v>2714</v>
      </c>
      <c r="R317" s="119"/>
      <c r="S317" s="119"/>
    </row>
    <row r="318" spans="1:19" ht="14.25" x14ac:dyDescent="0.2">
      <c r="A318" s="119" t="s">
        <v>3207</v>
      </c>
      <c r="B318" s="119" t="s">
        <v>3208</v>
      </c>
      <c r="C318" s="119" t="s">
        <v>3209</v>
      </c>
      <c r="D318" s="119" t="s">
        <v>3210</v>
      </c>
      <c r="E318" s="119"/>
      <c r="F318" s="119"/>
      <c r="G318" s="119" t="s">
        <v>3211</v>
      </c>
      <c r="H318" s="119" t="s">
        <v>20</v>
      </c>
      <c r="I318" s="119" t="s">
        <v>3212</v>
      </c>
      <c r="J318" s="119" t="s">
        <v>655</v>
      </c>
      <c r="K318" s="119" t="s">
        <v>646</v>
      </c>
      <c r="L318" s="119" t="s">
        <v>3213</v>
      </c>
      <c r="M318" s="119" t="s">
        <v>3214</v>
      </c>
      <c r="N318" s="119" t="s">
        <v>3215</v>
      </c>
      <c r="O318" s="119" t="s">
        <v>3216</v>
      </c>
      <c r="P318" s="119"/>
      <c r="Q318" s="119" t="s">
        <v>2714</v>
      </c>
      <c r="R318" s="119"/>
      <c r="S318" s="119"/>
    </row>
    <row r="319" spans="1:19" ht="14.25" x14ac:dyDescent="0.2">
      <c r="A319" s="119" t="s">
        <v>3217</v>
      </c>
      <c r="B319" s="119" t="s">
        <v>3218</v>
      </c>
      <c r="C319" s="119" t="s">
        <v>3219</v>
      </c>
      <c r="D319" s="119" t="s">
        <v>3220</v>
      </c>
      <c r="E319" s="119" t="s">
        <v>1310</v>
      </c>
      <c r="F319" s="119"/>
      <c r="G319" s="119" t="s">
        <v>2638</v>
      </c>
      <c r="H319" s="119" t="s">
        <v>20</v>
      </c>
      <c r="I319" s="119" t="s">
        <v>3221</v>
      </c>
      <c r="J319" s="119" t="s">
        <v>655</v>
      </c>
      <c r="K319" s="119" t="s">
        <v>646</v>
      </c>
      <c r="L319" s="119" t="s">
        <v>3222</v>
      </c>
      <c r="M319" s="119" t="s">
        <v>3223</v>
      </c>
      <c r="N319" s="119" t="s">
        <v>3224</v>
      </c>
      <c r="O319" s="119" t="s">
        <v>3225</v>
      </c>
      <c r="P319" s="119" t="s">
        <v>3226</v>
      </c>
      <c r="Q319" s="119" t="s">
        <v>2714</v>
      </c>
      <c r="R319" s="119"/>
      <c r="S319" s="119"/>
    </row>
    <row r="320" spans="1:19" ht="14.25" x14ac:dyDescent="0.2">
      <c r="A320" s="150" t="s">
        <v>3227</v>
      </c>
      <c r="B320" s="150" t="s">
        <v>3228</v>
      </c>
      <c r="C320" s="150" t="s">
        <v>3229</v>
      </c>
      <c r="D320" s="150" t="s">
        <v>3230</v>
      </c>
      <c r="E320" s="119" t="s">
        <v>3231</v>
      </c>
      <c r="F320" s="119" t="s">
        <v>3232</v>
      </c>
      <c r="G320" s="119" t="s">
        <v>1395</v>
      </c>
      <c r="H320" s="119" t="s">
        <v>20</v>
      </c>
      <c r="I320" s="119" t="s">
        <v>3233</v>
      </c>
      <c r="J320" s="150" t="s">
        <v>655</v>
      </c>
      <c r="K320" s="150" t="s">
        <v>646</v>
      </c>
      <c r="L320" s="150" t="s">
        <v>1113</v>
      </c>
      <c r="M320" s="150" t="s">
        <v>3234</v>
      </c>
      <c r="N320" s="150" t="s">
        <v>3235</v>
      </c>
      <c r="O320" s="150" t="s">
        <v>3236</v>
      </c>
      <c r="P320" s="150"/>
      <c r="Q320" s="150" t="s">
        <v>2714</v>
      </c>
      <c r="R320" s="150"/>
      <c r="S320" s="151" t="s">
        <v>3824</v>
      </c>
    </row>
    <row r="321" spans="1:19" ht="14.25" x14ac:dyDescent="0.2">
      <c r="A321" s="119" t="s">
        <v>3237</v>
      </c>
      <c r="B321" s="119" t="s">
        <v>3238</v>
      </c>
      <c r="C321" s="119" t="s">
        <v>3239</v>
      </c>
      <c r="D321" s="119" t="s">
        <v>3151</v>
      </c>
      <c r="E321" s="119" t="s">
        <v>1823</v>
      </c>
      <c r="F321" s="119"/>
      <c r="G321" s="119" t="s">
        <v>3121</v>
      </c>
      <c r="H321" s="119" t="s">
        <v>20</v>
      </c>
      <c r="I321" s="119" t="s">
        <v>3153</v>
      </c>
      <c r="J321" s="119" t="s">
        <v>655</v>
      </c>
      <c r="K321" s="119" t="s">
        <v>646</v>
      </c>
      <c r="L321" s="119" t="s">
        <v>910</v>
      </c>
      <c r="M321" s="119" t="s">
        <v>3154</v>
      </c>
      <c r="N321" s="119" t="s">
        <v>3240</v>
      </c>
      <c r="O321" s="119" t="s">
        <v>3156</v>
      </c>
      <c r="P321" s="119"/>
      <c r="Q321" s="119" t="s">
        <v>2714</v>
      </c>
      <c r="R321" s="119"/>
      <c r="S321" s="119"/>
    </row>
    <row r="322" spans="1:19" ht="14.25" x14ac:dyDescent="0.2">
      <c r="A322" s="119" t="s">
        <v>3241</v>
      </c>
      <c r="B322" s="119" t="s">
        <v>3242</v>
      </c>
      <c r="C322" s="119" t="s">
        <v>3647</v>
      </c>
      <c r="D322" s="119" t="s">
        <v>3648</v>
      </c>
      <c r="E322" s="119" t="s">
        <v>1823</v>
      </c>
      <c r="F322" s="119"/>
      <c r="G322" s="119" t="s">
        <v>3121</v>
      </c>
      <c r="H322" s="119" t="s">
        <v>20</v>
      </c>
      <c r="I322" s="119" t="s">
        <v>3153</v>
      </c>
      <c r="J322" s="119" t="s">
        <v>655</v>
      </c>
      <c r="K322" s="119" t="s">
        <v>646</v>
      </c>
      <c r="L322" s="119" t="s">
        <v>3649</v>
      </c>
      <c r="M322" s="119" t="s">
        <v>3154</v>
      </c>
      <c r="N322" s="119" t="s">
        <v>3650</v>
      </c>
      <c r="O322" s="119" t="s">
        <v>3651</v>
      </c>
      <c r="P322" s="119"/>
      <c r="Q322" s="119" t="s">
        <v>2714</v>
      </c>
      <c r="R322" s="119"/>
      <c r="S322" s="119"/>
    </row>
    <row r="323" spans="1:19" ht="14.25" x14ac:dyDescent="0.2">
      <c r="A323" s="119" t="s">
        <v>3243</v>
      </c>
      <c r="B323" s="119" t="s">
        <v>3244</v>
      </c>
      <c r="C323" s="119" t="s">
        <v>3245</v>
      </c>
      <c r="D323" s="119" t="s">
        <v>3246</v>
      </c>
      <c r="E323" s="119" t="s">
        <v>3247</v>
      </c>
      <c r="F323" s="119"/>
      <c r="G323" s="119" t="s">
        <v>3121</v>
      </c>
      <c r="H323" s="119" t="s">
        <v>20</v>
      </c>
      <c r="I323" s="119" t="s">
        <v>3248</v>
      </c>
      <c r="J323" s="119" t="s">
        <v>655</v>
      </c>
      <c r="K323" s="119" t="s">
        <v>646</v>
      </c>
      <c r="L323" s="119" t="s">
        <v>3249</v>
      </c>
      <c r="M323" s="119" t="s">
        <v>3250</v>
      </c>
      <c r="N323" s="119" t="s">
        <v>3251</v>
      </c>
      <c r="O323" s="119" t="s">
        <v>3252</v>
      </c>
      <c r="P323" s="119"/>
      <c r="Q323" s="119" t="s">
        <v>2714</v>
      </c>
      <c r="R323" s="119"/>
      <c r="S323" s="119"/>
    </row>
    <row r="324" spans="1:19" ht="14.25" x14ac:dyDescent="0.2">
      <c r="A324" s="119" t="s">
        <v>3253</v>
      </c>
      <c r="B324" s="119" t="s">
        <v>3254</v>
      </c>
      <c r="C324" s="119" t="s">
        <v>3255</v>
      </c>
      <c r="D324" s="119" t="s">
        <v>3256</v>
      </c>
      <c r="E324" s="119" t="s">
        <v>3257</v>
      </c>
      <c r="F324" s="119"/>
      <c r="G324" s="119" t="s">
        <v>2071</v>
      </c>
      <c r="H324" s="119" t="s">
        <v>20</v>
      </c>
      <c r="I324" s="119" t="s">
        <v>3258</v>
      </c>
      <c r="J324" s="119" t="s">
        <v>655</v>
      </c>
      <c r="K324" s="119" t="s">
        <v>646</v>
      </c>
      <c r="L324" s="119" t="s">
        <v>3259</v>
      </c>
      <c r="M324" s="119" t="s">
        <v>3260</v>
      </c>
      <c r="N324" s="119" t="s">
        <v>3261</v>
      </c>
      <c r="O324" s="119" t="s">
        <v>3262</v>
      </c>
      <c r="P324" s="119"/>
      <c r="Q324" s="119" t="s">
        <v>2714</v>
      </c>
      <c r="R324" s="119"/>
      <c r="S324" s="119"/>
    </row>
    <row r="325" spans="1:19" ht="14.25" x14ac:dyDescent="0.2">
      <c r="A325" s="119" t="s">
        <v>3263</v>
      </c>
      <c r="B325" s="119" t="s">
        <v>3264</v>
      </c>
      <c r="C325" s="119" t="s">
        <v>3265</v>
      </c>
      <c r="D325" s="119" t="s">
        <v>3266</v>
      </c>
      <c r="E325" s="119" t="s">
        <v>3267</v>
      </c>
      <c r="F325" s="119"/>
      <c r="G325" s="119" t="s">
        <v>2105</v>
      </c>
      <c r="H325" s="119" t="s">
        <v>20</v>
      </c>
      <c r="I325" s="119" t="s">
        <v>3268</v>
      </c>
      <c r="J325" s="119" t="s">
        <v>655</v>
      </c>
      <c r="K325" s="119" t="s">
        <v>646</v>
      </c>
      <c r="L325" s="119" t="s">
        <v>3269</v>
      </c>
      <c r="M325" s="119" t="s">
        <v>3270</v>
      </c>
      <c r="N325" s="119" t="s">
        <v>3271</v>
      </c>
      <c r="O325" s="119" t="s">
        <v>3272</v>
      </c>
      <c r="P325" s="119"/>
      <c r="Q325" s="119" t="s">
        <v>2714</v>
      </c>
      <c r="R325" s="119"/>
      <c r="S325" s="119"/>
    </row>
    <row r="326" spans="1:19" ht="14.25" x14ac:dyDescent="0.2">
      <c r="A326" s="119" t="s">
        <v>3273</v>
      </c>
      <c r="B326" s="119" t="s">
        <v>3274</v>
      </c>
      <c r="C326" s="119" t="s">
        <v>3275</v>
      </c>
      <c r="D326" s="119" t="s">
        <v>3276</v>
      </c>
      <c r="E326" s="119" t="s">
        <v>3194</v>
      </c>
      <c r="F326" s="119"/>
      <c r="G326" s="119" t="s">
        <v>1395</v>
      </c>
      <c r="H326" s="119" t="s">
        <v>20</v>
      </c>
      <c r="I326" s="119" t="s">
        <v>3277</v>
      </c>
      <c r="J326" s="119" t="s">
        <v>645</v>
      </c>
      <c r="K326" s="119" t="s">
        <v>646</v>
      </c>
      <c r="L326" s="119" t="s">
        <v>3278</v>
      </c>
      <c r="M326" s="119" t="s">
        <v>3279</v>
      </c>
      <c r="N326" s="119" t="s">
        <v>3280</v>
      </c>
      <c r="O326" s="119" t="s">
        <v>3281</v>
      </c>
      <c r="P326" s="119" t="s">
        <v>3282</v>
      </c>
      <c r="Q326" s="119" t="s">
        <v>2714</v>
      </c>
      <c r="R326" s="119"/>
      <c r="S326" s="119"/>
    </row>
    <row r="327" spans="1:19" ht="14.25" x14ac:dyDescent="0.2">
      <c r="A327" s="119" t="s">
        <v>3283</v>
      </c>
      <c r="B327" s="119" t="s">
        <v>3284</v>
      </c>
      <c r="C327" s="119" t="s">
        <v>3285</v>
      </c>
      <c r="D327" s="119" t="s">
        <v>3286</v>
      </c>
      <c r="E327" s="119"/>
      <c r="F327" s="119"/>
      <c r="G327" s="119" t="s">
        <v>3287</v>
      </c>
      <c r="H327" s="119" t="s">
        <v>20</v>
      </c>
      <c r="I327" s="119" t="s">
        <v>3288</v>
      </c>
      <c r="J327" s="119" t="s">
        <v>655</v>
      </c>
      <c r="K327" s="119" t="s">
        <v>646</v>
      </c>
      <c r="L327" s="119" t="s">
        <v>3289</v>
      </c>
      <c r="M327" s="119" t="s">
        <v>3290</v>
      </c>
      <c r="N327" s="119" t="s">
        <v>3291</v>
      </c>
      <c r="O327" s="119" t="s">
        <v>3292</v>
      </c>
      <c r="P327" s="119"/>
      <c r="Q327" s="119" t="s">
        <v>2714</v>
      </c>
      <c r="R327" s="119"/>
      <c r="S327" s="119"/>
    </row>
    <row r="328" spans="1:19" ht="14.25" x14ac:dyDescent="0.2">
      <c r="A328" s="119" t="s">
        <v>3293</v>
      </c>
      <c r="B328" s="119" t="s">
        <v>3294</v>
      </c>
      <c r="C328" s="119" t="s">
        <v>3295</v>
      </c>
      <c r="D328" s="119" t="s">
        <v>3296</v>
      </c>
      <c r="E328" s="119"/>
      <c r="F328" s="119"/>
      <c r="G328" s="119" t="s">
        <v>2307</v>
      </c>
      <c r="H328" s="119" t="s">
        <v>20</v>
      </c>
      <c r="I328" s="119" t="s">
        <v>3297</v>
      </c>
      <c r="J328" s="119" t="s">
        <v>655</v>
      </c>
      <c r="K328" s="119" t="s">
        <v>646</v>
      </c>
      <c r="L328" s="119" t="s">
        <v>3298</v>
      </c>
      <c r="M328" s="119" t="s">
        <v>1777</v>
      </c>
      <c r="N328" s="119" t="s">
        <v>3299</v>
      </c>
      <c r="O328" s="119" t="s">
        <v>3300</v>
      </c>
      <c r="P328" s="119"/>
      <c r="Q328" s="119" t="s">
        <v>2714</v>
      </c>
      <c r="R328" s="119"/>
      <c r="S328" s="119"/>
    </row>
    <row r="329" spans="1:19" ht="14.25" x14ac:dyDescent="0.2">
      <c r="A329" s="119" t="s">
        <v>3301</v>
      </c>
      <c r="B329" s="119" t="s">
        <v>3302</v>
      </c>
      <c r="C329" s="119" t="s">
        <v>3303</v>
      </c>
      <c r="D329" s="119" t="s">
        <v>3304</v>
      </c>
      <c r="E329" s="119"/>
      <c r="F329" s="119"/>
      <c r="G329" s="119" t="s">
        <v>3305</v>
      </c>
      <c r="H329" s="119" t="s">
        <v>20</v>
      </c>
      <c r="I329" s="119" t="s">
        <v>3306</v>
      </c>
      <c r="J329" s="119" t="s">
        <v>655</v>
      </c>
      <c r="K329" s="119" t="s">
        <v>646</v>
      </c>
      <c r="L329" s="119" t="s">
        <v>1450</v>
      </c>
      <c r="M329" s="119" t="s">
        <v>3307</v>
      </c>
      <c r="N329" s="119" t="s">
        <v>3308</v>
      </c>
      <c r="O329" s="119" t="s">
        <v>3309</v>
      </c>
      <c r="P329" s="119"/>
      <c r="Q329" s="119" t="s">
        <v>2714</v>
      </c>
      <c r="R329" s="119"/>
      <c r="S329" s="119"/>
    </row>
    <row r="330" spans="1:19" ht="14.25" x14ac:dyDescent="0.2">
      <c r="A330" s="119" t="s">
        <v>3310</v>
      </c>
      <c r="B330" s="119" t="s">
        <v>3311</v>
      </c>
      <c r="C330" s="119" t="s">
        <v>3312</v>
      </c>
      <c r="D330" s="119" t="s">
        <v>3313</v>
      </c>
      <c r="E330" s="119"/>
      <c r="F330" s="119"/>
      <c r="G330" s="119" t="s">
        <v>1395</v>
      </c>
      <c r="H330" s="119" t="s">
        <v>20</v>
      </c>
      <c r="I330" s="119" t="s">
        <v>3314</v>
      </c>
      <c r="J330" s="119" t="s">
        <v>655</v>
      </c>
      <c r="K330" s="119" t="s">
        <v>646</v>
      </c>
      <c r="L330" s="119" t="s">
        <v>3315</v>
      </c>
      <c r="M330" s="119" t="s">
        <v>3316</v>
      </c>
      <c r="N330" s="119" t="s">
        <v>3317</v>
      </c>
      <c r="O330" s="119" t="s">
        <v>3318</v>
      </c>
      <c r="P330" s="119" t="s">
        <v>3319</v>
      </c>
      <c r="Q330" s="119" t="s">
        <v>2714</v>
      </c>
      <c r="R330" s="119"/>
      <c r="S330" s="119"/>
    </row>
    <row r="331" spans="1:19" ht="14.25" x14ac:dyDescent="0.2">
      <c r="A331" s="133" t="s">
        <v>3320</v>
      </c>
      <c r="B331" s="133" t="s">
        <v>3321</v>
      </c>
      <c r="C331" s="133" t="s">
        <v>3322</v>
      </c>
      <c r="D331" s="133" t="s">
        <v>3323</v>
      </c>
      <c r="E331" s="133"/>
      <c r="F331" s="133"/>
      <c r="G331" s="133" t="s">
        <v>1395</v>
      </c>
      <c r="H331" s="133" t="s">
        <v>20</v>
      </c>
      <c r="I331" s="133" t="s">
        <v>3324</v>
      </c>
      <c r="J331" s="133" t="s">
        <v>655</v>
      </c>
      <c r="K331" s="133" t="s">
        <v>646</v>
      </c>
      <c r="L331" s="133" t="s">
        <v>1953</v>
      </c>
      <c r="M331" s="133" t="s">
        <v>3325</v>
      </c>
      <c r="N331" s="133" t="s">
        <v>3326</v>
      </c>
      <c r="O331" s="133" t="s">
        <v>3327</v>
      </c>
      <c r="P331" s="133"/>
      <c r="Q331" s="133" t="s">
        <v>2714</v>
      </c>
      <c r="R331" s="119" t="s">
        <v>1733</v>
      </c>
      <c r="S331" s="119"/>
    </row>
    <row r="332" spans="1:19" ht="14.25" x14ac:dyDescent="0.2">
      <c r="A332" s="119" t="s">
        <v>3328</v>
      </c>
      <c r="B332" s="119" t="s">
        <v>3329</v>
      </c>
      <c r="C332" s="119" t="s">
        <v>3330</v>
      </c>
      <c r="D332" s="119" t="s">
        <v>3331</v>
      </c>
      <c r="E332" s="119"/>
      <c r="F332" s="119"/>
      <c r="G332" s="119" t="s">
        <v>1395</v>
      </c>
      <c r="H332" s="119" t="s">
        <v>20</v>
      </c>
      <c r="I332" s="119" t="s">
        <v>3332</v>
      </c>
      <c r="J332" s="119" t="s">
        <v>655</v>
      </c>
      <c r="K332" s="119" t="s">
        <v>646</v>
      </c>
      <c r="L332" s="119" t="s">
        <v>1032</v>
      </c>
      <c r="M332" s="119" t="s">
        <v>3333</v>
      </c>
      <c r="N332" s="119" t="s">
        <v>3334</v>
      </c>
      <c r="O332" s="119" t="s">
        <v>3335</v>
      </c>
      <c r="P332" s="119"/>
      <c r="Q332" s="119" t="s">
        <v>2714</v>
      </c>
      <c r="R332" s="119"/>
      <c r="S332" s="119"/>
    </row>
    <row r="333" spans="1:19" ht="14.25" x14ac:dyDescent="0.2">
      <c r="A333" s="119" t="s">
        <v>3336</v>
      </c>
      <c r="B333" s="119" t="s">
        <v>3337</v>
      </c>
      <c r="C333" s="119" t="s">
        <v>3338</v>
      </c>
      <c r="D333" s="119" t="s">
        <v>3339</v>
      </c>
      <c r="E333" s="119" t="s">
        <v>2497</v>
      </c>
      <c r="F333" s="119"/>
      <c r="G333" s="119" t="s">
        <v>1961</v>
      </c>
      <c r="H333" s="119" t="s">
        <v>20</v>
      </c>
      <c r="I333" s="119" t="s">
        <v>3340</v>
      </c>
      <c r="J333" s="119" t="s">
        <v>655</v>
      </c>
      <c r="K333" s="119" t="s">
        <v>646</v>
      </c>
      <c r="L333" s="119" t="s">
        <v>2347</v>
      </c>
      <c r="M333" s="119" t="s">
        <v>3341</v>
      </c>
      <c r="N333" s="119" t="s">
        <v>3342</v>
      </c>
      <c r="O333" s="119" t="s">
        <v>3343</v>
      </c>
      <c r="P333" s="119"/>
      <c r="Q333" s="119" t="s">
        <v>2714</v>
      </c>
      <c r="R333" s="119"/>
      <c r="S333" s="119"/>
    </row>
    <row r="334" spans="1:19" ht="14.25" x14ac:dyDescent="0.2">
      <c r="A334" s="119" t="s">
        <v>3344</v>
      </c>
      <c r="B334" s="119" t="s">
        <v>3345</v>
      </c>
      <c r="C334" s="119" t="s">
        <v>3346</v>
      </c>
      <c r="D334" s="119" t="s">
        <v>3347</v>
      </c>
      <c r="E334" s="119"/>
      <c r="F334" s="119"/>
      <c r="G334" s="119" t="s">
        <v>2105</v>
      </c>
      <c r="H334" s="119" t="s">
        <v>20</v>
      </c>
      <c r="I334" s="119" t="s">
        <v>3348</v>
      </c>
      <c r="J334" s="119" t="s">
        <v>655</v>
      </c>
      <c r="K334" s="119" t="s">
        <v>646</v>
      </c>
      <c r="L334" s="119" t="s">
        <v>3349</v>
      </c>
      <c r="M334" s="119" t="s">
        <v>3350</v>
      </c>
      <c r="N334" s="119" t="s">
        <v>3351</v>
      </c>
      <c r="O334" s="119" t="s">
        <v>3353</v>
      </c>
      <c r="P334" s="119"/>
      <c r="Q334" s="119" t="s">
        <v>3352</v>
      </c>
      <c r="R334" s="119"/>
      <c r="S334" s="119"/>
    </row>
    <row r="335" spans="1:19" ht="14.25" x14ac:dyDescent="0.2">
      <c r="A335" s="133" t="s">
        <v>3354</v>
      </c>
      <c r="B335" s="133" t="s">
        <v>3355</v>
      </c>
      <c r="C335" s="133" t="s">
        <v>3356</v>
      </c>
      <c r="D335" s="133" t="s">
        <v>1849</v>
      </c>
      <c r="E335" s="133" t="s">
        <v>1850</v>
      </c>
      <c r="F335" s="133"/>
      <c r="G335" s="133" t="s">
        <v>1395</v>
      </c>
      <c r="H335" s="133" t="s">
        <v>20</v>
      </c>
      <c r="I335" s="133" t="s">
        <v>1851</v>
      </c>
      <c r="J335" s="133" t="s">
        <v>655</v>
      </c>
      <c r="K335" s="133" t="s">
        <v>646</v>
      </c>
      <c r="L335" s="133" t="s">
        <v>1852</v>
      </c>
      <c r="M335" s="133" t="s">
        <v>1853</v>
      </c>
      <c r="N335" s="133" t="s">
        <v>3357</v>
      </c>
      <c r="O335" s="133" t="s">
        <v>1854</v>
      </c>
      <c r="P335" s="133"/>
      <c r="Q335" s="133" t="s">
        <v>2714</v>
      </c>
      <c r="R335" s="119" t="s">
        <v>1733</v>
      </c>
      <c r="S335" s="119"/>
    </row>
    <row r="336" spans="1:19" ht="14.25" x14ac:dyDescent="0.2">
      <c r="A336" s="119" t="s">
        <v>3358</v>
      </c>
      <c r="B336" s="119" t="s">
        <v>3359</v>
      </c>
      <c r="C336" s="119" t="s">
        <v>3360</v>
      </c>
      <c r="D336" s="119" t="s">
        <v>1831</v>
      </c>
      <c r="E336" s="119" t="s">
        <v>1551</v>
      </c>
      <c r="F336" s="119"/>
      <c r="G336" s="119" t="s">
        <v>1395</v>
      </c>
      <c r="H336" s="119" t="s">
        <v>20</v>
      </c>
      <c r="I336" s="119" t="s">
        <v>1832</v>
      </c>
      <c r="J336" s="119" t="s">
        <v>655</v>
      </c>
      <c r="K336" s="119" t="s">
        <v>646</v>
      </c>
      <c r="L336" s="119" t="s">
        <v>1859</v>
      </c>
      <c r="M336" s="119" t="s">
        <v>550</v>
      </c>
      <c r="N336" s="119" t="s">
        <v>3361</v>
      </c>
      <c r="O336" s="119" t="s">
        <v>2687</v>
      </c>
      <c r="P336" s="119" t="s">
        <v>1861</v>
      </c>
      <c r="Q336" s="119" t="s">
        <v>2714</v>
      </c>
      <c r="R336" s="119"/>
      <c r="S336" s="119"/>
    </row>
    <row r="337" spans="1:19" ht="14.25" x14ac:dyDescent="0.2">
      <c r="A337" s="119" t="s">
        <v>3362</v>
      </c>
      <c r="B337" s="119" t="s">
        <v>3363</v>
      </c>
      <c r="C337" s="119" t="s">
        <v>3364</v>
      </c>
      <c r="D337" s="119" t="s">
        <v>3365</v>
      </c>
      <c r="E337" s="119"/>
      <c r="F337" s="119"/>
      <c r="G337" s="119" t="s">
        <v>3366</v>
      </c>
      <c r="H337" s="119" t="s">
        <v>20</v>
      </c>
      <c r="I337" s="119" t="s">
        <v>3367</v>
      </c>
      <c r="J337" s="119" t="s">
        <v>655</v>
      </c>
      <c r="K337" s="119" t="s">
        <v>646</v>
      </c>
      <c r="L337" s="119" t="s">
        <v>1953</v>
      </c>
      <c r="M337" s="119" t="s">
        <v>3368</v>
      </c>
      <c r="N337" s="119" t="s">
        <v>3369</v>
      </c>
      <c r="O337" s="119" t="s">
        <v>3370</v>
      </c>
      <c r="P337" s="119"/>
      <c r="Q337" s="119" t="s">
        <v>2714</v>
      </c>
      <c r="R337" s="119"/>
      <c r="S337" s="119"/>
    </row>
    <row r="338" spans="1:19" ht="14.25" x14ac:dyDescent="0.2">
      <c r="A338" s="119" t="s">
        <v>3611</v>
      </c>
      <c r="B338" s="119" t="s">
        <v>3612</v>
      </c>
      <c r="C338" s="119" t="s">
        <v>3613</v>
      </c>
      <c r="D338" s="119" t="s">
        <v>3151</v>
      </c>
      <c r="E338" s="119" t="s">
        <v>3614</v>
      </c>
      <c r="F338" s="119"/>
      <c r="G338" s="119" t="s">
        <v>3121</v>
      </c>
      <c r="H338" s="119" t="s">
        <v>20</v>
      </c>
      <c r="I338" s="119" t="s">
        <v>3615</v>
      </c>
      <c r="J338" s="119" t="s">
        <v>655</v>
      </c>
      <c r="K338" s="119" t="s">
        <v>646</v>
      </c>
      <c r="L338" s="119" t="s">
        <v>910</v>
      </c>
      <c r="M338" s="119" t="s">
        <v>3154</v>
      </c>
      <c r="N338" s="119" t="s">
        <v>3155</v>
      </c>
      <c r="O338" s="119" t="s">
        <v>3156</v>
      </c>
      <c r="P338" s="119"/>
      <c r="Q338" s="119" t="s">
        <v>3616</v>
      </c>
      <c r="R338" s="119"/>
      <c r="S338" s="119"/>
    </row>
    <row r="339" spans="1:19" ht="14.25" x14ac:dyDescent="0.2">
      <c r="A339" s="133" t="s">
        <v>3560</v>
      </c>
      <c r="B339" s="133" t="s">
        <v>3561</v>
      </c>
      <c r="C339" s="133" t="s">
        <v>3562</v>
      </c>
      <c r="D339" s="133" t="s">
        <v>3563</v>
      </c>
      <c r="E339" s="133" t="s">
        <v>1308</v>
      </c>
      <c r="F339" s="133"/>
      <c r="G339" s="133" t="s">
        <v>1395</v>
      </c>
      <c r="H339" s="133" t="s">
        <v>20</v>
      </c>
      <c r="I339" s="133" t="s">
        <v>3564</v>
      </c>
      <c r="J339" s="133" t="s">
        <v>655</v>
      </c>
      <c r="K339" s="133" t="s">
        <v>646</v>
      </c>
      <c r="L339" s="133" t="s">
        <v>880</v>
      </c>
      <c r="M339" s="133" t="s">
        <v>3565</v>
      </c>
      <c r="N339" s="133" t="s">
        <v>3566</v>
      </c>
      <c r="O339" s="133" t="s">
        <v>3568</v>
      </c>
      <c r="P339" s="133"/>
      <c r="Q339" s="133" t="s">
        <v>3567</v>
      </c>
      <c r="R339" s="119" t="s">
        <v>1733</v>
      </c>
      <c r="S339" s="119"/>
    </row>
    <row r="340" spans="1:19" ht="14.25" x14ac:dyDescent="0.2">
      <c r="A340" s="119" t="s">
        <v>3371</v>
      </c>
      <c r="B340" s="119" t="s">
        <v>3372</v>
      </c>
      <c r="C340" s="119" t="s">
        <v>3373</v>
      </c>
      <c r="D340" s="119" t="s">
        <v>3374</v>
      </c>
      <c r="E340" s="119"/>
      <c r="F340" s="119"/>
      <c r="G340" s="119" t="s">
        <v>1395</v>
      </c>
      <c r="H340" s="119" t="s">
        <v>20</v>
      </c>
      <c r="I340" s="119" t="s">
        <v>3375</v>
      </c>
      <c r="J340" s="119" t="s">
        <v>655</v>
      </c>
      <c r="K340" s="119" t="s">
        <v>646</v>
      </c>
      <c r="L340" s="119" t="s">
        <v>2347</v>
      </c>
      <c r="M340" s="119" t="s">
        <v>3341</v>
      </c>
      <c r="N340" s="119" t="s">
        <v>3342</v>
      </c>
      <c r="O340" s="119" t="s">
        <v>3376</v>
      </c>
      <c r="P340" s="119"/>
      <c r="Q340" s="119" t="s">
        <v>2714</v>
      </c>
      <c r="R340" s="119"/>
      <c r="S340" s="119"/>
    </row>
    <row r="341" spans="1:19" ht="14.25" x14ac:dyDescent="0.2">
      <c r="A341" s="119" t="s">
        <v>3377</v>
      </c>
      <c r="B341" s="119" t="s">
        <v>3378</v>
      </c>
      <c r="C341" s="119" t="s">
        <v>3379</v>
      </c>
      <c r="D341" s="119" t="s">
        <v>3380</v>
      </c>
      <c r="E341" s="119"/>
      <c r="F341" s="119"/>
      <c r="G341" s="119" t="s">
        <v>3381</v>
      </c>
      <c r="H341" s="119" t="s">
        <v>20</v>
      </c>
      <c r="I341" s="119" t="s">
        <v>3382</v>
      </c>
      <c r="J341" s="119" t="s">
        <v>655</v>
      </c>
      <c r="K341" s="119" t="s">
        <v>646</v>
      </c>
      <c r="L341" s="119" t="s">
        <v>75</v>
      </c>
      <c r="M341" s="119" t="s">
        <v>3383</v>
      </c>
      <c r="N341" s="119" t="s">
        <v>3384</v>
      </c>
      <c r="O341" s="119" t="s">
        <v>3385</v>
      </c>
      <c r="P341" s="119"/>
      <c r="Q341" s="119" t="s">
        <v>2714</v>
      </c>
      <c r="R341" s="119"/>
      <c r="S341" s="119"/>
    </row>
    <row r="342" spans="1:19" ht="14.25" x14ac:dyDescent="0.2">
      <c r="A342" s="119" t="s">
        <v>3386</v>
      </c>
      <c r="B342" s="119" t="s">
        <v>3387</v>
      </c>
      <c r="C342" s="119" t="s">
        <v>3388</v>
      </c>
      <c r="D342" s="119" t="s">
        <v>3389</v>
      </c>
      <c r="E342" s="119" t="s">
        <v>3390</v>
      </c>
      <c r="F342" s="119"/>
      <c r="G342" s="119" t="s">
        <v>2105</v>
      </c>
      <c r="H342" s="119" t="s">
        <v>20</v>
      </c>
      <c r="I342" s="119" t="s">
        <v>3391</v>
      </c>
      <c r="J342" s="119" t="s">
        <v>655</v>
      </c>
      <c r="K342" s="119" t="s">
        <v>646</v>
      </c>
      <c r="L342" s="119" t="s">
        <v>916</v>
      </c>
      <c r="M342" s="119" t="s">
        <v>1963</v>
      </c>
      <c r="N342" s="119" t="s">
        <v>3392</v>
      </c>
      <c r="O342" s="119" t="s">
        <v>3393</v>
      </c>
      <c r="P342" s="119"/>
      <c r="Q342" s="119" t="s">
        <v>2714</v>
      </c>
      <c r="R342" s="119"/>
      <c r="S342" s="119"/>
    </row>
    <row r="343" spans="1:19" ht="14.25" x14ac:dyDescent="0.2">
      <c r="A343" s="133" t="s">
        <v>3394</v>
      </c>
      <c r="B343" s="133" t="s">
        <v>3395</v>
      </c>
      <c r="C343" s="133" t="s">
        <v>3396</v>
      </c>
      <c r="D343" s="133" t="s">
        <v>3397</v>
      </c>
      <c r="E343" s="133" t="s">
        <v>3398</v>
      </c>
      <c r="F343" s="133"/>
      <c r="G343" s="133" t="s">
        <v>3399</v>
      </c>
      <c r="H343" s="133" t="s">
        <v>20</v>
      </c>
      <c r="I343" s="133" t="s">
        <v>3400</v>
      </c>
      <c r="J343" s="133" t="s">
        <v>655</v>
      </c>
      <c r="K343" s="133" t="s">
        <v>646</v>
      </c>
      <c r="L343" s="133" t="s">
        <v>3401</v>
      </c>
      <c r="M343" s="133" t="s">
        <v>3402</v>
      </c>
      <c r="N343" s="133" t="s">
        <v>3403</v>
      </c>
      <c r="O343" s="133" t="s">
        <v>3405</v>
      </c>
      <c r="P343" s="133"/>
      <c r="Q343" s="133" t="s">
        <v>3404</v>
      </c>
      <c r="R343" s="119" t="s">
        <v>1733</v>
      </c>
      <c r="S343" s="119"/>
    </row>
    <row r="344" spans="1:19" ht="14.25" x14ac:dyDescent="0.2">
      <c r="A344" s="119" t="s">
        <v>3577</v>
      </c>
      <c r="B344" s="119" t="s">
        <v>3461</v>
      </c>
      <c r="C344" s="119" t="s">
        <v>3462</v>
      </c>
      <c r="D344" s="119" t="s">
        <v>3463</v>
      </c>
      <c r="E344" s="119" t="s">
        <v>3464</v>
      </c>
      <c r="F344" s="119"/>
      <c r="G344" s="119" t="s">
        <v>2239</v>
      </c>
      <c r="H344" s="119" t="s">
        <v>20</v>
      </c>
      <c r="I344" s="119" t="s">
        <v>3465</v>
      </c>
      <c r="J344" s="119" t="s">
        <v>655</v>
      </c>
      <c r="K344" s="119" t="s">
        <v>646</v>
      </c>
      <c r="L344" s="119" t="s">
        <v>2959</v>
      </c>
      <c r="M344" s="119" t="s">
        <v>3466</v>
      </c>
      <c r="N344" s="119" t="s">
        <v>3467</v>
      </c>
      <c r="O344" s="119" t="s">
        <v>3468</v>
      </c>
      <c r="P344" s="119"/>
      <c r="Q344" s="119" t="s">
        <v>3578</v>
      </c>
      <c r="R344" s="119"/>
      <c r="S344" s="119"/>
    </row>
    <row r="345" spans="1:19" ht="14.25" x14ac:dyDescent="0.2">
      <c r="A345" s="119" t="s">
        <v>3406</v>
      </c>
      <c r="B345" s="119" t="s">
        <v>3407</v>
      </c>
      <c r="C345" s="119" t="s">
        <v>3408</v>
      </c>
      <c r="D345" s="119" t="s">
        <v>3409</v>
      </c>
      <c r="E345" s="119"/>
      <c r="F345" s="119"/>
      <c r="G345" s="119" t="s">
        <v>1815</v>
      </c>
      <c r="H345" s="119" t="s">
        <v>20</v>
      </c>
      <c r="I345" s="119" t="s">
        <v>3410</v>
      </c>
      <c r="J345" s="119" t="s">
        <v>655</v>
      </c>
      <c r="K345" s="119" t="s">
        <v>646</v>
      </c>
      <c r="L345" s="119" t="s">
        <v>862</v>
      </c>
      <c r="M345" s="119" t="s">
        <v>3411</v>
      </c>
      <c r="N345" s="119" t="s">
        <v>3412</v>
      </c>
      <c r="O345" s="119" t="s">
        <v>3413</v>
      </c>
      <c r="P345" s="119"/>
      <c r="Q345" s="119" t="s">
        <v>2714</v>
      </c>
      <c r="R345" s="119"/>
      <c r="S345" s="119"/>
    </row>
    <row r="346" spans="1:19" ht="14.25" x14ac:dyDescent="0.2">
      <c r="A346" s="133" t="s">
        <v>3414</v>
      </c>
      <c r="B346" s="133" t="s">
        <v>3415</v>
      </c>
      <c r="C346" s="133" t="s">
        <v>3416</v>
      </c>
      <c r="D346" s="133" t="s">
        <v>3417</v>
      </c>
      <c r="E346" s="133"/>
      <c r="F346" s="133"/>
      <c r="G346" s="133" t="s">
        <v>1395</v>
      </c>
      <c r="H346" s="133" t="s">
        <v>20</v>
      </c>
      <c r="I346" s="133" t="s">
        <v>3418</v>
      </c>
      <c r="J346" s="133" t="s">
        <v>655</v>
      </c>
      <c r="K346" s="133" t="s">
        <v>646</v>
      </c>
      <c r="L346" s="133" t="s">
        <v>3419</v>
      </c>
      <c r="M346" s="133" t="s">
        <v>3420</v>
      </c>
      <c r="N346" s="133" t="s">
        <v>3421</v>
      </c>
      <c r="O346" s="133" t="s">
        <v>3422</v>
      </c>
      <c r="P346" s="133"/>
      <c r="Q346" s="133" t="s">
        <v>2714</v>
      </c>
      <c r="R346" s="119" t="s">
        <v>1733</v>
      </c>
      <c r="S346" s="119"/>
    </row>
    <row r="347" spans="1:19" ht="33.75" x14ac:dyDescent="0.2">
      <c r="A347" s="150" t="s">
        <v>3423</v>
      </c>
      <c r="B347" s="150" t="s">
        <v>3424</v>
      </c>
      <c r="C347" s="150" t="s">
        <v>3425</v>
      </c>
      <c r="D347" s="150" t="s">
        <v>3426</v>
      </c>
      <c r="E347" s="119" t="s">
        <v>1823</v>
      </c>
      <c r="F347" s="119"/>
      <c r="G347" s="119" t="s">
        <v>1395</v>
      </c>
      <c r="H347" s="119" t="s">
        <v>20</v>
      </c>
      <c r="I347" s="119" t="s">
        <v>3427</v>
      </c>
      <c r="J347" s="150" t="s">
        <v>655</v>
      </c>
      <c r="K347" s="150" t="s">
        <v>646</v>
      </c>
      <c r="L347" s="150" t="s">
        <v>2451</v>
      </c>
      <c r="M347" s="150" t="s">
        <v>3428</v>
      </c>
      <c r="N347" s="150" t="s">
        <v>3429</v>
      </c>
      <c r="O347" s="150" t="s">
        <v>3430</v>
      </c>
      <c r="P347" s="150"/>
      <c r="Q347" s="150" t="s">
        <v>2714</v>
      </c>
      <c r="R347" s="150"/>
      <c r="S347" s="151" t="s">
        <v>3822</v>
      </c>
    </row>
    <row r="348" spans="1:19" ht="14.25" x14ac:dyDescent="0.2">
      <c r="A348" s="119" t="s">
        <v>3431</v>
      </c>
      <c r="B348" s="119" t="s">
        <v>3432</v>
      </c>
      <c r="C348" s="119" t="s">
        <v>3433</v>
      </c>
      <c r="D348" s="119" t="s">
        <v>3434</v>
      </c>
      <c r="E348" s="119" t="s">
        <v>3435</v>
      </c>
      <c r="F348" s="119"/>
      <c r="G348" s="119" t="s">
        <v>1395</v>
      </c>
      <c r="H348" s="119" t="s">
        <v>20</v>
      </c>
      <c r="I348" s="119" t="s">
        <v>3436</v>
      </c>
      <c r="J348" s="119" t="s">
        <v>655</v>
      </c>
      <c r="K348" s="119" t="s">
        <v>646</v>
      </c>
      <c r="L348" s="119" t="s">
        <v>3437</v>
      </c>
      <c r="M348" s="119" t="s">
        <v>3438</v>
      </c>
      <c r="N348" s="119" t="s">
        <v>3439</v>
      </c>
      <c r="O348" s="119" t="s">
        <v>3440</v>
      </c>
      <c r="P348" s="119"/>
      <c r="Q348" s="119" t="s">
        <v>2714</v>
      </c>
      <c r="R348" s="119"/>
      <c r="S348" s="119"/>
    </row>
    <row r="349" spans="1:19" ht="14.25" x14ac:dyDescent="0.2">
      <c r="A349" s="133" t="s">
        <v>3441</v>
      </c>
      <c r="B349" s="133" t="s">
        <v>3442</v>
      </c>
      <c r="C349" s="133" t="s">
        <v>3443</v>
      </c>
      <c r="D349" s="133" t="s">
        <v>1793</v>
      </c>
      <c r="E349" s="133" t="s">
        <v>3444</v>
      </c>
      <c r="F349" s="133" t="s">
        <v>3445</v>
      </c>
      <c r="G349" s="133" t="s">
        <v>1795</v>
      </c>
      <c r="H349" s="133" t="s">
        <v>20</v>
      </c>
      <c r="I349" s="133" t="s">
        <v>3446</v>
      </c>
      <c r="J349" s="133" t="s">
        <v>655</v>
      </c>
      <c r="K349" s="133" t="s">
        <v>646</v>
      </c>
      <c r="L349" s="133" t="s">
        <v>510</v>
      </c>
      <c r="M349" s="133" t="s">
        <v>3447</v>
      </c>
      <c r="N349" s="133" t="s">
        <v>3448</v>
      </c>
      <c r="O349" s="133" t="s">
        <v>3449</v>
      </c>
      <c r="P349" s="133" t="s">
        <v>3450</v>
      </c>
      <c r="Q349" s="133" t="s">
        <v>568</v>
      </c>
      <c r="R349" s="119" t="s">
        <v>1733</v>
      </c>
      <c r="S349" s="119"/>
    </row>
    <row r="350" spans="1:19" ht="14.25" x14ac:dyDescent="0.2">
      <c r="A350" s="133" t="s">
        <v>3451</v>
      </c>
      <c r="B350" s="133" t="s">
        <v>3452</v>
      </c>
      <c r="C350" s="133" t="s">
        <v>3453</v>
      </c>
      <c r="D350" s="133" t="s">
        <v>3454</v>
      </c>
      <c r="E350" s="133" t="s">
        <v>3455</v>
      </c>
      <c r="F350" s="133"/>
      <c r="G350" s="133" t="s">
        <v>1395</v>
      </c>
      <c r="H350" s="133" t="s">
        <v>20</v>
      </c>
      <c r="I350" s="133" t="s">
        <v>3456</v>
      </c>
      <c r="J350" s="133" t="s">
        <v>655</v>
      </c>
      <c r="K350" s="133" t="s">
        <v>646</v>
      </c>
      <c r="L350" s="133" t="s">
        <v>3457</v>
      </c>
      <c r="M350" s="133" t="s">
        <v>3458</v>
      </c>
      <c r="N350" s="133" t="s">
        <v>3459</v>
      </c>
      <c r="O350" s="133" t="s">
        <v>3460</v>
      </c>
      <c r="P350" s="133"/>
      <c r="Q350" s="82" t="s">
        <v>568</v>
      </c>
      <c r="R350" s="80" t="s">
        <v>1733</v>
      </c>
      <c r="S350" s="119"/>
    </row>
    <row r="351" spans="1:19" ht="14.25" x14ac:dyDescent="0.2">
      <c r="A351" s="119" t="s">
        <v>3469</v>
      </c>
      <c r="B351" s="119" t="s">
        <v>3470</v>
      </c>
      <c r="C351" s="119" t="s">
        <v>3471</v>
      </c>
      <c r="D351" s="119" t="s">
        <v>1865</v>
      </c>
      <c r="E351" s="119" t="s">
        <v>1866</v>
      </c>
      <c r="F351" s="119"/>
      <c r="G351" s="119" t="s">
        <v>1395</v>
      </c>
      <c r="H351" s="119" t="s">
        <v>20</v>
      </c>
      <c r="I351" s="119" t="s">
        <v>1867</v>
      </c>
      <c r="J351" s="119" t="s">
        <v>655</v>
      </c>
      <c r="K351" s="119" t="s">
        <v>646</v>
      </c>
      <c r="L351" s="119" t="s">
        <v>3640</v>
      </c>
      <c r="M351" s="119" t="s">
        <v>3641</v>
      </c>
      <c r="N351" s="119" t="s">
        <v>3642</v>
      </c>
      <c r="O351" s="119" t="s">
        <v>3643</v>
      </c>
      <c r="P351" s="119" t="s">
        <v>3644</v>
      </c>
      <c r="Q351" s="119" t="s">
        <v>568</v>
      </c>
      <c r="R351" s="119"/>
      <c r="S351" s="119"/>
    </row>
    <row r="352" spans="1:19" ht="14.25" x14ac:dyDescent="0.2">
      <c r="A352" s="133" t="s">
        <v>3472</v>
      </c>
      <c r="B352" s="133" t="s">
        <v>3473</v>
      </c>
      <c r="C352" s="133" t="s">
        <v>3474</v>
      </c>
      <c r="D352" s="133" t="s">
        <v>3475</v>
      </c>
      <c r="E352" s="133" t="s">
        <v>2879</v>
      </c>
      <c r="F352" s="133"/>
      <c r="G352" s="133" t="s">
        <v>1395</v>
      </c>
      <c r="H352" s="133" t="s">
        <v>20</v>
      </c>
      <c r="I352" s="133" t="s">
        <v>3476</v>
      </c>
      <c r="J352" s="133" t="s">
        <v>655</v>
      </c>
      <c r="K352" s="133" t="s">
        <v>646</v>
      </c>
      <c r="L352" s="133" t="s">
        <v>3477</v>
      </c>
      <c r="M352" s="133" t="s">
        <v>3478</v>
      </c>
      <c r="N352" s="133" t="s">
        <v>3479</v>
      </c>
      <c r="O352" s="133" t="s">
        <v>3480</v>
      </c>
      <c r="P352" s="133" t="s">
        <v>3481</v>
      </c>
      <c r="Q352" s="133" t="s">
        <v>568</v>
      </c>
      <c r="R352" s="119" t="s">
        <v>1733</v>
      </c>
      <c r="S352" s="119"/>
    </row>
    <row r="353" spans="1:19" ht="14.25" x14ac:dyDescent="0.2">
      <c r="A353" s="119" t="s">
        <v>3482</v>
      </c>
      <c r="B353" s="119" t="s">
        <v>3483</v>
      </c>
      <c r="C353" s="119" t="s">
        <v>3484</v>
      </c>
      <c r="D353" s="119" t="s">
        <v>3485</v>
      </c>
      <c r="E353" s="119" t="s">
        <v>3486</v>
      </c>
      <c r="F353" s="119"/>
      <c r="G353" s="119" t="s">
        <v>2344</v>
      </c>
      <c r="H353" s="119" t="s">
        <v>20</v>
      </c>
      <c r="I353" s="119" t="s">
        <v>3487</v>
      </c>
      <c r="J353" s="119" t="s">
        <v>655</v>
      </c>
      <c r="K353" s="119" t="s">
        <v>646</v>
      </c>
      <c r="L353" s="119" t="s">
        <v>1698</v>
      </c>
      <c r="M353" s="119" t="s">
        <v>3488</v>
      </c>
      <c r="N353" s="119" t="s">
        <v>3489</v>
      </c>
      <c r="O353" s="119" t="s">
        <v>3490</v>
      </c>
      <c r="P353" s="119" t="s">
        <v>3491</v>
      </c>
      <c r="Q353" s="119" t="s">
        <v>568</v>
      </c>
      <c r="R353" s="119"/>
      <c r="S353" s="119"/>
    </row>
    <row r="354" spans="1:19" ht="14.25" x14ac:dyDescent="0.2">
      <c r="A354" s="133" t="s">
        <v>3492</v>
      </c>
      <c r="B354" s="133" t="s">
        <v>3493</v>
      </c>
      <c r="C354" s="133" t="s">
        <v>3494</v>
      </c>
      <c r="D354" s="133" t="s">
        <v>3495</v>
      </c>
      <c r="E354" s="133" t="s">
        <v>3496</v>
      </c>
      <c r="F354" s="133"/>
      <c r="G354" s="133" t="s">
        <v>2499</v>
      </c>
      <c r="H354" s="133" t="s">
        <v>20</v>
      </c>
      <c r="I354" s="133" t="s">
        <v>3497</v>
      </c>
      <c r="J354" s="133" t="s">
        <v>655</v>
      </c>
      <c r="K354" s="133" t="s">
        <v>646</v>
      </c>
      <c r="L354" s="133" t="s">
        <v>3498</v>
      </c>
      <c r="M354" s="133" t="s">
        <v>3499</v>
      </c>
      <c r="N354" s="133" t="s">
        <v>3500</v>
      </c>
      <c r="O354" s="133" t="s">
        <v>3501</v>
      </c>
      <c r="P354" s="133"/>
      <c r="Q354" s="133" t="s">
        <v>568</v>
      </c>
      <c r="R354" s="119" t="s">
        <v>1733</v>
      </c>
      <c r="S354" s="119"/>
    </row>
    <row r="355" spans="1:19" ht="14.25" x14ac:dyDescent="0.2">
      <c r="A355" s="119" t="s">
        <v>3502</v>
      </c>
      <c r="B355" s="119" t="s">
        <v>3503</v>
      </c>
      <c r="C355" s="119" t="s">
        <v>3504</v>
      </c>
      <c r="D355" s="119" t="s">
        <v>3505</v>
      </c>
      <c r="E355" s="119"/>
      <c r="F355" s="119"/>
      <c r="G355" s="119" t="s">
        <v>1395</v>
      </c>
      <c r="H355" s="119" t="s">
        <v>20</v>
      </c>
      <c r="I355" s="119" t="s">
        <v>3506</v>
      </c>
      <c r="J355" s="119" t="s">
        <v>655</v>
      </c>
      <c r="K355" s="119" t="s">
        <v>646</v>
      </c>
      <c r="L355" s="119" t="s">
        <v>1859</v>
      </c>
      <c r="M355" s="119" t="s">
        <v>3507</v>
      </c>
      <c r="N355" s="119" t="s">
        <v>3508</v>
      </c>
      <c r="O355" s="119" t="s">
        <v>3509</v>
      </c>
      <c r="P355" s="119"/>
      <c r="Q355" s="119" t="s">
        <v>2055</v>
      </c>
      <c r="R355" s="119"/>
      <c r="S355" s="119"/>
    </row>
    <row r="356" spans="1:19" ht="14.25" x14ac:dyDescent="0.2">
      <c r="A356" s="119" t="s">
        <v>3510</v>
      </c>
      <c r="B356" s="119" t="s">
        <v>3511</v>
      </c>
      <c r="C356" s="119" t="s">
        <v>3512</v>
      </c>
      <c r="D356" s="119" t="s">
        <v>3513</v>
      </c>
      <c r="E356" s="119" t="s">
        <v>3514</v>
      </c>
      <c r="F356" s="119"/>
      <c r="G356" s="119" t="s">
        <v>2569</v>
      </c>
      <c r="H356" s="119" t="s">
        <v>20</v>
      </c>
      <c r="I356" s="119" t="s">
        <v>3515</v>
      </c>
      <c r="J356" s="119" t="s">
        <v>655</v>
      </c>
      <c r="K356" s="119" t="s">
        <v>646</v>
      </c>
      <c r="L356" s="119" t="s">
        <v>829</v>
      </c>
      <c r="M356" s="119" t="s">
        <v>2571</v>
      </c>
      <c r="N356" s="119" t="s">
        <v>2572</v>
      </c>
      <c r="O356" s="119" t="s">
        <v>3516</v>
      </c>
      <c r="P356" s="119"/>
      <c r="Q356" s="119" t="s">
        <v>3517</v>
      </c>
      <c r="R356" s="119"/>
      <c r="S356" s="119"/>
    </row>
    <row r="357" spans="1:19" ht="14.25" x14ac:dyDescent="0.2">
      <c r="A357" s="119" t="s">
        <v>3518</v>
      </c>
      <c r="B357" s="119" t="s">
        <v>3519</v>
      </c>
      <c r="C357" s="119" t="s">
        <v>3520</v>
      </c>
      <c r="D357" s="119" t="s">
        <v>3521</v>
      </c>
      <c r="E357" s="119"/>
      <c r="F357" s="119"/>
      <c r="G357" s="119" t="s">
        <v>2096</v>
      </c>
      <c r="H357" s="119" t="s">
        <v>20</v>
      </c>
      <c r="I357" s="119" t="s">
        <v>3522</v>
      </c>
      <c r="J357" s="119" t="s">
        <v>655</v>
      </c>
      <c r="K357" s="119" t="s">
        <v>646</v>
      </c>
      <c r="L357" s="119" t="s">
        <v>3523</v>
      </c>
      <c r="M357" s="119" t="s">
        <v>3524</v>
      </c>
      <c r="N357" s="119" t="s">
        <v>3525</v>
      </c>
      <c r="O357" s="119" t="s">
        <v>3526</v>
      </c>
      <c r="P357" s="119"/>
      <c r="Q357" s="119" t="s">
        <v>568</v>
      </c>
      <c r="R357" s="119"/>
      <c r="S357" s="119"/>
    </row>
    <row r="358" spans="1:19" ht="14.25" x14ac:dyDescent="0.2">
      <c r="A358" s="119" t="s">
        <v>3527</v>
      </c>
      <c r="B358" s="119" t="s">
        <v>3528</v>
      </c>
      <c r="C358" s="119" t="s">
        <v>3529</v>
      </c>
      <c r="D358" s="119" t="s">
        <v>1849</v>
      </c>
      <c r="E358" s="119" t="s">
        <v>1850</v>
      </c>
      <c r="F358" s="119"/>
      <c r="G358" s="119" t="s">
        <v>1395</v>
      </c>
      <c r="H358" s="119" t="s">
        <v>20</v>
      </c>
      <c r="I358" s="119" t="s">
        <v>1851</v>
      </c>
      <c r="J358" s="119" t="s">
        <v>655</v>
      </c>
      <c r="K358" s="119" t="s">
        <v>646</v>
      </c>
      <c r="L358" s="119" t="s">
        <v>3530</v>
      </c>
      <c r="M358" s="119" t="s">
        <v>3531</v>
      </c>
      <c r="N358" s="119" t="s">
        <v>3532</v>
      </c>
      <c r="O358" s="119" t="s">
        <v>3533</v>
      </c>
      <c r="P358" s="119" t="s">
        <v>3534</v>
      </c>
      <c r="Q358" s="119" t="s">
        <v>568</v>
      </c>
      <c r="R358" s="119"/>
      <c r="S358" s="119"/>
    </row>
    <row r="359" spans="1:19" ht="14.25" x14ac:dyDescent="0.2">
      <c r="A359" s="133" t="s">
        <v>3535</v>
      </c>
      <c r="B359" s="133" t="s">
        <v>3536</v>
      </c>
      <c r="C359" s="133" t="s">
        <v>3537</v>
      </c>
      <c r="D359" s="133" t="s">
        <v>3538</v>
      </c>
      <c r="E359" s="133"/>
      <c r="F359" s="133"/>
      <c r="G359" s="133" t="s">
        <v>2558</v>
      </c>
      <c r="H359" s="133" t="s">
        <v>20</v>
      </c>
      <c r="I359" s="133" t="s">
        <v>3539</v>
      </c>
      <c r="J359" s="133" t="s">
        <v>655</v>
      </c>
      <c r="K359" s="133" t="s">
        <v>646</v>
      </c>
      <c r="L359" s="133" t="s">
        <v>916</v>
      </c>
      <c r="M359" s="133" t="s">
        <v>3540</v>
      </c>
      <c r="N359" s="133" t="s">
        <v>3541</v>
      </c>
      <c r="O359" s="133" t="s">
        <v>3542</v>
      </c>
      <c r="P359" s="133" t="s">
        <v>3543</v>
      </c>
      <c r="Q359" s="133" t="s">
        <v>568</v>
      </c>
      <c r="R359" s="119" t="s">
        <v>1733</v>
      </c>
      <c r="S359" s="119"/>
    </row>
    <row r="360" spans="1:19" ht="14.25" x14ac:dyDescent="0.2">
      <c r="A360" s="119" t="s">
        <v>3544</v>
      </c>
      <c r="B360" s="119" t="s">
        <v>3545</v>
      </c>
      <c r="C360" s="119" t="s">
        <v>3546</v>
      </c>
      <c r="D360" s="119" t="s">
        <v>3547</v>
      </c>
      <c r="E360" s="119" t="s">
        <v>3548</v>
      </c>
      <c r="F360" s="119"/>
      <c r="G360" s="119" t="s">
        <v>1395</v>
      </c>
      <c r="H360" s="119" t="s">
        <v>20</v>
      </c>
      <c r="I360" s="119" t="s">
        <v>3549</v>
      </c>
      <c r="J360" s="119" t="s">
        <v>655</v>
      </c>
      <c r="K360" s="119" t="s">
        <v>646</v>
      </c>
      <c r="L360" s="80" t="s">
        <v>3627</v>
      </c>
      <c r="M360" s="119"/>
      <c r="N360" s="119" t="s">
        <v>3628</v>
      </c>
      <c r="O360" s="119" t="s">
        <v>3550</v>
      </c>
      <c r="P360" s="119"/>
      <c r="Q360" s="119" t="s">
        <v>2161</v>
      </c>
      <c r="R360" s="119"/>
      <c r="S360" s="119"/>
    </row>
    <row r="361" spans="1:19" ht="14.25" x14ac:dyDescent="0.2">
      <c r="A361" s="119" t="s">
        <v>3551</v>
      </c>
      <c r="B361" s="119" t="s">
        <v>3552</v>
      </c>
      <c r="C361" s="119" t="s">
        <v>3553</v>
      </c>
      <c r="D361" s="119" t="s">
        <v>3554</v>
      </c>
      <c r="E361" s="119" t="s">
        <v>3555</v>
      </c>
      <c r="F361" s="119"/>
      <c r="G361" s="119" t="s">
        <v>1395</v>
      </c>
      <c r="H361" s="119" t="s">
        <v>20</v>
      </c>
      <c r="I361" s="119" t="s">
        <v>1994</v>
      </c>
      <c r="J361" s="119" t="s">
        <v>655</v>
      </c>
      <c r="K361" s="119" t="s">
        <v>646</v>
      </c>
      <c r="L361" s="119" t="s">
        <v>3556</v>
      </c>
      <c r="M361" s="119" t="s">
        <v>3557</v>
      </c>
      <c r="N361" s="119" t="s">
        <v>3558</v>
      </c>
      <c r="O361" s="119" t="s">
        <v>3559</v>
      </c>
      <c r="P361" s="119"/>
      <c r="Q361" s="119" t="s">
        <v>568</v>
      </c>
      <c r="R361" s="119"/>
      <c r="S361" s="119"/>
    </row>
    <row r="362" spans="1:19" ht="14.25" x14ac:dyDescent="0.2">
      <c r="A362" s="119" t="s">
        <v>3622</v>
      </c>
      <c r="B362" s="119" t="s">
        <v>3617</v>
      </c>
      <c r="C362" s="119"/>
      <c r="D362" s="119"/>
      <c r="E362" s="119"/>
      <c r="F362" s="119"/>
      <c r="G362" s="119"/>
      <c r="H362" s="119"/>
      <c r="I362" s="119"/>
      <c r="J362" s="119"/>
      <c r="K362" s="119"/>
      <c r="L362" s="119" t="s">
        <v>3618</v>
      </c>
      <c r="M362" s="119" t="s">
        <v>3619</v>
      </c>
      <c r="N362" s="119" t="s">
        <v>3620</v>
      </c>
      <c r="O362" s="119"/>
      <c r="P362" s="119"/>
      <c r="Q362" s="119"/>
      <c r="R362" s="119"/>
      <c r="S362" s="119"/>
    </row>
    <row r="363" spans="1:19" ht="14.25" x14ac:dyDescent="0.2">
      <c r="A363" s="133" t="s">
        <v>3623</v>
      </c>
      <c r="B363" s="133" t="s">
        <v>3621</v>
      </c>
      <c r="C363" s="133"/>
      <c r="D363" s="133"/>
      <c r="E363" s="133"/>
      <c r="F363" s="133"/>
      <c r="G363" s="133"/>
      <c r="H363" s="133"/>
      <c r="I363" s="133"/>
      <c r="J363" s="133"/>
      <c r="K363" s="133"/>
      <c r="L363" s="133" t="s">
        <v>3618</v>
      </c>
      <c r="M363" s="133" t="s">
        <v>3619</v>
      </c>
      <c r="N363" s="133" t="s">
        <v>3620</v>
      </c>
      <c r="O363" s="133"/>
      <c r="P363" s="133"/>
      <c r="Q363" s="133"/>
      <c r="R363" s="119" t="s">
        <v>1733</v>
      </c>
      <c r="S363" s="119"/>
    </row>
  </sheetData>
  <conditionalFormatting sqref="A364:A1048576 A1:A134">
    <cfRule type="duplicateValues" dxfId="22" priority="1"/>
  </conditionalFormatting>
  <hyperlinks>
    <hyperlink ref="N110" r:id="rId1"/>
    <hyperlink ref="N134" r:id="rId2" display="mailto:info@gulfpacific.ca"/>
  </hyperlinks>
  <pageMargins left="0.75" right="0.75" top="1" bottom="1" header="0.5" footer="0.5"/>
  <pageSetup orientation="portrait" r:id="rId3"/>
  <legacyDrawing r:id="rId4"/>
  <tableParts count="1">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B4EEBF43EE1E340B9D6A162C9D03903" ma:contentTypeVersion="0" ma:contentTypeDescription="Create a new document." ma:contentTypeScope="" ma:versionID="61d0179e4334ca382f9ffefd6c17c633">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23A2A47-3FEF-4BF6-9F37-F7B79C6DDFCD}">
  <ds:schemaRefs>
    <ds:schemaRef ds:uri="http://schemas.microsoft.com/office/2006/metadata/properties"/>
    <ds:schemaRef ds:uri="http://purl.org/dc/terms/"/>
    <ds:schemaRef ds:uri="http://purl.org/dc/elements/1.1/"/>
    <ds:schemaRef ds:uri="http://www.w3.org/XML/1998/namespace"/>
    <ds:schemaRef ds:uri="http://purl.org/dc/dcmitype/"/>
    <ds:schemaRef ds:uri="http://schemas.microsoft.com/office/2006/documentManagement/types"/>
    <ds:schemaRef ds:uri="http://schemas.microsoft.com/office/infopath/2007/PartnerControls"/>
    <ds:schemaRef ds:uri="http://schemas.openxmlformats.org/package/2006/metadata/core-properties"/>
  </ds:schemaRefs>
</ds:datastoreItem>
</file>

<file path=customXml/itemProps2.xml><?xml version="1.0" encoding="utf-8"?>
<ds:datastoreItem xmlns:ds="http://schemas.openxmlformats.org/officeDocument/2006/customXml" ds:itemID="{33C01122-17B2-42B6-9834-142D62A8416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F0D6AB05-6B77-46D3-8DF6-DD47ED06BD2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Tracker</vt:lpstr>
      <vt:lpstr>Metrics</vt:lpstr>
      <vt:lpstr>Action Sheet</vt:lpstr>
      <vt:lpstr>Contact List</vt:lpstr>
    </vt:vector>
  </TitlesOfParts>
  <Company>LifeLabs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Hun, Riley</dc:creator>
  <cp:lastModifiedBy>Hun, Riley</cp:lastModifiedBy>
  <dcterms:created xsi:type="dcterms:W3CDTF">2016-01-15T14:57:46Z</dcterms:created>
  <dcterms:modified xsi:type="dcterms:W3CDTF">2016-03-10T20:56:16Z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0x010100DB4EEBF43EE1E340B9D6A162C9D03903</vt:lpwstr>
  </property>
</Properties>
</file>